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HR\التأمين الأجتماعي أورينت\أورينت\"/>
    </mc:Choice>
  </mc:AlternateContent>
  <xr:revisionPtr revIDLastSave="0" documentId="8_{FD95F645-5F4D-4CF4-8C33-FDA91DCDD973}" xr6:coauthVersionLast="47" xr6:coauthVersionMax="47" xr10:uidLastSave="{00000000-0000-0000-0000-000000000000}"/>
  <bookViews>
    <workbookView xWindow="-108" yWindow="-108" windowWidth="23256" windowHeight="12720" activeTab="4" xr2:uid="{5B54F72B-C36B-4050-82D6-2C8BCD822BFF}"/>
  </bookViews>
  <sheets>
    <sheet name="Data" sheetId="7" r:id="rId1"/>
    <sheet name="خطوات العمل" sheetId="9" r:id="rId2"/>
    <sheet name="تقرير الحاج عبد القادر" sheetId="5" r:id="rId3"/>
    <sheet name="المؤمن عليهم فى الدولية" sheetId="2" r:id="rId4"/>
    <sheet name="من سيتم التامين عليه أورينت" sheetId="8" r:id="rId5"/>
    <sheet name="تم التأمين عليه فى أورينت" sheetId="4" r:id="rId6"/>
  </sheets>
  <definedNames>
    <definedName name="ExternalData_1" localSheetId="0" hidden="1">Data!$A$2:$CW$243</definedName>
    <definedName name="_xlnm.Print_Area" localSheetId="1">'خطوات العمل'!$A$1:$D$13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8" l="1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L188" i="8" s="1"/>
  <c r="H189" i="8"/>
  <c r="L189" i="8" s="1"/>
  <c r="H190" i="8"/>
  <c r="K190" i="8" s="1"/>
  <c r="H191" i="8"/>
  <c r="K191" i="8" s="1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C168" i="8"/>
  <c r="D168" i="8"/>
  <c r="H168" i="8"/>
  <c r="I168" i="8"/>
  <c r="J168" i="8"/>
  <c r="C169" i="8"/>
  <c r="D169" i="8"/>
  <c r="H169" i="8"/>
  <c r="I169" i="8"/>
  <c r="J169" i="8"/>
  <c r="C170" i="8"/>
  <c r="D170" i="8"/>
  <c r="H170" i="8"/>
  <c r="I170" i="8"/>
  <c r="J170" i="8"/>
  <c r="C171" i="8"/>
  <c r="D171" i="8"/>
  <c r="H171" i="8"/>
  <c r="I171" i="8"/>
  <c r="J171" i="8"/>
  <c r="C172" i="8"/>
  <c r="D172" i="8"/>
  <c r="H172" i="8"/>
  <c r="I172" i="8"/>
  <c r="J172" i="8"/>
  <c r="C173" i="8"/>
  <c r="D173" i="8"/>
  <c r="H173" i="8"/>
  <c r="I173" i="8"/>
  <c r="J173" i="8"/>
  <c r="T208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K94" i="8" s="1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CT1" i="7"/>
  <c r="CU1" i="7"/>
  <c r="CV1" i="7"/>
  <c r="F2" i="4"/>
  <c r="H2" i="4" s="1"/>
  <c r="F3" i="4"/>
  <c r="H3" i="4" s="1"/>
  <c r="F4" i="4"/>
  <c r="G4" i="4" s="1"/>
  <c r="F5" i="4"/>
  <c r="H5" i="4" s="1"/>
  <c r="F6" i="4"/>
  <c r="G6" i="4" s="1"/>
  <c r="F7" i="4"/>
  <c r="H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H13" i="4" s="1"/>
  <c r="F14" i="4"/>
  <c r="G14" i="4" s="1"/>
  <c r="F15" i="4"/>
  <c r="G15" i="4" s="1"/>
  <c r="F16" i="4"/>
  <c r="G16" i="4" s="1"/>
  <c r="F17" i="4"/>
  <c r="H17" i="4" s="1"/>
  <c r="F18" i="4"/>
  <c r="G18" i="4" s="1"/>
  <c r="F19" i="4"/>
  <c r="G19" i="4" s="1"/>
  <c r="F20" i="4"/>
  <c r="G20" i="4" s="1"/>
  <c r="F21" i="4"/>
  <c r="G21" i="4" s="1"/>
  <c r="F22" i="4"/>
  <c r="H22" i="4" s="1"/>
  <c r="F23" i="4"/>
  <c r="H23" i="4" s="1"/>
  <c r="F24" i="4"/>
  <c r="H24" i="4" s="1"/>
  <c r="F25" i="4"/>
  <c r="G25" i="4" s="1"/>
  <c r="F26" i="4"/>
  <c r="G26" i="4" s="1"/>
  <c r="F27" i="4"/>
  <c r="G27" i="4" s="1"/>
  <c r="F28" i="4"/>
  <c r="G28" i="4" s="1"/>
  <c r="F29" i="4"/>
  <c r="H29" i="4" s="1"/>
  <c r="F30" i="4"/>
  <c r="H30" i="4" s="1"/>
  <c r="F31" i="4"/>
  <c r="H31" i="4" s="1"/>
  <c r="F32" i="4"/>
  <c r="G32" i="4" s="1"/>
  <c r="F33" i="4"/>
  <c r="G33" i="4" s="1"/>
  <c r="F34" i="4"/>
  <c r="G34" i="4" s="1"/>
  <c r="F35" i="4"/>
  <c r="H35" i="4" s="1"/>
  <c r="F36" i="4"/>
  <c r="H36" i="4" s="1"/>
  <c r="F37" i="4"/>
  <c r="H37" i="4" s="1"/>
  <c r="F38" i="4"/>
  <c r="H38" i="4" s="1"/>
  <c r="F39" i="4"/>
  <c r="G39" i="4" s="1"/>
  <c r="F40" i="4"/>
  <c r="H40" i="4" s="1"/>
  <c r="F41" i="4"/>
  <c r="H41" i="4" s="1"/>
  <c r="F42" i="4"/>
  <c r="H42" i="4" s="1"/>
  <c r="F43" i="4"/>
  <c r="G43" i="4" s="1"/>
  <c r="F44" i="4"/>
  <c r="G44" i="4" s="1"/>
  <c r="F45" i="4"/>
  <c r="H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H51" i="4" s="1"/>
  <c r="F52" i="4"/>
  <c r="H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H58" i="4" s="1"/>
  <c r="F59" i="4"/>
  <c r="H59" i="4" s="1"/>
  <c r="F60" i="4"/>
  <c r="G60" i="4" s="1"/>
  <c r="F61" i="4"/>
  <c r="G61" i="4" s="1"/>
  <c r="F62" i="4"/>
  <c r="G62" i="4" s="1"/>
  <c r="F63" i="4"/>
  <c r="G63" i="4" s="1"/>
  <c r="F64" i="4"/>
  <c r="H64" i="4" s="1"/>
  <c r="F65" i="4"/>
  <c r="G65" i="4" s="1"/>
  <c r="F66" i="4"/>
  <c r="H66" i="4" s="1"/>
  <c r="F67" i="4"/>
  <c r="H67" i="4" s="1"/>
  <c r="F68" i="4"/>
  <c r="H68" i="4" s="1"/>
  <c r="F69" i="4"/>
  <c r="H69" i="4" s="1"/>
  <c r="F70" i="4"/>
  <c r="H70" i="4" s="1"/>
  <c r="F71" i="4"/>
  <c r="G71" i="4" s="1"/>
  <c r="F72" i="4"/>
  <c r="H72" i="4" s="1"/>
  <c r="F73" i="4"/>
  <c r="H73" i="4" s="1"/>
  <c r="F74" i="4"/>
  <c r="H74" i="4" s="1"/>
  <c r="F75" i="4"/>
  <c r="G75" i="4" s="1"/>
  <c r="F76" i="4"/>
  <c r="H76" i="4" s="1"/>
  <c r="F77" i="4"/>
  <c r="H77" i="4" s="1"/>
  <c r="F78" i="4"/>
  <c r="H78" i="4" s="1"/>
  <c r="F79" i="4"/>
  <c r="H79" i="4" s="1"/>
  <c r="F80" i="4"/>
  <c r="H80" i="4" s="1"/>
  <c r="F81" i="4"/>
  <c r="H81" i="4" s="1"/>
  <c r="F82" i="4"/>
  <c r="H82" i="4" s="1"/>
  <c r="F83" i="4"/>
  <c r="H83" i="4" s="1"/>
  <c r="F84" i="4"/>
  <c r="G84" i="4" s="1"/>
  <c r="F85" i="4"/>
  <c r="H85" i="4" s="1"/>
  <c r="F86" i="4"/>
  <c r="H86" i="4" s="1"/>
  <c r="F87" i="4"/>
  <c r="H87" i="4" s="1"/>
  <c r="F88" i="4"/>
  <c r="H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H103" i="4" s="1"/>
  <c r="F104" i="4"/>
  <c r="G104" i="4" s="1"/>
  <c r="F105" i="4"/>
  <c r="G105" i="4" s="1"/>
  <c r="F106" i="4"/>
  <c r="G106" i="4" s="1"/>
  <c r="F107" i="4"/>
  <c r="H107" i="4" s="1"/>
  <c r="F108" i="4"/>
  <c r="H108" i="4" s="1"/>
  <c r="F109" i="4"/>
  <c r="H109" i="4" s="1"/>
  <c r="F110" i="4"/>
  <c r="G110" i="4" s="1"/>
  <c r="F111" i="4"/>
  <c r="G111" i="4" s="1"/>
  <c r="F112" i="4"/>
  <c r="G112" i="4" s="1"/>
  <c r="F113" i="4"/>
  <c r="H113" i="4" s="1"/>
  <c r="F114" i="4"/>
  <c r="G114" i="4" s="1"/>
  <c r="F115" i="4"/>
  <c r="G115" i="4" s="1"/>
  <c r="F116" i="4"/>
  <c r="G116" i="4" s="1"/>
  <c r="F117" i="4"/>
  <c r="H117" i="4" s="1"/>
  <c r="F118" i="4"/>
  <c r="G118" i="4" s="1"/>
  <c r="F119" i="4"/>
  <c r="G119" i="4" s="1"/>
  <c r="B1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BD1" i="7"/>
  <c r="BE1" i="7"/>
  <c r="BF1" i="7"/>
  <c r="BG1" i="7"/>
  <c r="BH1" i="7"/>
  <c r="BI1" i="7"/>
  <c r="BJ1" i="7"/>
  <c r="BK1" i="7"/>
  <c r="BL1" i="7"/>
  <c r="BM1" i="7"/>
  <c r="BN1" i="7"/>
  <c r="BO1" i="7"/>
  <c r="BP1" i="7"/>
  <c r="BQ1" i="7"/>
  <c r="BR1" i="7"/>
  <c r="BS1" i="7"/>
  <c r="BT1" i="7"/>
  <c r="BU1" i="7"/>
  <c r="BV1" i="7"/>
  <c r="BW1" i="7"/>
  <c r="BX1" i="7"/>
  <c r="BY1" i="7"/>
  <c r="BZ1" i="7"/>
  <c r="CA1" i="7"/>
  <c r="CB1" i="7"/>
  <c r="CC1" i="7"/>
  <c r="CD1" i="7"/>
  <c r="CE1" i="7"/>
  <c r="CF1" i="7"/>
  <c r="CG1" i="7"/>
  <c r="CH1" i="7"/>
  <c r="CI1" i="7"/>
  <c r="CJ1" i="7"/>
  <c r="CK1" i="7"/>
  <c r="CL1" i="7"/>
  <c r="CM1" i="7"/>
  <c r="CN1" i="7"/>
  <c r="CO1" i="7"/>
  <c r="CP1" i="7"/>
  <c r="CQ1" i="7"/>
  <c r="CR1" i="7"/>
  <c r="CS1" i="7"/>
  <c r="A1" i="7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L210" i="5"/>
  <c r="K210" i="5"/>
  <c r="K187" i="8" l="1"/>
  <c r="L205" i="8"/>
  <c r="K179" i="8"/>
  <c r="L206" i="8"/>
  <c r="K204" i="8"/>
  <c r="K201" i="8"/>
  <c r="L193" i="8"/>
  <c r="K178" i="8"/>
  <c r="L174" i="8"/>
  <c r="K194" i="8"/>
  <c r="L192" i="8"/>
  <c r="L183" i="8"/>
  <c r="K180" i="8"/>
  <c r="K176" i="8"/>
  <c r="L200" i="8"/>
  <c r="K195" i="8"/>
  <c r="K193" i="8"/>
  <c r="K183" i="8"/>
  <c r="L191" i="8"/>
  <c r="L177" i="8"/>
  <c r="L176" i="8"/>
  <c r="K175" i="8"/>
  <c r="K207" i="8"/>
  <c r="L199" i="8"/>
  <c r="K192" i="8"/>
  <c r="L179" i="8"/>
  <c r="K181" i="8"/>
  <c r="L190" i="8"/>
  <c r="K198" i="8"/>
  <c r="L181" i="8"/>
  <c r="K197" i="8"/>
  <c r="L178" i="8"/>
  <c r="K196" i="8"/>
  <c r="L195" i="8"/>
  <c r="L194" i="8"/>
  <c r="K200" i="8"/>
  <c r="K199" i="8"/>
  <c r="K186" i="8"/>
  <c r="K185" i="8"/>
  <c r="K184" i="8"/>
  <c r="L168" i="8"/>
  <c r="K182" i="8"/>
  <c r="L207" i="8"/>
  <c r="L175" i="8"/>
  <c r="K177" i="8"/>
  <c r="K206" i="8"/>
  <c r="K174" i="8"/>
  <c r="K203" i="8"/>
  <c r="K205" i="8"/>
  <c r="K202" i="8"/>
  <c r="L198" i="8"/>
  <c r="L197" i="8"/>
  <c r="L187" i="8"/>
  <c r="K189" i="8"/>
  <c r="L186" i="8"/>
  <c r="K188" i="8"/>
  <c r="L185" i="8"/>
  <c r="K168" i="8"/>
  <c r="L184" i="8"/>
  <c r="K169" i="8"/>
  <c r="L182" i="8"/>
  <c r="L180" i="8"/>
  <c r="L204" i="8"/>
  <c r="L203" i="8"/>
  <c r="L202" i="8"/>
  <c r="L201" i="8"/>
  <c r="L196" i="8"/>
  <c r="K171" i="8"/>
  <c r="K170" i="8"/>
  <c r="L170" i="8"/>
  <c r="L169" i="8"/>
  <c r="L171" i="8"/>
  <c r="K173" i="8"/>
  <c r="K172" i="8"/>
  <c r="L172" i="8"/>
  <c r="I208" i="8"/>
  <c r="K162" i="8"/>
  <c r="L173" i="8"/>
  <c r="L131" i="8"/>
  <c r="L99" i="8"/>
  <c r="L68" i="8"/>
  <c r="K36" i="8"/>
  <c r="K4" i="8"/>
  <c r="L12" i="8"/>
  <c r="L2" i="8"/>
  <c r="L163" i="8"/>
  <c r="L132" i="8"/>
  <c r="L100" i="8"/>
  <c r="K69" i="8"/>
  <c r="L37" i="8"/>
  <c r="L5" i="8"/>
  <c r="K156" i="8"/>
  <c r="K125" i="8"/>
  <c r="K62" i="8"/>
  <c r="L30" i="8"/>
  <c r="K155" i="8"/>
  <c r="L124" i="8"/>
  <c r="L92" i="8"/>
  <c r="K61" i="8"/>
  <c r="L29" i="8"/>
  <c r="K152" i="8"/>
  <c r="L121" i="8"/>
  <c r="L89" i="8"/>
  <c r="L58" i="8"/>
  <c r="K26" i="8"/>
  <c r="K151" i="8"/>
  <c r="L120" i="8"/>
  <c r="K88" i="8"/>
  <c r="L57" i="8"/>
  <c r="L25" i="8"/>
  <c r="K2" i="8"/>
  <c r="K145" i="8"/>
  <c r="L114" i="8"/>
  <c r="K19" i="8"/>
  <c r="K51" i="8"/>
  <c r="L138" i="8"/>
  <c r="L106" i="8"/>
  <c r="L75" i="8"/>
  <c r="K11" i="8"/>
  <c r="L43" i="8"/>
  <c r="K153" i="8"/>
  <c r="L122" i="8"/>
  <c r="L90" i="8"/>
  <c r="L59" i="8"/>
  <c r="L50" i="8"/>
  <c r="K82" i="8"/>
  <c r="K18" i="8"/>
  <c r="K113" i="8"/>
  <c r="L137" i="8"/>
  <c r="L105" i="8"/>
  <c r="L74" i="8"/>
  <c r="K42" i="8"/>
  <c r="K10" i="8"/>
  <c r="L165" i="8"/>
  <c r="L134" i="8"/>
  <c r="L102" i="8"/>
  <c r="L39" i="8"/>
  <c r="L164" i="8"/>
  <c r="L133" i="8"/>
  <c r="L101" i="8"/>
  <c r="K70" i="8"/>
  <c r="L38" i="8"/>
  <c r="L6" i="8"/>
  <c r="L7" i="8"/>
  <c r="L161" i="8"/>
  <c r="K130" i="8"/>
  <c r="K98" i="8"/>
  <c r="L67" i="8"/>
  <c r="L35" i="8"/>
  <c r="K3" i="8"/>
  <c r="L160" i="8"/>
  <c r="K129" i="8"/>
  <c r="K97" i="8"/>
  <c r="L66" i="8"/>
  <c r="L34" i="8"/>
  <c r="L159" i="8"/>
  <c r="K128" i="8"/>
  <c r="L158" i="8"/>
  <c r="L127" i="8"/>
  <c r="L95" i="8"/>
  <c r="L64" i="8"/>
  <c r="L32" i="8"/>
  <c r="L157" i="8"/>
  <c r="K126" i="8"/>
  <c r="K63" i="8"/>
  <c r="L31" i="8"/>
  <c r="K154" i="8"/>
  <c r="L123" i="8"/>
  <c r="L91" i="8"/>
  <c r="K146" i="8"/>
  <c r="L83" i="8"/>
  <c r="L20" i="8"/>
  <c r="L115" i="8"/>
  <c r="L52" i="8"/>
  <c r="L81" i="8"/>
  <c r="K17" i="8"/>
  <c r="L143" i="8"/>
  <c r="K48" i="8"/>
  <c r="L142" i="8"/>
  <c r="K110" i="8"/>
  <c r="K79" i="8"/>
  <c r="L47" i="8"/>
  <c r="L15" i="8"/>
  <c r="K112" i="8"/>
  <c r="K111" i="8"/>
  <c r="K78" i="8"/>
  <c r="L14" i="8"/>
  <c r="K49" i="8"/>
  <c r="L46" i="8"/>
  <c r="K140" i="8"/>
  <c r="L108" i="8"/>
  <c r="K77" i="8"/>
  <c r="L45" i="8"/>
  <c r="L13" i="8"/>
  <c r="K80" i="8"/>
  <c r="L109" i="8"/>
  <c r="K139" i="8"/>
  <c r="L107" i="8"/>
  <c r="L76" i="8"/>
  <c r="L44" i="8"/>
  <c r="K16" i="8"/>
  <c r="L141" i="8"/>
  <c r="L144" i="8"/>
  <c r="L167" i="8"/>
  <c r="L104" i="8"/>
  <c r="K9" i="8"/>
  <c r="L136" i="8"/>
  <c r="L73" i="8"/>
  <c r="K41" i="8"/>
  <c r="L166" i="8"/>
  <c r="L135" i="8"/>
  <c r="L103" i="8"/>
  <c r="L72" i="8"/>
  <c r="K40" i="8"/>
  <c r="K8" i="8"/>
  <c r="K96" i="8"/>
  <c r="K65" i="8"/>
  <c r="K33" i="8"/>
  <c r="L60" i="8"/>
  <c r="L28" i="8"/>
  <c r="K27" i="8"/>
  <c r="L150" i="8"/>
  <c r="K56" i="8"/>
  <c r="L149" i="8"/>
  <c r="K118" i="8"/>
  <c r="K86" i="8"/>
  <c r="L55" i="8"/>
  <c r="L23" i="8"/>
  <c r="L119" i="8"/>
  <c r="L24" i="8"/>
  <c r="L148" i="8"/>
  <c r="L85" i="8"/>
  <c r="K87" i="8"/>
  <c r="K117" i="8"/>
  <c r="L54" i="8"/>
  <c r="L22" i="8"/>
  <c r="L147" i="8"/>
  <c r="L116" i="8"/>
  <c r="L84" i="8"/>
  <c r="L53" i="8"/>
  <c r="K21" i="8"/>
  <c r="L93" i="8"/>
  <c r="K71" i="8"/>
  <c r="K37" i="8"/>
  <c r="L4" i="8"/>
  <c r="H99" i="4"/>
  <c r="G67" i="4"/>
  <c r="G36" i="4"/>
  <c r="G35" i="4"/>
  <c r="G3" i="4"/>
  <c r="K66" i="8"/>
  <c r="K32" i="8"/>
  <c r="L151" i="8"/>
  <c r="L139" i="8"/>
  <c r="L79" i="8"/>
  <c r="L77" i="8"/>
  <c r="L18" i="8"/>
  <c r="L16" i="8"/>
  <c r="K35" i="8"/>
  <c r="L125" i="8"/>
  <c r="L111" i="8"/>
  <c r="L96" i="8"/>
  <c r="L69" i="8"/>
  <c r="L63" i="8"/>
  <c r="L61" i="8"/>
  <c r="L3" i="8"/>
  <c r="K142" i="8"/>
  <c r="K141" i="8"/>
  <c r="K91" i="8"/>
  <c r="K64" i="8"/>
  <c r="K72" i="8"/>
  <c r="L71" i="8"/>
  <c r="L70" i="8"/>
  <c r="K34" i="8"/>
  <c r="L42" i="8"/>
  <c r="L40" i="8"/>
  <c r="K30" i="8"/>
  <c r="L36" i="8"/>
  <c r="K13" i="8"/>
  <c r="K167" i="8"/>
  <c r="L9" i="8"/>
  <c r="K165" i="8"/>
  <c r="L8" i="8"/>
  <c r="L140" i="8"/>
  <c r="K127" i="8"/>
  <c r="L128" i="8"/>
  <c r="K109" i="8"/>
  <c r="L113" i="8"/>
  <c r="K122" i="8"/>
  <c r="K95" i="8"/>
  <c r="L112" i="8"/>
  <c r="K89" i="8"/>
  <c r="K90" i="8"/>
  <c r="K135" i="8"/>
  <c r="L41" i="8"/>
  <c r="K120" i="8"/>
  <c r="K119" i="8"/>
  <c r="K136" i="8"/>
  <c r="K121" i="8"/>
  <c r="K59" i="8"/>
  <c r="L162" i="8"/>
  <c r="L88" i="8"/>
  <c r="L33" i="8"/>
  <c r="K114" i="8"/>
  <c r="L154" i="8"/>
  <c r="K58" i="8"/>
  <c r="L153" i="8"/>
  <c r="L27" i="8"/>
  <c r="K57" i="8"/>
  <c r="L26" i="8"/>
  <c r="K50" i="8"/>
  <c r="L146" i="8"/>
  <c r="L19" i="8"/>
  <c r="L145" i="8"/>
  <c r="K107" i="8"/>
  <c r="K106" i="8"/>
  <c r="K45" i="8"/>
  <c r="L87" i="8"/>
  <c r="K105" i="8"/>
  <c r="K44" i="8"/>
  <c r="L86" i="8"/>
  <c r="L11" i="8"/>
  <c r="K104" i="8"/>
  <c r="K43" i="8"/>
  <c r="L80" i="8"/>
  <c r="L10" i="8"/>
  <c r="K164" i="8"/>
  <c r="K29" i="8"/>
  <c r="L65" i="8"/>
  <c r="K148" i="8"/>
  <c r="K28" i="8"/>
  <c r="K147" i="8"/>
  <c r="K20" i="8"/>
  <c r="L118" i="8"/>
  <c r="L62" i="8"/>
  <c r="L117" i="8"/>
  <c r="L56" i="8"/>
  <c r="K74" i="8"/>
  <c r="K5" i="8"/>
  <c r="L48" i="8"/>
  <c r="K163" i="8"/>
  <c r="K12" i="8"/>
  <c r="K81" i="8"/>
  <c r="L110" i="8"/>
  <c r="K93" i="8"/>
  <c r="K137" i="8"/>
  <c r="K73" i="8"/>
  <c r="K150" i="8"/>
  <c r="K124" i="8"/>
  <c r="K92" i="8"/>
  <c r="K76" i="8"/>
  <c r="K47" i="8"/>
  <c r="K15" i="8"/>
  <c r="L156" i="8"/>
  <c r="L130" i="8"/>
  <c r="L98" i="8"/>
  <c r="L82" i="8"/>
  <c r="L51" i="8"/>
  <c r="L21" i="8"/>
  <c r="K149" i="8"/>
  <c r="K123" i="8"/>
  <c r="K75" i="8"/>
  <c r="K46" i="8"/>
  <c r="K14" i="8"/>
  <c r="L155" i="8"/>
  <c r="L129" i="8"/>
  <c r="L97" i="8"/>
  <c r="L152" i="8"/>
  <c r="L126" i="8"/>
  <c r="L94" i="8"/>
  <c r="L78" i="8"/>
  <c r="L49" i="8"/>
  <c r="L17" i="8"/>
  <c r="K144" i="8"/>
  <c r="K116" i="8"/>
  <c r="K68" i="8"/>
  <c r="K39" i="8"/>
  <c r="K7" i="8"/>
  <c r="K143" i="8"/>
  <c r="K115" i="8"/>
  <c r="K67" i="8"/>
  <c r="K38" i="8"/>
  <c r="K6" i="8"/>
  <c r="K166" i="8"/>
  <c r="K138" i="8"/>
  <c r="K108" i="8"/>
  <c r="K60" i="8"/>
  <c r="K31" i="8"/>
  <c r="K161" i="8"/>
  <c r="K134" i="8"/>
  <c r="K103" i="8"/>
  <c r="K160" i="8"/>
  <c r="K85" i="8"/>
  <c r="K102" i="8"/>
  <c r="K55" i="8"/>
  <c r="K25" i="8"/>
  <c r="K159" i="8"/>
  <c r="K133" i="8"/>
  <c r="K101" i="8"/>
  <c r="K84" i="8"/>
  <c r="K54" i="8"/>
  <c r="K24" i="8"/>
  <c r="K83" i="8"/>
  <c r="K158" i="8"/>
  <c r="K132" i="8"/>
  <c r="K100" i="8"/>
  <c r="K53" i="8"/>
  <c r="K23" i="8"/>
  <c r="K157" i="8"/>
  <c r="K131" i="8"/>
  <c r="K99" i="8"/>
  <c r="K52" i="8"/>
  <c r="K22" i="8"/>
  <c r="H100" i="4"/>
  <c r="G40" i="4"/>
  <c r="H104" i="4"/>
  <c r="H26" i="4"/>
  <c r="H98" i="4"/>
  <c r="H25" i="4"/>
  <c r="G88" i="4"/>
  <c r="G38" i="4"/>
  <c r="H6" i="4"/>
  <c r="G76" i="4"/>
  <c r="H4" i="4"/>
  <c r="G74" i="4"/>
  <c r="H44" i="4"/>
  <c r="H92" i="4"/>
  <c r="G69" i="4"/>
  <c r="G70" i="4"/>
  <c r="G68" i="4"/>
  <c r="G66" i="4"/>
  <c r="G42" i="4"/>
  <c r="G7" i="4"/>
  <c r="H106" i="4"/>
  <c r="H101" i="4"/>
  <c r="G59" i="4"/>
  <c r="G24" i="4"/>
  <c r="G107" i="4"/>
  <c r="H28" i="4"/>
  <c r="H27" i="4"/>
  <c r="H71" i="4"/>
  <c r="G103" i="4"/>
  <c r="H105" i="4"/>
  <c r="H39" i="4"/>
  <c r="G73" i="4"/>
  <c r="G72" i="4"/>
  <c r="H63" i="4"/>
  <c r="H62" i="4"/>
  <c r="G64" i="4"/>
  <c r="H61" i="4"/>
  <c r="G58" i="4"/>
  <c r="H57" i="4"/>
  <c r="H56" i="4"/>
  <c r="G41" i="4"/>
  <c r="G31" i="4"/>
  <c r="G30" i="4"/>
  <c r="H14" i="4"/>
  <c r="H10" i="4"/>
  <c r="H8" i="4"/>
  <c r="G82" i="4"/>
  <c r="G80" i="4"/>
  <c r="G79" i="4"/>
  <c r="G78" i="4"/>
  <c r="H75" i="4"/>
  <c r="G5" i="4"/>
  <c r="H43" i="4"/>
  <c r="H34" i="4"/>
  <c r="H11" i="4"/>
  <c r="G2" i="4"/>
  <c r="H32" i="4"/>
  <c r="H112" i="4"/>
  <c r="H110" i="4"/>
  <c r="H16" i="4"/>
  <c r="G37" i="4"/>
  <c r="H115" i="4"/>
  <c r="G113" i="4"/>
  <c r="H96" i="4"/>
  <c r="H9" i="4"/>
  <c r="H111" i="4"/>
  <c r="H65" i="4"/>
  <c r="G29" i="4"/>
  <c r="G83" i="4"/>
  <c r="H116" i="4"/>
  <c r="H19" i="4"/>
  <c r="G17" i="4"/>
  <c r="H119" i="4"/>
  <c r="H33" i="4"/>
  <c r="H118" i="4"/>
  <c r="H12" i="4"/>
  <c r="G22" i="4"/>
  <c r="H114" i="4"/>
  <c r="G87" i="4"/>
  <c r="H21" i="4"/>
  <c r="H18" i="4"/>
  <c r="H55" i="4"/>
  <c r="H97" i="4"/>
  <c r="H84" i="4"/>
  <c r="G23" i="4"/>
  <c r="H93" i="4"/>
  <c r="G81" i="4"/>
  <c r="H53" i="4"/>
  <c r="G86" i="4"/>
  <c r="H20" i="4"/>
  <c r="H50" i="4"/>
  <c r="H49" i="4"/>
  <c r="H90" i="4"/>
  <c r="H95" i="4"/>
  <c r="H54" i="4"/>
  <c r="H15" i="4"/>
  <c r="H94" i="4"/>
  <c r="H91" i="4"/>
  <c r="G52" i="4"/>
  <c r="H48" i="4"/>
  <c r="G51" i="4"/>
  <c r="H89" i="4"/>
  <c r="H47" i="4"/>
  <c r="H46" i="4"/>
  <c r="G117" i="4"/>
  <c r="G85" i="4"/>
  <c r="H102" i="4"/>
  <c r="G109" i="4"/>
  <c r="G77" i="4"/>
  <c r="G45" i="4"/>
  <c r="G13" i="4"/>
  <c r="G108" i="4"/>
  <c r="H60" i="4"/>
  <c r="L208" i="8" l="1"/>
  <c r="N210" i="8" s="1"/>
  <c r="N214" i="8" s="1"/>
  <c r="K208" i="8"/>
  <c r="K210" i="8" l="1"/>
  <c r="K214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8B8AC8-6147-4CB6-952C-38E2874B5118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<sst xmlns="http://schemas.openxmlformats.org/spreadsheetml/2006/main" count="10267" uniqueCount="2337">
  <si>
    <t>الكود</t>
  </si>
  <si>
    <t>الاسم الكامل</t>
  </si>
  <si>
    <t>الجنسية</t>
  </si>
  <si>
    <t>نوع الموظف</t>
  </si>
  <si>
    <t>حالة العمل</t>
  </si>
  <si>
    <t>اسم القسم</t>
  </si>
  <si>
    <t>حالة التأمين</t>
  </si>
  <si>
    <t>رقم التأمين</t>
  </si>
  <si>
    <t>تاريخ بدء التأمين</t>
  </si>
  <si>
    <t>مرتب التأمين</t>
  </si>
  <si>
    <t>قيمة التأمين المستحقة</t>
  </si>
  <si>
    <t>International_Subscription_Expiry_Date</t>
  </si>
  <si>
    <t>Orient_Subscription_Start_Date</t>
  </si>
  <si>
    <t>ElDawliya_S6</t>
  </si>
  <si>
    <t>Orient_S1</t>
  </si>
  <si>
    <t>محمد محمود الطيب صبره</t>
  </si>
  <si>
    <t>مصرى</t>
  </si>
  <si>
    <t>ذكر</t>
  </si>
  <si>
    <t>سارى</t>
  </si>
  <si>
    <t>الانتاج</t>
  </si>
  <si>
    <t>العاشر الحى 12</t>
  </si>
  <si>
    <t>غير مؤمن</t>
  </si>
  <si>
    <t>عمال الانتاج الذين لم ترد مهنهم فيما سبق - اخرون</t>
  </si>
  <si>
    <t>الوردية الأولى 12 صباحى</t>
  </si>
  <si>
    <t>ولاء محمد شبل عثمان</t>
  </si>
  <si>
    <t>مصرية</t>
  </si>
  <si>
    <t>انثى</t>
  </si>
  <si>
    <t>الوردية الأولى</t>
  </si>
  <si>
    <t>زينب محمد الشوادفى على يحيى</t>
  </si>
  <si>
    <t>القرين</t>
  </si>
  <si>
    <t>حنان سليمان سالم عواد</t>
  </si>
  <si>
    <t>ميكروباص ورادى</t>
  </si>
  <si>
    <t>ناهد محمد محمد علي</t>
  </si>
  <si>
    <t>ميكروباص  الحى 14</t>
  </si>
  <si>
    <t>شادية محمود على محمد</t>
  </si>
  <si>
    <t>شادية مسعد ابراهيم العزب</t>
  </si>
  <si>
    <t>هناء الديب عبد الموجود حفنى</t>
  </si>
  <si>
    <t>هبة محمد احمد على</t>
  </si>
  <si>
    <t>ميكروباص سكن المخازن</t>
  </si>
  <si>
    <t>نورا  فرج حامد محمد</t>
  </si>
  <si>
    <t>هيثم كامل ابراهيم محمد</t>
  </si>
  <si>
    <t>الوردية الثانية 12 مسائى</t>
  </si>
  <si>
    <t>احمد فتحى محمد ابراهيم</t>
  </si>
  <si>
    <t>فهد عبد العزيز حسين قطب</t>
  </si>
  <si>
    <t>المواد الاولية</t>
  </si>
  <si>
    <t>مؤمن عليه</t>
  </si>
  <si>
    <t>فنى انتاج</t>
  </si>
  <si>
    <t>محمد محمود عاشور محمد</t>
  </si>
  <si>
    <t>عبده برعى محمد ابراهيم</t>
  </si>
  <si>
    <t>محمود محمد حسينى حسن</t>
  </si>
  <si>
    <t>الصيانة</t>
  </si>
  <si>
    <t>عامل تعبئه</t>
  </si>
  <si>
    <t>جمعة السيد محمد رضوان</t>
  </si>
  <si>
    <t>متولى محمد متولى ابوالفتوح</t>
  </si>
  <si>
    <t>الجودة</t>
  </si>
  <si>
    <t>مراقب جوده</t>
  </si>
  <si>
    <t>محمد رافت احمد احمد</t>
  </si>
  <si>
    <t>حماده مسلم ابراهيم السيد</t>
  </si>
  <si>
    <t>الزنكلون</t>
  </si>
  <si>
    <t>عماد حمدى عبد السلام محمد</t>
  </si>
  <si>
    <t>ايوب عوض ايوب بيومى</t>
  </si>
  <si>
    <t xml:space="preserve">ميكروباص سكن </t>
  </si>
  <si>
    <t>منسق مواد وخامات انتاج</t>
  </si>
  <si>
    <t>احمد مدحت عبد الوارث محمد</t>
  </si>
  <si>
    <t>الموارد البشرية</t>
  </si>
  <si>
    <t>منسق موارد بشرية</t>
  </si>
  <si>
    <t>عبدالله صدقى ابراهيم صقر</t>
  </si>
  <si>
    <t>محمد كامل ابراهيم محمد</t>
  </si>
  <si>
    <t>ابراهيم عبد الرحمن السيد سند</t>
  </si>
  <si>
    <t>مشغل ماكينة</t>
  </si>
  <si>
    <t>عبدالله يوسف غالب حسن</t>
  </si>
  <si>
    <t>فتح الله عبدالله احمد احمد</t>
  </si>
  <si>
    <t>صابر فوزى كامل ابو هاشم</t>
  </si>
  <si>
    <t>صقر عبدالله صقر صقر حماده</t>
  </si>
  <si>
    <t>وليد الدايدمونى السيد مصطفى</t>
  </si>
  <si>
    <t>اية عبدالله صدقى ابراهيم</t>
  </si>
  <si>
    <t>سميرة ابراهيم يحيى ابراهيم</t>
  </si>
  <si>
    <t>رضا محمد ابراهيم محمد</t>
  </si>
  <si>
    <t>عز يحيى عبد الجليل محمد</t>
  </si>
  <si>
    <t>سحر ربيع محمد على</t>
  </si>
  <si>
    <t>رضا صقر السعيد ابراهيم</t>
  </si>
  <si>
    <t>سامح عبدالله حسن عبدالله</t>
  </si>
  <si>
    <t>جمعة محمد السيد على</t>
  </si>
  <si>
    <t>حسام السيد ابو هاشم محمد</t>
  </si>
  <si>
    <t>احمد ابراهيم على مشرف عوض الله</t>
  </si>
  <si>
    <t>زكريا بدرى محمد محمد ابراهيم</t>
  </si>
  <si>
    <t xml:space="preserve">مدحت يوسف محمد مرسى </t>
  </si>
  <si>
    <t>جمعة سمير محمد السيد</t>
  </si>
  <si>
    <t>محمود عبد الكريم حسانين محمد</t>
  </si>
  <si>
    <t>علاء حمدى عبد السلام محمد</t>
  </si>
  <si>
    <t>انس محمد ابراهيم دسوقى</t>
  </si>
  <si>
    <t>عبد الفتاح ناصر عبد السلام</t>
  </si>
  <si>
    <t>رضا صالح عبد الفتاح عطية</t>
  </si>
  <si>
    <t>محمد وليد عبد الستار محمد</t>
  </si>
  <si>
    <t>صابر السيد فكرى احمد</t>
  </si>
  <si>
    <t>هيثم حسين عبد الحكيم حسين</t>
  </si>
  <si>
    <t>سورى</t>
  </si>
  <si>
    <t>محمد صلاح عبدالله محمود</t>
  </si>
  <si>
    <t>محمود الشوادفى عبيد الشوادفى</t>
  </si>
  <si>
    <t>حسن ابراهيم محمود معوض</t>
  </si>
  <si>
    <t>السيد عبد الجليل على العشرى</t>
  </si>
  <si>
    <t>لا يوجد وردية</t>
  </si>
  <si>
    <t>محسن ابراهيم محمود معوض</t>
  </si>
  <si>
    <t>خالد محمود الطيب صبرى</t>
  </si>
  <si>
    <t>احمد جميل جودة عمر</t>
  </si>
  <si>
    <t>محمد حماده ابراهيم ابو هاشم</t>
  </si>
  <si>
    <t xml:space="preserve">عزيزه فؤاد عبدالله عبد الرؤف </t>
  </si>
  <si>
    <t>الشئون الادارية</t>
  </si>
  <si>
    <t>العاشر الإدارة</t>
  </si>
  <si>
    <t>احمد محمد ابراهيم النشار</t>
  </si>
  <si>
    <t>السعيدية</t>
  </si>
  <si>
    <t>ايمن محمد محمد اسماعيل</t>
  </si>
  <si>
    <t>عمرو صابر عبدالله ابو شرخ</t>
  </si>
  <si>
    <t>كرم عماد عبداللطيف عطيه السيد</t>
  </si>
  <si>
    <t>السعادات</t>
  </si>
  <si>
    <t xml:space="preserve">احمد ابراهيم محمد محمد عكر </t>
  </si>
  <si>
    <t>المنير</t>
  </si>
  <si>
    <t>كريم احمد احمد سالم</t>
  </si>
  <si>
    <t>مصطفى عبد الوهاب  احمد مصطفى القمحاوى</t>
  </si>
  <si>
    <t xml:space="preserve">محمد صالح ناصف طه عامر </t>
  </si>
  <si>
    <t>كامل فوزى كامل ابو هاشم</t>
  </si>
  <si>
    <t>على عبدالله على جلال</t>
  </si>
  <si>
    <t>احمد صالح السيد انور السيد</t>
  </si>
  <si>
    <t>محمد العربى محمد عبدالرازق</t>
  </si>
  <si>
    <t>محمد احمد محمد إبراهيم النشار</t>
  </si>
  <si>
    <t xml:space="preserve">محمد عزت محمد ابو القاسم </t>
  </si>
  <si>
    <t xml:space="preserve">شاهين مدحت السيد ابراهيم جاهين </t>
  </si>
  <si>
    <t xml:space="preserve">احمد جمعه محمد مرسي </t>
  </si>
  <si>
    <t>صلاح حسن السيد محمد مروان</t>
  </si>
  <si>
    <t>يوسف عبد الرحمن غريب</t>
  </si>
  <si>
    <t xml:space="preserve">عبد الرحمن هاني السيد صبح علي </t>
  </si>
  <si>
    <t>محمد قطب السيد قطب جاد</t>
  </si>
  <si>
    <t>عمرو راشد السيد محمد</t>
  </si>
  <si>
    <t>حسين السيد فكري احمد ابو النصر</t>
  </si>
  <si>
    <t>محمد رضا محمد احمد ابراهيم</t>
  </si>
  <si>
    <t xml:space="preserve">احمد محمد دسوقي محمد غانم </t>
  </si>
  <si>
    <t xml:space="preserve">مصطفي السيد عبد الحميد نصار </t>
  </si>
  <si>
    <t>محمد جمال صابر عبد الحميد</t>
  </si>
  <si>
    <t>عبد الحليم عبد الرحمن محمد عبد العزيز</t>
  </si>
  <si>
    <t>احمد فضيل احمد سليمان</t>
  </si>
  <si>
    <t>عامل نظافة</t>
  </si>
  <si>
    <t xml:space="preserve">هناء عبد الهادى السعيد </t>
  </si>
  <si>
    <t>قهوجي - عامل بوفيه</t>
  </si>
  <si>
    <t>احمد ابراهيم رمضان اسماعيل</t>
  </si>
  <si>
    <t>اتوبيس سكن 70</t>
  </si>
  <si>
    <t>اخصائي موارد بشريه</t>
  </si>
  <si>
    <t>فرج احمد محمد على القطاوى</t>
  </si>
  <si>
    <t>بدرية عزت احمد السيد</t>
  </si>
  <si>
    <t xml:space="preserve">محمود السيد عبد الفتاح موسى </t>
  </si>
  <si>
    <t>محمد محمد حسن رزق</t>
  </si>
  <si>
    <t>الشئون القانونية</t>
  </si>
  <si>
    <t>محمد اديب عبد الرحيم حسانه</t>
  </si>
  <si>
    <t>مكتب المدير العام</t>
  </si>
  <si>
    <t>مصطفى عبد الناصر عبد الحكيم الجندي</t>
  </si>
  <si>
    <t>الحسابات</t>
  </si>
  <si>
    <t>خاصة</t>
  </si>
  <si>
    <t>الكهرباء</t>
  </si>
  <si>
    <t>عمرو عبد المحسن عبد الحكيم محمد الجندي</t>
  </si>
  <si>
    <t>فاطمة عزت احمد السيد</t>
  </si>
  <si>
    <t>احمد ابراهيم محمد سليمان</t>
  </si>
  <si>
    <t>بلال السيد مندوه السيد</t>
  </si>
  <si>
    <t>اشرف عبد الرحمن احمد</t>
  </si>
  <si>
    <t>محمد السيد محمود عطية عمارة</t>
  </si>
  <si>
    <t>مخزن قطع الغيار</t>
  </si>
  <si>
    <t>امين مخزن</t>
  </si>
  <si>
    <t>محمد جمال عبد العزيز</t>
  </si>
  <si>
    <t>(مدير شئون عاملين ( مدير موارد بشرية</t>
  </si>
  <si>
    <t>محمد عبد الرحمن حبيب</t>
  </si>
  <si>
    <t>فاطمة حسن السيد على</t>
  </si>
  <si>
    <t>ايهاب علاء نجاح حسين</t>
  </si>
  <si>
    <t>وكيل مشتريات</t>
  </si>
  <si>
    <t>محمد خالد عبد المجيد محمد مهنى</t>
  </si>
  <si>
    <t>سائق</t>
  </si>
  <si>
    <t>محمد مسعد عبد العاطى عبد الفتاح</t>
  </si>
  <si>
    <t>المبيعات</t>
  </si>
  <si>
    <t>وائل عوض محمود</t>
  </si>
  <si>
    <t>فريال احمد حسين محمود</t>
  </si>
  <si>
    <t xml:space="preserve">محمد صلاح فتحى امام </t>
  </si>
  <si>
    <t xml:space="preserve">محمد مصطفى محمد على الهاشمى </t>
  </si>
  <si>
    <t>اسلام محمد عبد الستار محمد</t>
  </si>
  <si>
    <t>فني كهربائي - عام</t>
  </si>
  <si>
    <t>محمد محمد عبد العزيز مصطفى</t>
  </si>
  <si>
    <t>محمد تهامى تهامى عطيه</t>
  </si>
  <si>
    <t>عبد الرحمن غريب عبد الرحمن</t>
  </si>
  <si>
    <t>مدير امن بشركة</t>
  </si>
  <si>
    <t>اسامة درويش حسن عيد</t>
  </si>
  <si>
    <t>فرد امن</t>
  </si>
  <si>
    <t>محمد سيد عبد المنعم محمد</t>
  </si>
  <si>
    <t>مراقب امن</t>
  </si>
  <si>
    <t>امل على حجازي حجازى</t>
  </si>
  <si>
    <t>حسين محمد على اسماعيل</t>
  </si>
  <si>
    <t>نسيم عبد الدايم السيد احمد عبد الدايم</t>
  </si>
  <si>
    <t>امام محمد محمد عثمان</t>
  </si>
  <si>
    <t xml:space="preserve">محمد رمضان النجدى سيد احمد </t>
  </si>
  <si>
    <t>مصطفى جمعة محمد على</t>
  </si>
  <si>
    <t>عيد السيد السعيد العشرى</t>
  </si>
  <si>
    <t>فتحى عبداللطيف على</t>
  </si>
  <si>
    <t>الهادى رياض عبد الهادى حسين عوض الله</t>
  </si>
  <si>
    <t>احمد سعد اسماعيل السيد احمد</t>
  </si>
  <si>
    <t>سيد عبد المعبود بهنساوى</t>
  </si>
  <si>
    <t>مشرف امن</t>
  </si>
  <si>
    <t>احمد محمد محمد عبد اللطيف</t>
  </si>
  <si>
    <t>احمد حسن علي على ادريس</t>
  </si>
  <si>
    <t>خالد عصام عبد الهادى عبد العليم</t>
  </si>
  <si>
    <t>السيد حسين محمود عبد السميع</t>
  </si>
  <si>
    <t>فنى صيانه كهربائية</t>
  </si>
  <si>
    <t>احمد ربيع عبد الله ابو شرخ</t>
  </si>
  <si>
    <t>شريف صلاح سليمان محمد الشوبكى</t>
  </si>
  <si>
    <t>رمضان محمد راشد علي</t>
  </si>
  <si>
    <t>محمد عبد العظيم سعد عبده</t>
  </si>
  <si>
    <t>محمد السيد عبد العزبز السباعي</t>
  </si>
  <si>
    <t>احمد صلاح حسن ابراهيم على</t>
  </si>
  <si>
    <t>خالد محمد حفنى بندارى الجيزاوى</t>
  </si>
  <si>
    <t>احمد عبد السميع محمد عبد السميع عطية</t>
  </si>
  <si>
    <t>محمد نبيل رفاعي احمد</t>
  </si>
  <si>
    <t>موقوف</t>
  </si>
  <si>
    <t>احمد محمد السيد سعد سعيد</t>
  </si>
  <si>
    <t>محمد ابراهيم محمد محمد حسين</t>
  </si>
  <si>
    <t>انور بدوي محمد محمد</t>
  </si>
  <si>
    <t>محمد احمد احمد علي الشعراوي</t>
  </si>
  <si>
    <t>احمد محمد عبد العزيز سليمان</t>
  </si>
  <si>
    <t>محمد شحته ابو زيد عيسى جبر</t>
  </si>
  <si>
    <t>محمد الشوادفى عبيد الشوادفى العشرى</t>
  </si>
  <si>
    <t>هيثم فرج محمد ابوالحسن</t>
  </si>
  <si>
    <t>حماده الشحات حسن محمد بدران</t>
  </si>
  <si>
    <t>رامى شعبان كامل ابوهاشم</t>
  </si>
  <si>
    <t xml:space="preserve">محمد ممدوح محمد المنيرى موسى </t>
  </si>
  <si>
    <t>سمير عبد الناصر محمد عبده السيد</t>
  </si>
  <si>
    <t xml:space="preserve">احمد السيد محمد حسن علوان </t>
  </si>
  <si>
    <t>محمود بكرى سليم احمد</t>
  </si>
  <si>
    <t>احمد سعيد عبد المنعم عبد الحميد</t>
  </si>
  <si>
    <t>حسن صلاح حسن ابراهيم على عطيه</t>
  </si>
  <si>
    <t>مصطفى ابراهيم امين عمامه</t>
  </si>
  <si>
    <t>محمود عبد الرحمن عبد السميع عبد الحميد</t>
  </si>
  <si>
    <t xml:space="preserve">محمد جميل هادى محمد حسن </t>
  </si>
  <si>
    <t>عامل ماكينه تجليخ - براد ماكينات</t>
  </si>
  <si>
    <t>محمد احمد عبد العزيز سليمان</t>
  </si>
  <si>
    <t>رجب محمد عبده عبدالحليم</t>
  </si>
  <si>
    <t xml:space="preserve">احمد رضا </t>
  </si>
  <si>
    <t>علاء ابراهيم عبد العزيز مرسى</t>
  </si>
  <si>
    <t>الغزالى محمد عبدالرحمن على عبدالعليم</t>
  </si>
  <si>
    <t>الوردية الثانية</t>
  </si>
  <si>
    <t>صلاح ممدوح يوسف ابراهيم</t>
  </si>
  <si>
    <t>المخازن</t>
  </si>
  <si>
    <t>محمد صلاح سيد احمد السيد</t>
  </si>
  <si>
    <t>عامل مخزن</t>
  </si>
  <si>
    <t xml:space="preserve">شحاته فوزى شحاته ابو الخير </t>
  </si>
  <si>
    <t>شعبان ابوزيد شعبان حسبو</t>
  </si>
  <si>
    <t xml:space="preserve">احمد السيد على مكاوى </t>
  </si>
  <si>
    <t>محروث ابراهيم الدسوقى محمد محمد محمد</t>
  </si>
  <si>
    <t xml:space="preserve">صلاح على عبد الفتاح على </t>
  </si>
  <si>
    <t>صديق الشحات صديق حسبو ابو العنين</t>
  </si>
  <si>
    <t>ابو الخير عبد العاطى محمد عبد الخير</t>
  </si>
  <si>
    <t>عاصم رضا عبد الحسيب محمد جعفر</t>
  </si>
  <si>
    <t>حماده ابراهيم محمد ابو الفتوح</t>
  </si>
  <si>
    <t>احمد عبدالله توفيق احمد عامر</t>
  </si>
  <si>
    <t>احمد محمد السيد محمد</t>
  </si>
  <si>
    <t>الوردية الثالثة</t>
  </si>
  <si>
    <t xml:space="preserve">محمد طاهر محمد محمد ابراهيم </t>
  </si>
  <si>
    <t xml:space="preserve">محمد عبد العزيز عبد الستار محمود </t>
  </si>
  <si>
    <t xml:space="preserve">محمد السيد محمد عباس </t>
  </si>
  <si>
    <t>محمود احمد محمود يوسف</t>
  </si>
  <si>
    <t>محمد الشحات صديق حسبو</t>
  </si>
  <si>
    <t>مدير مخزن</t>
  </si>
  <si>
    <t>السيد مصطفى السيد محمد</t>
  </si>
  <si>
    <t>احمد ايهاب محمد احمد بكير</t>
  </si>
  <si>
    <t>محمد رضا محمد محمد</t>
  </si>
  <si>
    <t>فنى ميكانيكا</t>
  </si>
  <si>
    <t>محمد عبد المحسن عبد الدايم سيد احمد</t>
  </si>
  <si>
    <t>رومانى منير جرجس بطرس</t>
  </si>
  <si>
    <t>التوزيع</t>
  </si>
  <si>
    <t>خلف فريد خليل عبد الشهيد</t>
  </si>
  <si>
    <t>نبيل خيرى شفيق عطا الله</t>
  </si>
  <si>
    <t>وليد محسن ابراهيم محمد</t>
  </si>
  <si>
    <t>مدير مالي</t>
  </si>
  <si>
    <t>الوردية الأولى الادارة</t>
  </si>
  <si>
    <t>ابراهيم حسن حماد عبد العال</t>
  </si>
  <si>
    <t>محاسب</t>
  </si>
  <si>
    <t xml:space="preserve">محمد محمد محمود احمد ابراهيم </t>
  </si>
  <si>
    <t>عبدالله محمد محمد ابراهيم</t>
  </si>
  <si>
    <t>طارق فرحات عيد مرسال</t>
  </si>
  <si>
    <t>سماح حمدينو الشبراوى احمد</t>
  </si>
  <si>
    <t>نفيسة السيد اسماعيل محمد</t>
  </si>
  <si>
    <t>عمرو محمود محمد قطب الصادق</t>
  </si>
  <si>
    <t>تكنولوجيا المعلومات</t>
  </si>
  <si>
    <t>اخصائى اول نظم معلومات</t>
  </si>
  <si>
    <t>اسلام محمد طه محمد</t>
  </si>
  <si>
    <t>الإستيراد والتصدير</t>
  </si>
  <si>
    <t>مدير مشتريات ولوجستيك</t>
  </si>
  <si>
    <t>ايه عابد عبدالعزيز محمد منازع</t>
  </si>
  <si>
    <t>سكرتير تحرير</t>
  </si>
  <si>
    <t>احمد مصطفي محمد مصطفي ابراهيم</t>
  </si>
  <si>
    <t>محمود خالد عبد المطلب احمد رابح</t>
  </si>
  <si>
    <t>العاشر الادارة</t>
  </si>
  <si>
    <t>اخصائى لوجستيات</t>
  </si>
  <si>
    <t>عمر رفعت عبد المنعم على الديك</t>
  </si>
  <si>
    <t>احمد عبده احمد عبده حسن اللبان</t>
  </si>
  <si>
    <t>محمود عبد العاطى</t>
  </si>
  <si>
    <t>محمد عصام  عبد الهادى</t>
  </si>
  <si>
    <t>Total</t>
  </si>
  <si>
    <t>الاسم</t>
  </si>
  <si>
    <t>الوظيفية</t>
  </si>
  <si>
    <t>تاريخ بدأ الاشتراك فى أورينت</t>
  </si>
  <si>
    <t>الاجر الشامل</t>
  </si>
  <si>
    <t>مبلغ التأمين</t>
  </si>
  <si>
    <t>ما يتحمله العامل</t>
  </si>
  <si>
    <t xml:space="preserve">ما تتحمله الشركة </t>
  </si>
  <si>
    <t>اصل شهادة الجيش</t>
  </si>
  <si>
    <t>اصل المؤهل</t>
  </si>
  <si>
    <t>اصل الميلاد</t>
  </si>
  <si>
    <t xml:space="preserve">صورة بطاقة </t>
  </si>
  <si>
    <t>6 صور شخصية</t>
  </si>
  <si>
    <t>كعب عمل</t>
  </si>
  <si>
    <t>الفيش الجنائي</t>
  </si>
  <si>
    <t>شهادة قياس مستوى المهارة</t>
  </si>
  <si>
    <t>الاجر الشامل الجديد</t>
  </si>
  <si>
    <t xml:space="preserve">قيمة ما يتم تحميله على العامل </t>
  </si>
  <si>
    <t>قيمة ما يتم تحميله على الشركة</t>
  </si>
  <si>
    <t>Emp_ID</t>
  </si>
  <si>
    <t>Emp_First_Name</t>
  </si>
  <si>
    <t>Emp_Second_Name</t>
  </si>
  <si>
    <t>Emp_Full_Name</t>
  </si>
  <si>
    <t>Emp_Name_English</t>
  </si>
  <si>
    <t>Emp_Phone1</t>
  </si>
  <si>
    <t>Emp_Phone2</t>
  </si>
  <si>
    <t>Emp_Address</t>
  </si>
  <si>
    <t>Emp_Marital_Status</t>
  </si>
  <si>
    <t>Emp_Nationality</t>
  </si>
  <si>
    <t>People_With_Special_Needs</t>
  </si>
  <si>
    <t>National_ID</t>
  </si>
  <si>
    <t>Date_Birth</t>
  </si>
  <si>
    <t>Place_Birth</t>
  </si>
  <si>
    <t>Emp_Type</t>
  </si>
  <si>
    <t>Working_Condition</t>
  </si>
  <si>
    <t>Dept_Code</t>
  </si>
  <si>
    <t>Dept_Name</t>
  </si>
  <si>
    <t>Jop_Code</t>
  </si>
  <si>
    <t>Jop_Name</t>
  </si>
  <si>
    <t>Emp_Date_Hiring</t>
  </si>
  <si>
    <t>Emp_Car</t>
  </si>
  <si>
    <t>Car_Ride_Time</t>
  </si>
  <si>
    <t>Car_Pick_Up_Point</t>
  </si>
  <si>
    <t>Insurance_Status</t>
  </si>
  <si>
    <t>Jop_Code_insurance</t>
  </si>
  <si>
    <t>Jop_Name_insurance</t>
  </si>
  <si>
    <t>Health_Card</t>
  </si>
  <si>
    <t>Health_Card_Number</t>
  </si>
  <si>
    <t>Health_Card_Start_Date</t>
  </si>
  <si>
    <t>Health_Card_Renewal_Date</t>
  </si>
  <si>
    <t>The_health_card_remains_expire</t>
  </si>
  <si>
    <t>Health_Card_Expiration_Date</t>
  </si>
  <si>
    <t>Number_Insurance</t>
  </si>
  <si>
    <t>Date_Insurance_Start</t>
  </si>
  <si>
    <t>Insurance_Salary</t>
  </si>
  <si>
    <t>Percentage_Insurance_Payable</t>
  </si>
  <si>
    <t>Due_Insurance_Amount</t>
  </si>
  <si>
    <t>Form_S1</t>
  </si>
  <si>
    <t>Confirmation_Insurance_Entry</t>
  </si>
  <si>
    <t>Delivery_Date_S1</t>
  </si>
  <si>
    <t>Receive_Date_S1</t>
  </si>
  <si>
    <t>Form_S6</t>
  </si>
  <si>
    <t>Delivery_Date_S6</t>
  </si>
  <si>
    <t>Receive_Date_S6</t>
  </si>
  <si>
    <t>Hiring_Date_Health_Card</t>
  </si>
  <si>
    <t>Skill_level_measurement_certificate</t>
  </si>
  <si>
    <t>End_date_probationary_period</t>
  </si>
  <si>
    <t>CurrentWeekShift</t>
  </si>
  <si>
    <t>NextWeekShift</t>
  </si>
  <si>
    <t>Friday_Operation</t>
  </si>
  <si>
    <t>Shift_Type</t>
  </si>
  <si>
    <t>Entrance_Date_S1</t>
  </si>
  <si>
    <t>Entrance_Number_S1</t>
  </si>
  <si>
    <t>Remaining_Contract_Renewal</t>
  </si>
  <si>
    <t>Medical_Exam_Form_Submission</t>
  </si>
  <si>
    <t>Years_Since_Contract_Start</t>
  </si>
  <si>
    <t>Contract_Renewal_Date</t>
  </si>
  <si>
    <t>Contract_Expiry_Date</t>
  </si>
  <si>
    <t>Insurance_Code</t>
  </si>
  <si>
    <t>Personal_ID_Expiry_Date</t>
  </si>
  <si>
    <t>Contract_Renewal_Month</t>
  </si>
  <si>
    <t>Military_Service_Certificate</t>
  </si>
  <si>
    <t>Qualification_Certificate</t>
  </si>
  <si>
    <t>Birth_Certificate</t>
  </si>
  <si>
    <t>Insurance_Printout</t>
  </si>
  <si>
    <t>ID_Card_Photo</t>
  </si>
  <si>
    <t>Personal_Photos</t>
  </si>
  <si>
    <t>Employment_Contract</t>
  </si>
  <si>
    <t>Medical_Exam_Form</t>
  </si>
  <si>
    <t>Criminal_Record_Check</t>
  </si>
  <si>
    <t>Social_Status_Report</t>
  </si>
  <si>
    <t>Work_Heel</t>
  </si>
  <si>
    <t>Heel_Work_Number</t>
  </si>
  <si>
    <t>Heel_Work_Registration_Date</t>
  </si>
  <si>
    <t>Heel_Work_Recipient</t>
  </si>
  <si>
    <t>Heel_Work_Recipient_Address</t>
  </si>
  <si>
    <t>Entrance_Number_S6</t>
  </si>
  <si>
    <t>Entrance_Date_S6</t>
  </si>
  <si>
    <t>Shift_paper</t>
  </si>
  <si>
    <t>Age</t>
  </si>
  <si>
    <t>Date_Resignation</t>
  </si>
  <si>
    <t>Reason_Resignation</t>
  </si>
  <si>
    <t>Mother_Name</t>
  </si>
  <si>
    <t>Confirm_Exit_Insurance</t>
  </si>
  <si>
    <t>Governorate</t>
  </si>
  <si>
    <t>Direct_Manager</t>
  </si>
  <si>
    <t>Orient_Incoming_Number</t>
  </si>
  <si>
    <t>Orient_Incoming_Date</t>
  </si>
  <si>
    <t>Orient_S1_Delivery_Date</t>
  </si>
  <si>
    <t>Orient_S1_Receipt_Date</t>
  </si>
  <si>
    <t>Orient_Insurance_Entry_Confirmation</t>
  </si>
  <si>
    <t>Telegram_ID</t>
  </si>
  <si>
    <t>محمود</t>
  </si>
  <si>
    <t>محسن</t>
  </si>
  <si>
    <t>0</t>
  </si>
  <si>
    <t/>
  </si>
  <si>
    <t>استقالة</t>
  </si>
  <si>
    <t>مشغل ماكينة A</t>
  </si>
  <si>
    <t>سكن الشركة المجاورة 70</t>
  </si>
  <si>
    <t>موجودة</t>
  </si>
  <si>
    <t>لا</t>
  </si>
  <si>
    <t>احمد</t>
  </si>
  <si>
    <t>الزنكلون - مركز الزقازيق - الشرقية</t>
  </si>
  <si>
    <t>عامل تعبئة</t>
  </si>
  <si>
    <t>معافى نهائي</t>
  </si>
  <si>
    <t>إعدادى</t>
  </si>
  <si>
    <t>الشرقية</t>
  </si>
  <si>
    <t>محمد</t>
  </si>
  <si>
    <t>ابراهيم</t>
  </si>
  <si>
    <t>عالى</t>
  </si>
  <si>
    <t>Muhammad Mahmoud Al-Tayeb is Sabra</t>
  </si>
  <si>
    <t>01020551925</t>
  </si>
  <si>
    <t>9مج 45 مربع 2 مدخل ا - ثان العاشر من رمضان - الشرقية</t>
  </si>
  <si>
    <t>متزوج</t>
  </si>
  <si>
    <t>29106011403851</t>
  </si>
  <si>
    <t>مشغل ماكينة B</t>
  </si>
  <si>
    <t xml:space="preserve">حى الاندلس حي النرجس </t>
  </si>
  <si>
    <t>ادى الخدمة</t>
  </si>
  <si>
    <t>مؤهل عالى</t>
  </si>
  <si>
    <t>نعم</t>
  </si>
  <si>
    <t>انتصار عيد حافظ</t>
  </si>
  <si>
    <t>سيد</t>
  </si>
  <si>
    <t>عاملة تعبئة</t>
  </si>
  <si>
    <t>عماير 110</t>
  </si>
  <si>
    <t>غير موجودة</t>
  </si>
  <si>
    <t>ولاء</t>
  </si>
  <si>
    <t>Wala Muhammad Shibl Othman</t>
  </si>
  <si>
    <t>01095180055</t>
  </si>
  <si>
    <t>السلام - مركز بلبيس - الشرقية</t>
  </si>
  <si>
    <t>28204111302146</t>
  </si>
  <si>
    <t>صنية مصر الحجاز</t>
  </si>
  <si>
    <t>ثابت</t>
  </si>
  <si>
    <t xml:space="preserve">روحيه عبدالحليم حسن </t>
  </si>
  <si>
    <t>زينب</t>
  </si>
  <si>
    <t>Zainab Muhammad Al-Shawadfi Ali Yahya</t>
  </si>
  <si>
    <t>010194471001</t>
  </si>
  <si>
    <t>عزبة علي سليمان - القرين - الشرقية</t>
  </si>
  <si>
    <t>29401011323042</t>
  </si>
  <si>
    <t>القرين - عزبة على سليمان</t>
  </si>
  <si>
    <t>مديحه احمد السيد</t>
  </si>
  <si>
    <t>متوسط</t>
  </si>
  <si>
    <t>عبد الرحمن</t>
  </si>
  <si>
    <t>إبتدائى</t>
  </si>
  <si>
    <t>حنان</t>
  </si>
  <si>
    <t>سليمان</t>
  </si>
  <si>
    <t>Hanan Suleiman Salem Awad</t>
  </si>
  <si>
    <t>01094480035</t>
  </si>
  <si>
    <t>4مج 44 مربع 2 نموذج و - ثان العاشر من رمضان - الشرقية</t>
  </si>
  <si>
    <t>27312241302605</t>
  </si>
  <si>
    <t>مجاورة 46</t>
  </si>
  <si>
    <t xml:space="preserve">سعاد احمد إبراهيم </t>
  </si>
  <si>
    <t>ناهد</t>
  </si>
  <si>
    <t>Nahed Muhammad Muhammad Ali</t>
  </si>
  <si>
    <t>01094722800</t>
  </si>
  <si>
    <t>ترعة البطيخ - ق الازهار - مركز اولاد صقر - الشرقية</t>
  </si>
  <si>
    <t>28603101306102</t>
  </si>
  <si>
    <t xml:space="preserve">نور الإسلام </t>
  </si>
  <si>
    <t xml:space="preserve">نعناع إسماعيل مصطفي </t>
  </si>
  <si>
    <t>شادية</t>
  </si>
  <si>
    <t>Shadia Mahmoud Ali Muhammad</t>
  </si>
  <si>
    <t>01094419500</t>
  </si>
  <si>
    <t>ع الهيطة - صان القبلية - مركز صان الحجر - الشرقية</t>
  </si>
  <si>
    <t>28602111201027</t>
  </si>
  <si>
    <t xml:space="preserve">مفارق الثورة </t>
  </si>
  <si>
    <t xml:space="preserve">نجفات محمد الصانت </t>
  </si>
  <si>
    <t>مسعد</t>
  </si>
  <si>
    <t>Shadia Massad Ibrahim Al-Azab</t>
  </si>
  <si>
    <t>01094410092</t>
  </si>
  <si>
    <t>1مج 36 مدخل ب - ثان العاشر من رمضان - الشرقية</t>
  </si>
  <si>
    <t>28203141602229</t>
  </si>
  <si>
    <t>شارع الثورة</t>
  </si>
  <si>
    <t xml:space="preserve">بدويه زكي علي </t>
  </si>
  <si>
    <t>هناء</t>
  </si>
  <si>
    <t>الديب</t>
  </si>
  <si>
    <t>Hanaa Al-Deeb Abdel-Mawjoud Hafni</t>
  </si>
  <si>
    <t>0104665300</t>
  </si>
  <si>
    <t>المنطقة الصناعية C1 عرفات قطعة 18 - ثان العاشر من رمضان - الشرقية</t>
  </si>
  <si>
    <t>29411012706901</t>
  </si>
  <si>
    <t xml:space="preserve">موز عثمان رفاعي </t>
  </si>
  <si>
    <t>هبة</t>
  </si>
  <si>
    <t>Heba Muhammad Ahmed Ali</t>
  </si>
  <si>
    <t>01091569899</t>
  </si>
  <si>
    <t>صان القبلية - مركز صان الحجر - الشرقية</t>
  </si>
  <si>
    <t>29409271302368</t>
  </si>
  <si>
    <t>الحى 12 - شارع اللوادر</t>
  </si>
  <si>
    <t>عزه عبدالعظيم إسماعيل</t>
  </si>
  <si>
    <t>نورا</t>
  </si>
  <si>
    <t>فرج</t>
  </si>
  <si>
    <t>Noura Farag Hamed Muhammad</t>
  </si>
  <si>
    <t>01013109762</t>
  </si>
  <si>
    <t>ابو طاحون - مركز اولاد صقر - الشرقية</t>
  </si>
  <si>
    <t>29601011257481</t>
  </si>
  <si>
    <t xml:space="preserve">زينب منصور عز الرحال </t>
  </si>
  <si>
    <t>الاسدية - مركز ابو حماد - الشرقية</t>
  </si>
  <si>
    <t>القرين - المعمورة</t>
  </si>
  <si>
    <t>هيثم</t>
  </si>
  <si>
    <t>كامل</t>
  </si>
  <si>
    <t>Haitham Kamel Ibrahim Muhammad</t>
  </si>
  <si>
    <t>01021934463</t>
  </si>
  <si>
    <t>29404011310632</t>
  </si>
  <si>
    <t>المعمورة</t>
  </si>
  <si>
    <t>ثانية &amp; ثالثة</t>
  </si>
  <si>
    <t xml:space="preserve">صفاء الشحات احمد </t>
  </si>
  <si>
    <t>فتحى</t>
  </si>
  <si>
    <t>Ahmed Fathi Mohamed Ibrahim</t>
  </si>
  <si>
    <t>01283550198</t>
  </si>
  <si>
    <t>القرين -الشرقية</t>
  </si>
  <si>
    <t>28108201303657</t>
  </si>
  <si>
    <t>سميه سليمان إبراهيم</t>
  </si>
  <si>
    <t>اشرف</t>
  </si>
  <si>
    <t>القرين - الكردود</t>
  </si>
  <si>
    <t>السيد</t>
  </si>
  <si>
    <t>فهد</t>
  </si>
  <si>
    <t>عبد العزيز</t>
  </si>
  <si>
    <t>Fahd Abdul Aziz Hussein Qutb</t>
  </si>
  <si>
    <t>01203650452</t>
  </si>
  <si>
    <t xml:space="preserve">شارع اللواء توفيق زيدان - القرين - الشرقية </t>
  </si>
  <si>
    <t>29211221302893</t>
  </si>
  <si>
    <t>عامل المواد الاولية</t>
  </si>
  <si>
    <t>محاسن عبدااله عبدالكريم</t>
  </si>
  <si>
    <t>Muhammad Mahmoud Ashour Muhammad</t>
  </si>
  <si>
    <t>01066913690</t>
  </si>
  <si>
    <t>28106251301172</t>
  </si>
  <si>
    <t>كوثر محمد سليمان</t>
  </si>
  <si>
    <t>عبده</t>
  </si>
  <si>
    <t>برعى</t>
  </si>
  <si>
    <t>Abdo Baraie Muhammad Ibrahim</t>
  </si>
  <si>
    <t>01062214916</t>
  </si>
  <si>
    <t>27207061301319</t>
  </si>
  <si>
    <t>عظيمه محمود محمد</t>
  </si>
  <si>
    <t>عبد العظيم</t>
  </si>
  <si>
    <t>يوسف</t>
  </si>
  <si>
    <t>القرين - الاسدية</t>
  </si>
  <si>
    <t>Mahmoud Muhammad Hosseini Hassan</t>
  </si>
  <si>
    <t>01096722741</t>
  </si>
  <si>
    <t>28712171301578</t>
  </si>
  <si>
    <t>الشرقية / مركز ابو حماد</t>
  </si>
  <si>
    <t>فنى صيانة ( سباك )</t>
  </si>
  <si>
    <t>بدون</t>
  </si>
  <si>
    <t>زينب عبدالرحمن عبدالحميد</t>
  </si>
  <si>
    <t>جمعة</t>
  </si>
  <si>
    <t>Jumaa Al-Sayyid Muhammad Radwan</t>
  </si>
  <si>
    <t>01064626545</t>
  </si>
  <si>
    <t>26705271300834</t>
  </si>
  <si>
    <t>لطيفه السيد إبراهيم</t>
  </si>
  <si>
    <t>عمرو</t>
  </si>
  <si>
    <t>جمال</t>
  </si>
  <si>
    <t>السعيدية - مركز بلبيس - الشرقية</t>
  </si>
  <si>
    <t>اسلام</t>
  </si>
  <si>
    <t>حسن</t>
  </si>
  <si>
    <t>متولى</t>
  </si>
  <si>
    <t>فوزى</t>
  </si>
  <si>
    <t>كريم</t>
  </si>
  <si>
    <t>سعيد</t>
  </si>
  <si>
    <t>Metwally Muhammad Metwally Aboul Fotouh</t>
  </si>
  <si>
    <t>01064948547</t>
  </si>
  <si>
    <t>7ش دكتور مصطفي محمود - صافور - مركز ديرب نجم - الشرقية</t>
  </si>
  <si>
    <t>29106011313011</t>
  </si>
  <si>
    <t>مراقب جودة</t>
  </si>
  <si>
    <t xml:space="preserve">سكن المخازن </t>
  </si>
  <si>
    <t>فايزه احمد محمد</t>
  </si>
  <si>
    <t>رافت</t>
  </si>
  <si>
    <t>Muhammad Raafat Ahmed Ahmed</t>
  </si>
  <si>
    <t>01100061822</t>
  </si>
  <si>
    <t>88 مجاوره 40 - ثان العاشر من رمضان - الشرقية</t>
  </si>
  <si>
    <t>29002171302937</t>
  </si>
  <si>
    <t>مجاوره ٤٠</t>
  </si>
  <si>
    <t>سلوي مبروك محمد</t>
  </si>
  <si>
    <t>حماده</t>
  </si>
  <si>
    <t>مسلم</t>
  </si>
  <si>
    <t>Hamada Muslim Ibrahim Al-Sayed</t>
  </si>
  <si>
    <t>01015104978</t>
  </si>
  <si>
    <t>29309011304311</t>
  </si>
  <si>
    <t>من نقطه البدايه</t>
  </si>
  <si>
    <t>ناديه حسين محمد</t>
  </si>
  <si>
    <t>عماد</t>
  </si>
  <si>
    <t>حمدى</t>
  </si>
  <si>
    <t>Imad Hamdy Abdel Salam Mohamed</t>
  </si>
  <si>
    <t>01142879983</t>
  </si>
  <si>
    <t>29 ب مجاورة 37 - ثان العاشر من رمضان - الشرقية</t>
  </si>
  <si>
    <t>29607291300732</t>
  </si>
  <si>
    <t>مفارق 59</t>
  </si>
  <si>
    <t>لايوجد</t>
  </si>
  <si>
    <t>ايوب</t>
  </si>
  <si>
    <t>عوض</t>
  </si>
  <si>
    <t>Ayoub replaced Ayoub Bayoumi</t>
  </si>
  <si>
    <t>01148061811</t>
  </si>
  <si>
    <t>الخادمية - مركز كفر الشيخ - كفر الشيخ</t>
  </si>
  <si>
    <t>29304161500133</t>
  </si>
  <si>
    <t xml:space="preserve">السكن </t>
  </si>
  <si>
    <t>سعيده عبدالهادي حامد</t>
  </si>
  <si>
    <t>كفر الشيخ</t>
  </si>
  <si>
    <t>مدحت</t>
  </si>
  <si>
    <t>Ahmed Medhat Abdel Wareth Muhammad</t>
  </si>
  <si>
    <t>01113513790</t>
  </si>
  <si>
    <t>10مدخل ا مج 40 مربع 3 - ثان العاشر من رمضان - الشرقية</t>
  </si>
  <si>
    <t>29507291302218</t>
  </si>
  <si>
    <t>منسق الموارد البشرية</t>
  </si>
  <si>
    <t xml:space="preserve">حي الاندلس </t>
  </si>
  <si>
    <t>اكرام صبحي الشحات</t>
  </si>
  <si>
    <t>مصطفى</t>
  </si>
  <si>
    <t>عبدالله</t>
  </si>
  <si>
    <t>صدقى</t>
  </si>
  <si>
    <t>Abdullah Sedqi Ibrahim Saqr</t>
  </si>
  <si>
    <t>01027483325</t>
  </si>
  <si>
    <t>الهيطة - مركز صان الحجر - الشرقية</t>
  </si>
  <si>
    <t>27002011201711</t>
  </si>
  <si>
    <t xml:space="preserve">شارع الثوره </t>
  </si>
  <si>
    <t>دولت محمد حسين</t>
  </si>
  <si>
    <t>Muhammad Kamel Ibrahim Muhammad</t>
  </si>
  <si>
    <t>01022357584</t>
  </si>
  <si>
    <t>28907241301274</t>
  </si>
  <si>
    <t>فؤاد</t>
  </si>
  <si>
    <t>Ibrahim Abdel Rahman Al-Sayed Sanad</t>
  </si>
  <si>
    <t>01278910365</t>
  </si>
  <si>
    <t>29603141300534</t>
  </si>
  <si>
    <t xml:space="preserve">المواقف </t>
  </si>
  <si>
    <t xml:space="preserve">اجلال إبراهيم دسوقي </t>
  </si>
  <si>
    <t>طارق</t>
  </si>
  <si>
    <t>Abdullah Youssef Ghaleb Hassan</t>
  </si>
  <si>
    <t>01023521660</t>
  </si>
  <si>
    <t>1مج 45 م2 - ثاني العاشر من رمضان - الشرقية</t>
  </si>
  <si>
    <t>29711171301036</t>
  </si>
  <si>
    <t>الشرقية / العاشر من رمضان</t>
  </si>
  <si>
    <t>فنى صيانة</t>
  </si>
  <si>
    <t>صيدلية دوائك</t>
  </si>
  <si>
    <t>مني علي محمد</t>
  </si>
  <si>
    <t>فتح الله</t>
  </si>
  <si>
    <t>Fathallah Abdullah Ahmed Ahmed</t>
  </si>
  <si>
    <t>01019956532</t>
  </si>
  <si>
    <t>29401181500356</t>
  </si>
  <si>
    <t xml:space="preserve">عماير الدبش </t>
  </si>
  <si>
    <t>صابرين فتح الله احمد</t>
  </si>
  <si>
    <t xml:space="preserve">كفر الشيخ </t>
  </si>
  <si>
    <t>صابر</t>
  </si>
  <si>
    <t>Saber Fawzi Kamel Abu Hashem</t>
  </si>
  <si>
    <t>01203112656</t>
  </si>
  <si>
    <t>29711261300438</t>
  </si>
  <si>
    <t>صيانة ( صماغات )</t>
  </si>
  <si>
    <t xml:space="preserve">شرع نور الإسلام مساكن عثمان </t>
  </si>
  <si>
    <t>ام هاشم جوده مصطفي</t>
  </si>
  <si>
    <t>العباسة - مركز ابو حماد - الشرقية</t>
  </si>
  <si>
    <t>العباسة</t>
  </si>
  <si>
    <t>صقر</t>
  </si>
  <si>
    <t>Saqr Abdullah Saqr Saqr Hamada</t>
  </si>
  <si>
    <t>01229497199</t>
  </si>
  <si>
    <t>29605011300799</t>
  </si>
  <si>
    <t>الشرقية / مركز الزقازيق</t>
  </si>
  <si>
    <t xml:space="preserve">امال احمد رمزي </t>
  </si>
  <si>
    <t>01068535075</t>
  </si>
  <si>
    <t>وليد</t>
  </si>
  <si>
    <t>الدايدمونى</t>
  </si>
  <si>
    <t>Walid Al-Daydamouni, Mr. Mustafa</t>
  </si>
  <si>
    <t>01013941864</t>
  </si>
  <si>
    <t>كفر موسي عمران - مركز الزقازيق - الشرقية</t>
  </si>
  <si>
    <t>28509011305895</t>
  </si>
  <si>
    <t>سناء إبراهيم غريب</t>
  </si>
  <si>
    <t>عبد الناصر</t>
  </si>
  <si>
    <t>حسام</t>
  </si>
  <si>
    <t>اية</t>
  </si>
  <si>
    <t>Aya Abdullah Sedqi Ibrahim</t>
  </si>
  <si>
    <t>01099135075</t>
  </si>
  <si>
    <t>29910011248786</t>
  </si>
  <si>
    <t xml:space="preserve">حى الاندلس  عند الحضانه مقفوله </t>
  </si>
  <si>
    <t>رضا صقر السعيد</t>
  </si>
  <si>
    <t>سميرة</t>
  </si>
  <si>
    <t>Samira Ibrahim Yahya Ibrahim</t>
  </si>
  <si>
    <t>01094622700</t>
  </si>
  <si>
    <t>انشاص الرمل - مركز بلبيس - الشرقية</t>
  </si>
  <si>
    <t>28003251302426</t>
  </si>
  <si>
    <t>عماير الدبش</t>
  </si>
  <si>
    <t>صباح محمود احمد سعد</t>
  </si>
  <si>
    <t>رضا</t>
  </si>
  <si>
    <t>Reda Muhammad Ibrahim Muhammad</t>
  </si>
  <si>
    <t>01096001190</t>
  </si>
  <si>
    <t xml:space="preserve">الهيطة - مركز صان الحجر - الشرقية </t>
  </si>
  <si>
    <t>29811221301681</t>
  </si>
  <si>
    <t>صينية صاد</t>
  </si>
  <si>
    <t>بهيه السيد علي</t>
  </si>
  <si>
    <t>عز</t>
  </si>
  <si>
    <t>يحيى</t>
  </si>
  <si>
    <t>Ezz Yahya Abdul Jalil Muhammad</t>
  </si>
  <si>
    <t>01094800337</t>
  </si>
  <si>
    <t>24 مجاورة 36 مدخل ا - ثان العاشر من رمضان - الشرقية</t>
  </si>
  <si>
    <t>27703091300608</t>
  </si>
  <si>
    <t>خيريه مهدي محمد</t>
  </si>
  <si>
    <t>عمر</t>
  </si>
  <si>
    <t>سحر</t>
  </si>
  <si>
    <t>ربيع</t>
  </si>
  <si>
    <t>Sahar Rabie Muhammad Ali</t>
  </si>
  <si>
    <t>01096106272</t>
  </si>
  <si>
    <t>قرية الحلابية - مركز بني سويف - بني سويف</t>
  </si>
  <si>
    <t>28702032200109</t>
  </si>
  <si>
    <t>صنية الحي 16</t>
  </si>
  <si>
    <t xml:space="preserve">نجات طه محمود </t>
  </si>
  <si>
    <t>ايهاب</t>
  </si>
  <si>
    <t>الحى 14</t>
  </si>
  <si>
    <t>Reda Saqr Al-Saeed Ibrahim</t>
  </si>
  <si>
    <t>01094980022</t>
  </si>
  <si>
    <t>حارة الجرابعة بجوار سنترال بني عبيد - مركز بني عبيد - الدقهلية</t>
  </si>
  <si>
    <t>27505061201021</t>
  </si>
  <si>
    <t>امينه عطا الحلةجي</t>
  </si>
  <si>
    <t>01067906323</t>
  </si>
  <si>
    <t>سامح</t>
  </si>
  <si>
    <t>Sameh Abdullah Hassan Abdullah</t>
  </si>
  <si>
    <t>01097288400</t>
  </si>
  <si>
    <t>29105191301078</t>
  </si>
  <si>
    <t>زينب توفيق محمود</t>
  </si>
  <si>
    <t>Juma Muhammad Al-Sayed Ali</t>
  </si>
  <si>
    <t>01025844818</t>
  </si>
  <si>
    <t>29608041301594</t>
  </si>
  <si>
    <t>وفاء عبدالمنعم عبدالرحمن</t>
  </si>
  <si>
    <t>Hossam Al-Sayed Abu Hashem Muhammad</t>
  </si>
  <si>
    <t>01096606500</t>
  </si>
  <si>
    <t>الصيرافية - القرين -الشرقية</t>
  </si>
  <si>
    <t>30012011304918</t>
  </si>
  <si>
    <t xml:space="preserve">الكردود </t>
  </si>
  <si>
    <t>صباح علي محمد</t>
  </si>
  <si>
    <t>Ahmed Ibrahim Ali Musharraf Awadallah</t>
  </si>
  <si>
    <t>01015651371</t>
  </si>
  <si>
    <t>اعزب</t>
  </si>
  <si>
    <t>30112051303374</t>
  </si>
  <si>
    <t>معافى مؤقت</t>
  </si>
  <si>
    <t>منال محمد محمود</t>
  </si>
  <si>
    <t>زكريا</t>
  </si>
  <si>
    <t>بدرى</t>
  </si>
  <si>
    <t>Zakaria Badri Muhammad Muhammad Ibrahim</t>
  </si>
  <si>
    <t>01093463042</t>
  </si>
  <si>
    <t>27102281300759</t>
  </si>
  <si>
    <t>حبيبه السيد محمد</t>
  </si>
  <si>
    <t>Medhat Youssef Mohamed Morsi</t>
  </si>
  <si>
    <t>01015800376</t>
  </si>
  <si>
    <t>29008251302031</t>
  </si>
  <si>
    <t>عريفه عبدالعظيم علي</t>
  </si>
  <si>
    <t>سمير</t>
  </si>
  <si>
    <t>Juma Samir Muhammad Al-Sayed</t>
  </si>
  <si>
    <t>01069717995</t>
  </si>
  <si>
    <t>28702241301435</t>
  </si>
  <si>
    <t>نوال بدري محمد</t>
  </si>
  <si>
    <t>على</t>
  </si>
  <si>
    <t>عبد الكريم</t>
  </si>
  <si>
    <t>Mahmoud Abdel Karim Hassanein Mohamed</t>
  </si>
  <si>
    <t>01029722754</t>
  </si>
  <si>
    <t>27505041300899</t>
  </si>
  <si>
    <t>فتحيه محمد محمد</t>
  </si>
  <si>
    <t>نبيل</t>
  </si>
  <si>
    <t>ايمن</t>
  </si>
  <si>
    <t>رمضان</t>
  </si>
  <si>
    <t>صنية نور الاسلام</t>
  </si>
  <si>
    <t>عزت</t>
  </si>
  <si>
    <t>علاء</t>
  </si>
  <si>
    <t>Alaa Hamdy Abdel Salam Mohamed</t>
  </si>
  <si>
    <t>1065628608</t>
  </si>
  <si>
    <t>01119036776</t>
  </si>
  <si>
    <t>ابو طاحون - الفرايحه  مركز اولاد صقر - الشرقية</t>
  </si>
  <si>
    <t>30006101303856</t>
  </si>
  <si>
    <t>دخلت الأندلس قدام سنتر الحى 12</t>
  </si>
  <si>
    <t>مؤهل متوسط</t>
  </si>
  <si>
    <t>انس</t>
  </si>
  <si>
    <t>Anas Muhammad Ibrahim Desouky</t>
  </si>
  <si>
    <t>01550702791</t>
  </si>
  <si>
    <t>29112011301578</t>
  </si>
  <si>
    <t>رجب</t>
  </si>
  <si>
    <t>عامل خدمات صالة</t>
  </si>
  <si>
    <t>عبد الفتاح</t>
  </si>
  <si>
    <t>ناصر</t>
  </si>
  <si>
    <t>Abdel Fattah Nasser Abdel Salam</t>
  </si>
  <si>
    <t>01094171073</t>
  </si>
  <si>
    <t>النوافعه - مركز فاقوس - الشرقية</t>
  </si>
  <si>
    <t>29611251302454</t>
  </si>
  <si>
    <t>حى الاندلس</t>
  </si>
  <si>
    <t>نبيله عزت علي</t>
  </si>
  <si>
    <t>انور</t>
  </si>
  <si>
    <t>صالح</t>
  </si>
  <si>
    <t>Reda Saleh Abdel Fattah Attia</t>
  </si>
  <si>
    <t>01025620742</t>
  </si>
  <si>
    <t>28707111305112</t>
  </si>
  <si>
    <t>حياه محمد الهادي</t>
  </si>
  <si>
    <t>Muhammad Walid Abdel Sattar Muhammad</t>
  </si>
  <si>
    <t>01224850567</t>
  </si>
  <si>
    <t>29806011303378</t>
  </si>
  <si>
    <t xml:space="preserve"> موقف الزنكلون</t>
  </si>
  <si>
    <t>نقاوه محمد زكي</t>
  </si>
  <si>
    <t>Saber Al-Sayed Fikry Ahmed</t>
  </si>
  <si>
    <t>0125378364</t>
  </si>
  <si>
    <t>30005011320755</t>
  </si>
  <si>
    <t>سحر جوده محمد</t>
  </si>
  <si>
    <t>سعد</t>
  </si>
  <si>
    <t>حسين</t>
  </si>
  <si>
    <t>Haitham Hussein Abdel Hakim Hussein</t>
  </si>
  <si>
    <t>01028884022</t>
  </si>
  <si>
    <t>مجاورة 40 مربع 1 عمارة 6 - ثان العاشر من رمضان - الشرقية</t>
  </si>
  <si>
    <t>28603170103574</t>
  </si>
  <si>
    <t xml:space="preserve">القاهرة / عين شمس </t>
  </si>
  <si>
    <t xml:space="preserve">كوبري الأحرار الزقازيق </t>
  </si>
  <si>
    <t>سميه محمد محمد</t>
  </si>
  <si>
    <t>عبد الله</t>
  </si>
  <si>
    <t>المجاورة 22</t>
  </si>
  <si>
    <t>وسام</t>
  </si>
  <si>
    <t>مفيد</t>
  </si>
  <si>
    <t>وسام مفيد القادرى</t>
  </si>
  <si>
    <t>Wissam Mufid Al-Qadiri</t>
  </si>
  <si>
    <t>01022391369</t>
  </si>
  <si>
    <t>العاشر من رمضان - المجاورة 55</t>
  </si>
  <si>
    <t>مجاورة 54 _ دار مصر</t>
  </si>
  <si>
    <t>العاشر من رمضان - المجاورة 27</t>
  </si>
  <si>
    <t>المجاورة 27</t>
  </si>
  <si>
    <t>رافت احمد جلو</t>
  </si>
  <si>
    <t>Raafat Ahmed Jalo</t>
  </si>
  <si>
    <t>01157181272</t>
  </si>
  <si>
    <t>ميكروباص نهارى</t>
  </si>
  <si>
    <t>صلاح</t>
  </si>
  <si>
    <t>Mohamed Salah Abdullah Mahmoud</t>
  </si>
  <si>
    <t>01272593944</t>
  </si>
  <si>
    <t>سنتماي - مركز ميت غمر - الدقهلية</t>
  </si>
  <si>
    <t>27603011402311</t>
  </si>
  <si>
    <t>زينب محمد محمد</t>
  </si>
  <si>
    <t>الدقهليه</t>
  </si>
  <si>
    <t>الشوادفى</t>
  </si>
  <si>
    <t>Mahmoud Al-Shawadfi Obaid Al-Shawadfi</t>
  </si>
  <si>
    <t>01090322590</t>
  </si>
  <si>
    <t>دقميره - مركز كفر الشيخ - كفر الشيخ</t>
  </si>
  <si>
    <t>29212021500077</t>
  </si>
  <si>
    <t>كفر الشيخ / مركز كفر الشيخ</t>
  </si>
  <si>
    <t>عمائر 110</t>
  </si>
  <si>
    <t>فوقسه محمد محمد سعد</t>
  </si>
  <si>
    <t>Hassan Ibrahim Mahmoud Moawad</t>
  </si>
  <si>
    <t>01095344790</t>
  </si>
  <si>
    <t>الرحمانية  - ديرمواس - المنيا</t>
  </si>
  <si>
    <t>28308222400236</t>
  </si>
  <si>
    <t xml:space="preserve">ليلي محمد معوض </t>
  </si>
  <si>
    <t>المنيا</t>
  </si>
  <si>
    <t>عبد الجليل</t>
  </si>
  <si>
    <t>Mr. Abdul Jalil Ali Al Ashry</t>
  </si>
  <si>
    <t>01064035127</t>
  </si>
  <si>
    <t>دقميرة - مركز كفر الشيخ - كفر الشيخ</t>
  </si>
  <si>
    <t>28208031500511</t>
  </si>
  <si>
    <t>حي الاندلس أمام حضانه المقفوله</t>
  </si>
  <si>
    <t xml:space="preserve">السيد عبيد الشوادفي </t>
  </si>
  <si>
    <t>Mohsen Ibrahim Mahmoud Moawad</t>
  </si>
  <si>
    <t>01143337630</t>
  </si>
  <si>
    <t>29402152400578</t>
  </si>
  <si>
    <t>المنيا / مركز دير مواس</t>
  </si>
  <si>
    <t>خالد</t>
  </si>
  <si>
    <t>Khaled Mahmoud Al-Tayeb Sabry</t>
  </si>
  <si>
    <t>01023750057</t>
  </si>
  <si>
    <t>شبرا الخيمة ثان - القليوبية</t>
  </si>
  <si>
    <t>29505011400616</t>
  </si>
  <si>
    <t>جميل</t>
  </si>
  <si>
    <t>Ahmed Jamil Gouda Omar</t>
  </si>
  <si>
    <t>01205510639</t>
  </si>
  <si>
    <t>29803041300536</t>
  </si>
  <si>
    <t>الشرقية - مركز الزقازيق</t>
  </si>
  <si>
    <t>بدر محمد عمر</t>
  </si>
  <si>
    <t>Muhammad Hamada Ibrahim Abu Hashem</t>
  </si>
  <si>
    <t>01558724619</t>
  </si>
  <si>
    <t xml:space="preserve">الزنكلون - مركز الزقازيق - الشرقية </t>
  </si>
  <si>
    <t>29809151317777</t>
  </si>
  <si>
    <t>الموقف</t>
  </si>
  <si>
    <t xml:space="preserve">ايات محمد عطيه </t>
  </si>
  <si>
    <t>وحيد</t>
  </si>
  <si>
    <t>عزيزه</t>
  </si>
  <si>
    <t>Dear Fouad Abdullah Abdul Raouf</t>
  </si>
  <si>
    <t>01033313550</t>
  </si>
  <si>
    <t>19 مجاورة 36 مدخل ب - ثان العاشر من رمضان - الشرقية</t>
  </si>
  <si>
    <t>29203011301247</t>
  </si>
  <si>
    <t>الشرقية / مركز الحسينية</t>
  </si>
  <si>
    <t xml:space="preserve">مرفت محمود عنبر </t>
  </si>
  <si>
    <t>مفارق الثورة</t>
  </si>
  <si>
    <t>عيد</t>
  </si>
  <si>
    <t>براء</t>
  </si>
  <si>
    <t>احمد براء سباغ</t>
  </si>
  <si>
    <t>Ahmed Baraa Sabagh</t>
  </si>
  <si>
    <t>01123800590</t>
  </si>
  <si>
    <t>سكن - الشركة</t>
  </si>
  <si>
    <t>لا يوجد</t>
  </si>
  <si>
    <t>المجاورة 26</t>
  </si>
  <si>
    <t>المعمل</t>
  </si>
  <si>
    <t>Ahmed Muhammad Ibrahim Al-Nashar</t>
  </si>
  <si>
    <t>01200875093</t>
  </si>
  <si>
    <t>العدلية - مركز بلبيس - الشرقية</t>
  </si>
  <si>
    <t>28111011307398</t>
  </si>
  <si>
    <t>الشرقية / مركز بلبيس</t>
  </si>
  <si>
    <t>رئيس وردية</t>
  </si>
  <si>
    <t>أولي &amp; ثانية</t>
  </si>
  <si>
    <t>المجاورة 36</t>
  </si>
  <si>
    <t>Ayman Muhammad Muhammad Ismail</t>
  </si>
  <si>
    <t>01025251692</t>
  </si>
  <si>
    <t>البعيده جديده - القرين - الشرقية</t>
  </si>
  <si>
    <t>30009101301453</t>
  </si>
  <si>
    <t xml:space="preserve">فاطمه السيد محمد </t>
  </si>
  <si>
    <t>سكن المخازن</t>
  </si>
  <si>
    <t>Amr Saber Abdullah Abu Sharkh</t>
  </si>
  <si>
    <t>01279806396</t>
  </si>
  <si>
    <t>28903131300412</t>
  </si>
  <si>
    <t>فاطمه احمد أبو شرخ</t>
  </si>
  <si>
    <t>بردين</t>
  </si>
  <si>
    <t>السعادات - بلبيس</t>
  </si>
  <si>
    <t>الزهراء - مركز الزقازيق - الشرقية</t>
  </si>
  <si>
    <t>كرم</t>
  </si>
  <si>
    <t>Karam Imad Abdul Latif Attia Al-Sayed</t>
  </si>
  <si>
    <t>01211691027</t>
  </si>
  <si>
    <t>1 ش طريق اول العايد - مركز بلبيس - الشرقية</t>
  </si>
  <si>
    <t>29704251301294</t>
  </si>
  <si>
    <t>بلبيس - الشرقية</t>
  </si>
  <si>
    <t>بلبيس - الساحة</t>
  </si>
  <si>
    <t>ناهد السيد علي</t>
  </si>
  <si>
    <t>العصلوجى - مركز الزقازيق - الشرقية</t>
  </si>
  <si>
    <t>العصلوجى</t>
  </si>
  <si>
    <t>Ahmed Ibrahim Muhammad Muhammad Akar</t>
  </si>
  <si>
    <t>01095511244</t>
  </si>
  <si>
    <t>المنير - مركز مشتول السوق - الشرقية</t>
  </si>
  <si>
    <t>29001141302898</t>
  </si>
  <si>
    <t>مركز مشتول السوق  - الشرقية</t>
  </si>
  <si>
    <t>امينه محمد الحنفي</t>
  </si>
  <si>
    <t>السعادات - مركز بلبيس - الشرقية</t>
  </si>
  <si>
    <t>Karim Ahmed Ahmed Salem</t>
  </si>
  <si>
    <t>قرية ابو الهدر - مركز ديروط - اسيوط</t>
  </si>
  <si>
    <t>30112152501576</t>
  </si>
  <si>
    <t>اسيوط - مركز ديروط</t>
  </si>
  <si>
    <t>عبد الوهاب</t>
  </si>
  <si>
    <t>Mustafa Abdel Wahab Ahmed Mustafa Al-Qamhawy</t>
  </si>
  <si>
    <t>01212579696</t>
  </si>
  <si>
    <t>ش عبدالله الاهوانى - مركز بلبيس- الشرقية</t>
  </si>
  <si>
    <t>28212281302356</t>
  </si>
  <si>
    <t>سعاد محمد حسن</t>
  </si>
  <si>
    <t>Muhammad Saleh Nassif Taha Amer</t>
  </si>
  <si>
    <t>01553520941</t>
  </si>
  <si>
    <t>29810011321357</t>
  </si>
  <si>
    <t>الشرقية  / مركز بلبيس</t>
  </si>
  <si>
    <t>سميه مجمود محمد</t>
  </si>
  <si>
    <t>نسيم</t>
  </si>
  <si>
    <t>Kamel Fawzi Kamel Abu Hashem</t>
  </si>
  <si>
    <t>01273353187</t>
  </si>
  <si>
    <t>29008261300451</t>
  </si>
  <si>
    <t>الشرقية مركز الزقازيق</t>
  </si>
  <si>
    <t>Ali Abdullah Ali Jalal</t>
  </si>
  <si>
    <t>01023718830</t>
  </si>
  <si>
    <t>بيرم - بنى سالم - مركز دير مواس - المنيا</t>
  </si>
  <si>
    <t>29012012400991</t>
  </si>
  <si>
    <t>حي الأندلس سنتر الجوهرة</t>
  </si>
  <si>
    <t xml:space="preserve">شلبيه محمد مناع </t>
  </si>
  <si>
    <t>Ahmed Saleh Al-Sayed Anwar Al-Sayed</t>
  </si>
  <si>
    <t>01002116649</t>
  </si>
  <si>
    <t>تل روزن - مركز بلبيس - الشرقية</t>
  </si>
  <si>
    <t>29506011303919</t>
  </si>
  <si>
    <t>مركز بلبيس - الشرقية</t>
  </si>
  <si>
    <t>أمام المعهد الأزهرى بلبيس</t>
  </si>
  <si>
    <t>لم يتقدم بعد</t>
  </si>
  <si>
    <t>فوق متوسط</t>
  </si>
  <si>
    <t>مريم سلامه محمد</t>
  </si>
  <si>
    <t>الكتيبة - مركز بلبيس - الشرقية</t>
  </si>
  <si>
    <t>العربى</t>
  </si>
  <si>
    <t>Muhammad Al-Arabi Muhammad Abdel Razek</t>
  </si>
  <si>
    <t>01202503557</t>
  </si>
  <si>
    <t>عزبة البطريق - مركز بلبيس - الشرقية</t>
  </si>
  <si>
    <t>29904091300937</t>
  </si>
  <si>
    <t xml:space="preserve">الشرقية / مركز بلبيس </t>
  </si>
  <si>
    <t>بعد الكوبرى علوى بلبيس</t>
  </si>
  <si>
    <t>صابرين محمد تهامي</t>
  </si>
  <si>
    <t>العدلية</t>
  </si>
  <si>
    <t>Muhammad Ahmed Muhammad Ibrahim Al-Nashar</t>
  </si>
  <si>
    <t>01003872538</t>
  </si>
  <si>
    <t>30108081302111</t>
  </si>
  <si>
    <t>بلبيس</t>
  </si>
  <si>
    <t>امل محمد رجب</t>
  </si>
  <si>
    <t xml:space="preserve">محمد </t>
  </si>
  <si>
    <t xml:space="preserve">عزت </t>
  </si>
  <si>
    <t xml:space="preserve">الكتيبه _ مركز بلبيس _ الشرقيه </t>
  </si>
  <si>
    <t>30210261300094</t>
  </si>
  <si>
    <t xml:space="preserve">الكتيبه </t>
  </si>
  <si>
    <t>مكتب عمل بلبيس</t>
  </si>
  <si>
    <t xml:space="preserve">هناء محمد منصور </t>
  </si>
  <si>
    <t xml:space="preserve">الشرقيه </t>
  </si>
  <si>
    <t>شاهين</t>
  </si>
  <si>
    <t>01065338927</t>
  </si>
  <si>
    <t>سعدون- مركز بلبيس -الشرقيه</t>
  </si>
  <si>
    <t>30204021301379</t>
  </si>
  <si>
    <t xml:space="preserve">الشرقيه - مركز بلبيس </t>
  </si>
  <si>
    <t xml:space="preserve">بلبيس _بعد الكبري العلوي </t>
  </si>
  <si>
    <t>معافى نهائى</t>
  </si>
  <si>
    <t xml:space="preserve">يلبيس </t>
  </si>
  <si>
    <t xml:space="preserve">بلبيس </t>
  </si>
  <si>
    <t xml:space="preserve">هاله يوسف مصطفي </t>
  </si>
  <si>
    <t>جمعه</t>
  </si>
  <si>
    <t xml:space="preserve">الاسديه -مركز ابو حماد -الشرقيه </t>
  </si>
  <si>
    <t>29503021300579</t>
  </si>
  <si>
    <t xml:space="preserve">الشرقيه -مركز ابو حماد </t>
  </si>
  <si>
    <t xml:space="preserve">عليه السيد محمود احمد </t>
  </si>
  <si>
    <t xml:space="preserve">المنير - مركز مشتول السوق - الشرقيه </t>
  </si>
  <si>
    <t>29810231300334</t>
  </si>
  <si>
    <t>مركز مشتول السوق</t>
  </si>
  <si>
    <t xml:space="preserve">صفاء رفعت علي ابراهيم </t>
  </si>
  <si>
    <t>الشرقيه</t>
  </si>
  <si>
    <t>01204749755</t>
  </si>
  <si>
    <t>العباسه الكبرى - مركز ابو حماد - الشرقية</t>
  </si>
  <si>
    <t>30503201301218</t>
  </si>
  <si>
    <t>مؤجل</t>
  </si>
  <si>
    <t xml:space="preserve">عبد الرحمن </t>
  </si>
  <si>
    <t xml:space="preserve">هاني </t>
  </si>
  <si>
    <t>01275409150</t>
  </si>
  <si>
    <t>01021908355</t>
  </si>
  <si>
    <t xml:space="preserve">19ش ابو خليل - الزنكلون -مركز الزقازيق - الشرقيه </t>
  </si>
  <si>
    <t>30708121304357</t>
  </si>
  <si>
    <t xml:space="preserve">الشرقيه - مركز الزقازيق </t>
  </si>
  <si>
    <t xml:space="preserve">فاطمه ابراهيم محمد سليمان </t>
  </si>
  <si>
    <t xml:space="preserve">قطب </t>
  </si>
  <si>
    <t>01556899918</t>
  </si>
  <si>
    <t>28401070106451</t>
  </si>
  <si>
    <t>القاهره - الخليفه</t>
  </si>
  <si>
    <t>نور الاسلام</t>
  </si>
  <si>
    <t xml:space="preserve">مرفت مجاهد محمد علي </t>
  </si>
  <si>
    <t xml:space="preserve">عمرو </t>
  </si>
  <si>
    <t>راشد</t>
  </si>
  <si>
    <t xml:space="preserve">كفر عبد النبي مركز منيا القمح - الشرقيه </t>
  </si>
  <si>
    <t>28312311301117</t>
  </si>
  <si>
    <t xml:space="preserve">الشرقيه - مركز منيا القمح </t>
  </si>
  <si>
    <t>فنى مخرطة</t>
  </si>
  <si>
    <t xml:space="preserve">من قدام الطياره </t>
  </si>
  <si>
    <t>غير موجود</t>
  </si>
  <si>
    <t xml:space="preserve">منجده عبد المعطي تهامي </t>
  </si>
  <si>
    <t xml:space="preserve">حسين </t>
  </si>
  <si>
    <t xml:space="preserve">السيد </t>
  </si>
  <si>
    <t>01017387080</t>
  </si>
  <si>
    <t>الزنكلون- مركز الزقازيق - الشرقيه</t>
  </si>
  <si>
    <t>29602011301478</t>
  </si>
  <si>
    <t>الشرقيه -مركز الزقايق</t>
  </si>
  <si>
    <t>ابتدائى</t>
  </si>
  <si>
    <t xml:space="preserve">سحر جوده محمد عطيه </t>
  </si>
  <si>
    <t>01559908037</t>
  </si>
  <si>
    <t xml:space="preserve">ش الرحمه - الحناوي - الزقازيق اول - الشرقيه </t>
  </si>
  <si>
    <t>30109221300358</t>
  </si>
  <si>
    <t>الشرقيه - ابو حماد</t>
  </si>
  <si>
    <t xml:space="preserve">هناء عبد الحميد محمد يوسف </t>
  </si>
  <si>
    <t xml:space="preserve">احمد </t>
  </si>
  <si>
    <t xml:space="preserve">عزبه الكردود - الاسديه  - مركز ابو حماد - الشرقيه </t>
  </si>
  <si>
    <t>29410271300657</t>
  </si>
  <si>
    <t xml:space="preserve">الشرقيه - مركز ابو حماد </t>
  </si>
  <si>
    <t>محو امية</t>
  </si>
  <si>
    <t xml:space="preserve">فوزيه محمد محمد السيد </t>
  </si>
  <si>
    <t xml:space="preserve">مصطفي </t>
  </si>
  <si>
    <t xml:space="preserve"> السيد </t>
  </si>
  <si>
    <t>01060697112</t>
  </si>
  <si>
    <t>العصلوجي - مركز الزقازيق -الشرقيه</t>
  </si>
  <si>
    <t>28303181300335</t>
  </si>
  <si>
    <t>الشرقيه - مركز الزقازيق</t>
  </si>
  <si>
    <t>عصلوجي</t>
  </si>
  <si>
    <t>انصاف محمد احمد</t>
  </si>
  <si>
    <t xml:space="preserve">جمال </t>
  </si>
  <si>
    <t>01155681409</t>
  </si>
  <si>
    <t>السعديه-مركز بلبيس -الشرقيه</t>
  </si>
  <si>
    <t>30401011342077</t>
  </si>
  <si>
    <t xml:space="preserve">الشرقيه -مركز بلبيس </t>
  </si>
  <si>
    <t>سماح جمعه محمد</t>
  </si>
  <si>
    <t>Ihab Alaa Najah Hussein</t>
  </si>
  <si>
    <t>فضيل</t>
  </si>
  <si>
    <t>Ahmed Fadil Ahmed Suleiman</t>
  </si>
  <si>
    <t>01013889921</t>
  </si>
  <si>
    <t>نجع حمادي -قنا</t>
  </si>
  <si>
    <t>28501082701979</t>
  </si>
  <si>
    <t>هدي سعد احمد</t>
  </si>
  <si>
    <t>قنا</t>
  </si>
  <si>
    <t>عبد الهادى</t>
  </si>
  <si>
    <t>Hanaa Abdel Hadi Al-Saeed</t>
  </si>
  <si>
    <t>01050307213</t>
  </si>
  <si>
    <t>55ش احمد حشاد - الزاوية الحمراء - القاهرة</t>
  </si>
  <si>
    <t>28007221301901</t>
  </si>
  <si>
    <t>عامل بوفيه</t>
  </si>
  <si>
    <t>كشك ابو عمارة - الحى 14</t>
  </si>
  <si>
    <t xml:space="preserve">سميه فؤاد فاضل </t>
  </si>
  <si>
    <t>Ahmed Ibrahim Ramadan Ismail</t>
  </si>
  <si>
    <t>01000747196</t>
  </si>
  <si>
    <t>مج36 عمارة 26 ب - ثان العاشر من رمضان - الشرقية</t>
  </si>
  <si>
    <t>28703231401179</t>
  </si>
  <si>
    <t>مدير المواد الاولية</t>
  </si>
  <si>
    <t>مونجينى - الاردنية</t>
  </si>
  <si>
    <t>هويدا فتحي محمد</t>
  </si>
  <si>
    <t>Farag Ahmed Muhammad Ali Al-Qatawi</t>
  </si>
  <si>
    <t>01009550056</t>
  </si>
  <si>
    <t>27004111301091</t>
  </si>
  <si>
    <t>وداد محمد عبدالله</t>
  </si>
  <si>
    <t>بدرية</t>
  </si>
  <si>
    <t>Badriya Ezzat Ahmed Al-Sayed</t>
  </si>
  <si>
    <t>01020578358</t>
  </si>
  <si>
    <t>ق. الازهار- مركز اولاد صقر - الشرقية</t>
  </si>
  <si>
    <t>28401011341128</t>
  </si>
  <si>
    <t>عاملة نظافة</t>
  </si>
  <si>
    <t>حمديه احمد عزب</t>
  </si>
  <si>
    <t>Mahmoud Al-Sayed Abdel Fattah Moussa</t>
  </si>
  <si>
    <t>01280776042</t>
  </si>
  <si>
    <t>28503151301255</t>
  </si>
  <si>
    <t>فاطمه فهمي محمد</t>
  </si>
  <si>
    <t>محامي</t>
  </si>
  <si>
    <t>اديب</t>
  </si>
  <si>
    <t>Muhammad Adeeb Abdel Rahim Hassana</t>
  </si>
  <si>
    <t>01008411133</t>
  </si>
  <si>
    <t>العاشر من رمضان - المجاورة 22</t>
  </si>
  <si>
    <t>N 013160464</t>
  </si>
  <si>
    <t>مساعد المدير العام</t>
  </si>
  <si>
    <t>الساحة</t>
  </si>
  <si>
    <t>Mustafa Abdel Nasser Abdel Hakim El Gendy</t>
  </si>
  <si>
    <t>01019588025</t>
  </si>
  <si>
    <t>01075595300</t>
  </si>
  <si>
    <t xml:space="preserve">27 مجاورة 10 مربع 2 – العاشر من رمضان </t>
  </si>
  <si>
    <t>29509161304076</t>
  </si>
  <si>
    <t>مجاورة 10</t>
  </si>
  <si>
    <t>مديحه محمد محمد</t>
  </si>
  <si>
    <t>امين مخزن قطع الغيار</t>
  </si>
  <si>
    <t>مج 10 - العاشر من رمضان - الشرقية</t>
  </si>
  <si>
    <t>المجاورة 11</t>
  </si>
  <si>
    <t>انس احمد محمد</t>
  </si>
  <si>
    <t>Anas Ahmed Mohammed</t>
  </si>
  <si>
    <t>01000747190</t>
  </si>
  <si>
    <t>N013169304</t>
  </si>
  <si>
    <t>قاسم</t>
  </si>
  <si>
    <t>المجاورة 24</t>
  </si>
  <si>
    <t>لايوجد م</t>
  </si>
  <si>
    <t>محمد عبد الله الخطيب</t>
  </si>
  <si>
    <t>Muhammad Abdullah Al-Khatib</t>
  </si>
  <si>
    <t>01099086974</t>
  </si>
  <si>
    <t>مج21 - العاشر من رمضان - الشرقية</t>
  </si>
  <si>
    <t>N0126565598</t>
  </si>
  <si>
    <t>خليل</t>
  </si>
  <si>
    <t>عبد العزيز خليل مرعى</t>
  </si>
  <si>
    <t>Abdul Aziz Khalil Marai</t>
  </si>
  <si>
    <t>01098441123</t>
  </si>
  <si>
    <t>فنى فرز</t>
  </si>
  <si>
    <t>مجاورة 22</t>
  </si>
  <si>
    <t>عبد الرحمن احمد صدور</t>
  </si>
  <si>
    <t>Abdul Rahman Ahmed Sadour</t>
  </si>
  <si>
    <t>01091029505</t>
  </si>
  <si>
    <t>مج22 - العاشر من رمضان - الشرقية</t>
  </si>
  <si>
    <t>N009438527</t>
  </si>
  <si>
    <t>المشتريات</t>
  </si>
  <si>
    <t>مدير المشتريات</t>
  </si>
  <si>
    <t>دكتور كيميائى</t>
  </si>
  <si>
    <t>عبد المنعم</t>
  </si>
  <si>
    <t>عبد المنعم خالد حسانة</t>
  </si>
  <si>
    <t>Abdel Moneim Khaled Hassana</t>
  </si>
  <si>
    <t>01026662298</t>
  </si>
  <si>
    <t>العاشر من رمضان - المجاورة 12</t>
  </si>
  <si>
    <t xml:space="preserve">دعم فنى </t>
  </si>
  <si>
    <t>حسيب</t>
  </si>
  <si>
    <t>محمد حسيب بسمة</t>
  </si>
  <si>
    <t>Muhammad Hasib Basma</t>
  </si>
  <si>
    <t>01097049651</t>
  </si>
  <si>
    <t>N012974704</t>
  </si>
  <si>
    <t>مصطفى على المصطفى</t>
  </si>
  <si>
    <t>Mustafa Ali Mustafa</t>
  </si>
  <si>
    <t>01027956050</t>
  </si>
  <si>
    <t>مدير الجودة</t>
  </si>
  <si>
    <t>خاص</t>
  </si>
  <si>
    <t>علاء حسيب بسمة</t>
  </si>
  <si>
    <t>Alaa Hasib Basma</t>
  </si>
  <si>
    <t>01096654787</t>
  </si>
  <si>
    <t>مدير المعمل</t>
  </si>
  <si>
    <t>غياث</t>
  </si>
  <si>
    <t>محمد غياث محمد فايز شعبان</t>
  </si>
  <si>
    <t>Muhammad Ghayath Muhammad Fayez Shaaban</t>
  </si>
  <si>
    <t>01098145607</t>
  </si>
  <si>
    <t>المجاورة 50</t>
  </si>
  <si>
    <t>محجوب</t>
  </si>
  <si>
    <t>محجوب حسن محمد</t>
  </si>
  <si>
    <t>Mahjoub Hassan Muhammad</t>
  </si>
  <si>
    <t>01067332555</t>
  </si>
  <si>
    <t>مدير الصيانة</t>
  </si>
  <si>
    <t>احمد خالد سيجر</t>
  </si>
  <si>
    <t>Ahmed Khaled Seger</t>
  </si>
  <si>
    <t>01018342016</t>
  </si>
  <si>
    <t>N013168477</t>
  </si>
  <si>
    <t>محمد محمد جمال قصيباتى</t>
  </si>
  <si>
    <t>Muhammad Muhammad Jamal Qasibati</t>
  </si>
  <si>
    <t>01000747252</t>
  </si>
  <si>
    <t>N013171409</t>
  </si>
  <si>
    <t>مدير الكهرباء</t>
  </si>
  <si>
    <t>بعد بنزبنة مجاورة 23</t>
  </si>
  <si>
    <t>عبد المحسن</t>
  </si>
  <si>
    <t>Amr Abdel Mohsen Abdel Hakim Mohamed El Gendy</t>
  </si>
  <si>
    <t>01012764783</t>
  </si>
  <si>
    <t>كفر الجندى - مركز منيا القمح - الشرقية</t>
  </si>
  <si>
    <t>29108101300239</t>
  </si>
  <si>
    <t xml:space="preserve">الشرقية / الزقازيق اول </t>
  </si>
  <si>
    <t>نوال محمد التهامي</t>
  </si>
  <si>
    <t>فاطمة</t>
  </si>
  <si>
    <t>Fatima Ezzat Ahmed Al-Sayed</t>
  </si>
  <si>
    <t>01095586700</t>
  </si>
  <si>
    <t>ق . الازهار - مركز اولاد صقر - الشرقية</t>
  </si>
  <si>
    <t>27504051303547</t>
  </si>
  <si>
    <t>شارع الثوره</t>
  </si>
  <si>
    <t>مدير الموارد البشرية</t>
  </si>
  <si>
    <t>المجاورة 49</t>
  </si>
  <si>
    <t>حذيفة</t>
  </si>
  <si>
    <t>حذيفة خالد حسانة</t>
  </si>
  <si>
    <t>Hudhayfah Khaled Hassana</t>
  </si>
  <si>
    <t>01002133095</t>
  </si>
  <si>
    <t>N012374323</t>
  </si>
  <si>
    <t>عبيد</t>
  </si>
  <si>
    <t>حسن عبيد ديرى</t>
  </si>
  <si>
    <t>Hassan Obaid Diri</t>
  </si>
  <si>
    <t>01124649444</t>
  </si>
  <si>
    <t>N010037632</t>
  </si>
  <si>
    <t>مدير صالة</t>
  </si>
  <si>
    <t>المجاورة 24 - امام مستشفى الغندور</t>
  </si>
  <si>
    <t>الشحات</t>
  </si>
  <si>
    <t>Ahmed Ibrahim Muhammad Suleiman</t>
  </si>
  <si>
    <t>01067356780</t>
  </si>
  <si>
    <t>28912231300494</t>
  </si>
  <si>
    <t>مشرف صالة</t>
  </si>
  <si>
    <t xml:space="preserve">موقف البلد </t>
  </si>
  <si>
    <t xml:space="preserve">رضا منصور كامل </t>
  </si>
  <si>
    <t>بلال</t>
  </si>
  <si>
    <t>Bilal Al-Sayyed Mendouh Al-Sayyid</t>
  </si>
  <si>
    <t>01212197385</t>
  </si>
  <si>
    <t>29108151300671</t>
  </si>
  <si>
    <t>سكن الشركه</t>
  </si>
  <si>
    <t>أحلام مصطفي إبراهيم</t>
  </si>
  <si>
    <t>Ashraf Abdel Rahman Ahmed</t>
  </si>
  <si>
    <t>01094913586</t>
  </si>
  <si>
    <t>18ش عبد الرسول - سليمان - الزاوية الحمراء- القاهرة</t>
  </si>
  <si>
    <t>26909210101213</t>
  </si>
  <si>
    <t>عند الصنية مدخل الاوقاف</t>
  </si>
  <si>
    <t xml:space="preserve">امال محمود حسين </t>
  </si>
  <si>
    <t>احمد محمد جمال قصيباتى</t>
  </si>
  <si>
    <t>Ahmed Mohamed Gamal Qasibati</t>
  </si>
  <si>
    <t>01270124953</t>
  </si>
  <si>
    <t>مج 70 اسكان الشباب الجديد - العاشر من رمضان - الشرقية</t>
  </si>
  <si>
    <t>N013175245</t>
  </si>
  <si>
    <t>مهندس كهرباء</t>
  </si>
  <si>
    <t>Mohamed El-Sayed Mahmoud Attia Emara</t>
  </si>
  <si>
    <t>01008109804</t>
  </si>
  <si>
    <t>شرشيمة - مركز هيها - الشرقية</t>
  </si>
  <si>
    <t>28103251302536</t>
  </si>
  <si>
    <t>الشرقية / مركز هيها</t>
  </si>
  <si>
    <t>الزقازيق كوبري الاحرار</t>
  </si>
  <si>
    <t>هنيه محمد سيد</t>
  </si>
  <si>
    <t>Muhammad Gamal Abdel Aziz</t>
  </si>
  <si>
    <t>01007902026</t>
  </si>
  <si>
    <t>طريق عبد المنعم رياض - بلبيس - الشرقية</t>
  </si>
  <si>
    <t>29005271301392</t>
  </si>
  <si>
    <t xml:space="preserve">بلبيس الكوبري العلوي </t>
  </si>
  <si>
    <t>Muhammad Abdel Rahman Habib</t>
  </si>
  <si>
    <t>28406281300697</t>
  </si>
  <si>
    <t>Fatima Hassan Al-Sayed Ali</t>
  </si>
  <si>
    <t>01008635525</t>
  </si>
  <si>
    <t>الاخميين - مركز فاقوس - الشرقية</t>
  </si>
  <si>
    <t>28801121303181</t>
  </si>
  <si>
    <t>الشرقية / مركز فاقوس</t>
  </si>
  <si>
    <t>الحى 10 - مساكن عثمان - نور الاسلام</t>
  </si>
  <si>
    <t>عظيمه عبدالرحمن</t>
  </si>
  <si>
    <t>01095940596</t>
  </si>
  <si>
    <t>814 مجاورة 13 - العاشر من رمضان - الشرقية</t>
  </si>
  <si>
    <t>29510051300197</t>
  </si>
  <si>
    <t>الشرقية / مكز بلبيس</t>
  </si>
  <si>
    <t>انتصار عبدالعزيز عيس</t>
  </si>
  <si>
    <t>Muhammad Khaled Abdel Majeed Muhammad Muhanna</t>
  </si>
  <si>
    <t>01098564026</t>
  </si>
  <si>
    <t>شبرا النخلة - مركز بلبيس - الشرقية</t>
  </si>
  <si>
    <t>29605161300134</t>
  </si>
  <si>
    <t>صنية 85</t>
  </si>
  <si>
    <t xml:space="preserve">حنان السيد محمد </t>
  </si>
  <si>
    <t>Mohamed Massad Abdel Aty Abdel Fattah</t>
  </si>
  <si>
    <t>01220565356</t>
  </si>
  <si>
    <t>3 مجاورة 44 - مربع 2 مدخل أ - ثان العاشر من رمضان - الشرقية</t>
  </si>
  <si>
    <t>27407201303018</t>
  </si>
  <si>
    <t xml:space="preserve">خيريه سالم محمد </t>
  </si>
  <si>
    <t>الشرقية / مركز ديرب نجم</t>
  </si>
  <si>
    <t xml:space="preserve">حى الاندلس </t>
  </si>
  <si>
    <t>وائل</t>
  </si>
  <si>
    <t>01018373393</t>
  </si>
  <si>
    <t>العاشر من رمضان -255 حي 10 قطاع (ا)</t>
  </si>
  <si>
    <t>29803181300243</t>
  </si>
  <si>
    <t>الشرقيه - مركز الحسينيه</t>
  </si>
  <si>
    <t xml:space="preserve">مسجد القائد </t>
  </si>
  <si>
    <t>كوثر عبد السلام ابراهيم</t>
  </si>
  <si>
    <t>فريال</t>
  </si>
  <si>
    <t>Faryal Ahmed Hussein Mahmoud</t>
  </si>
  <si>
    <t>01032975560</t>
  </si>
  <si>
    <t>الشوايدة - القرين - الشرقية</t>
  </si>
  <si>
    <t>27911061304546</t>
  </si>
  <si>
    <t xml:space="preserve">نجاه احمد محمد منصور </t>
  </si>
  <si>
    <t>عبد العاطى</t>
  </si>
  <si>
    <t>Mohamed Salah Fathi Imam</t>
  </si>
  <si>
    <t>01001853954</t>
  </si>
  <si>
    <t>7مج 50 حي السالمية - ثان العاشر من رمضان - الشرقية</t>
  </si>
  <si>
    <t>28909021304933</t>
  </si>
  <si>
    <t>صورة عالى</t>
  </si>
  <si>
    <t xml:space="preserve">عزه محمود خليل </t>
  </si>
  <si>
    <t>Muhammad Mustafa Muhammad Ali Al-Hashemi</t>
  </si>
  <si>
    <t>01095660036</t>
  </si>
  <si>
    <t>سيدي غازي - مركز كفر الشيخ - كفر الشيخ</t>
  </si>
  <si>
    <t>29301011509435</t>
  </si>
  <si>
    <t>سوسن طه عبدالله</t>
  </si>
  <si>
    <t>Islam Muhammad Abdel Sattar Muhammad</t>
  </si>
  <si>
    <t>01203112097</t>
  </si>
  <si>
    <t>29602011301435</t>
  </si>
  <si>
    <t>فنى كهرباء</t>
  </si>
  <si>
    <t>موقف الزنكلون</t>
  </si>
  <si>
    <t>كوثر إبراهيم محمد</t>
  </si>
  <si>
    <t>القاهره</t>
  </si>
  <si>
    <t>مفارق الحى 14</t>
  </si>
  <si>
    <t>Muhammad Muhammad Abdel Aziz Mustafa</t>
  </si>
  <si>
    <t>01000068847</t>
  </si>
  <si>
    <t>عمارة18 الحي 9 - ثان العاشر من رمضان - الشرقية</t>
  </si>
  <si>
    <t>28708201801417</t>
  </si>
  <si>
    <t>فاطمه جوده الدهراوي</t>
  </si>
  <si>
    <t>تهامى</t>
  </si>
  <si>
    <t>Mohamed Tohamy Tohamy Attia</t>
  </si>
  <si>
    <t>01273845770</t>
  </si>
  <si>
    <t>29506201301491</t>
  </si>
  <si>
    <t>حجازيه محمد عبدالجليل</t>
  </si>
  <si>
    <t>غريب</t>
  </si>
  <si>
    <t>Abdul Rahman Gharib Abdul Rahman</t>
  </si>
  <si>
    <t>01228979074</t>
  </si>
  <si>
    <t>القرين - ابو حماد - الشرقية</t>
  </si>
  <si>
    <t>27307051300955</t>
  </si>
  <si>
    <t>مدير الامن</t>
  </si>
  <si>
    <t xml:space="preserve">عواطف علي حسن </t>
  </si>
  <si>
    <t>اسامة</t>
  </si>
  <si>
    <t>درويش</t>
  </si>
  <si>
    <t>Osama Darwish Hassan Eid</t>
  </si>
  <si>
    <t>01272674596</t>
  </si>
  <si>
    <t>بركة الحاج - ش خالد بن الوليد- المرج - القاهرة</t>
  </si>
  <si>
    <t>27702011404754</t>
  </si>
  <si>
    <t>سنهره توخ - القليوبية</t>
  </si>
  <si>
    <t xml:space="preserve">ناديه عبدالمطلب </t>
  </si>
  <si>
    <t>القليوبيه</t>
  </si>
  <si>
    <t>Mohamed Sayed Abdel Moneim Mohamed</t>
  </si>
  <si>
    <t>01028348465</t>
  </si>
  <si>
    <t>شارع الجمهورية - مركز نجع حمادى - قنا</t>
  </si>
  <si>
    <t>28011012704655</t>
  </si>
  <si>
    <t>قنا - قنا</t>
  </si>
  <si>
    <t xml:space="preserve">ليلي متولي كامل </t>
  </si>
  <si>
    <t>عصام</t>
  </si>
  <si>
    <t>امل</t>
  </si>
  <si>
    <t>Amal Ali Hegazy Hegazy</t>
  </si>
  <si>
    <t>01097045579</t>
  </si>
  <si>
    <t>م. الامير - مركز اولاد صقر - الشرقية</t>
  </si>
  <si>
    <t>28201061303244</t>
  </si>
  <si>
    <t>الحي 11</t>
  </si>
  <si>
    <t>ميه محمد جمال</t>
  </si>
  <si>
    <t>Hussein Muhammad Ali Ismail</t>
  </si>
  <si>
    <t>الفرايحه - مركز اولاد صقر - الشرقية</t>
  </si>
  <si>
    <t>28105031304158</t>
  </si>
  <si>
    <t>فارغ</t>
  </si>
  <si>
    <t>فرحه الامام الامام</t>
  </si>
  <si>
    <t>عبد الدايم</t>
  </si>
  <si>
    <t>Nassim Abdel Dayem Mr. Ahmed Abdel Dayem</t>
  </si>
  <si>
    <t>01102180092</t>
  </si>
  <si>
    <t>قرية دقميره - مركز كفر الشيخ - كفر الشيخ</t>
  </si>
  <si>
    <t>27306051500079</t>
  </si>
  <si>
    <t>عامل فرز</t>
  </si>
  <si>
    <t>السيده موسي احمد</t>
  </si>
  <si>
    <t>امام</t>
  </si>
  <si>
    <t>In front of Muhammad Muhammad Othman</t>
  </si>
  <si>
    <t>01145019182</t>
  </si>
  <si>
    <t>27206011301419</t>
  </si>
  <si>
    <t>شلبايه سالم عثمان</t>
  </si>
  <si>
    <t>Muhammad Ramadan Al-Najdi Sayed Ahmed</t>
  </si>
  <si>
    <t>01098977379</t>
  </si>
  <si>
    <t>الشلابوه- مركز اولاد صقر - الشرقية</t>
  </si>
  <si>
    <t>27611251302791</t>
  </si>
  <si>
    <t xml:space="preserve">الانوار المحمدية </t>
  </si>
  <si>
    <t>امينه محمد السيد</t>
  </si>
  <si>
    <t>Mustafa Juma Muhammad Ali</t>
  </si>
  <si>
    <t>01011579386</t>
  </si>
  <si>
    <t>28111211301751</t>
  </si>
  <si>
    <t>زينب خضر محمود</t>
  </si>
  <si>
    <t>Eid Al-Sayyid Al-Ashra</t>
  </si>
  <si>
    <t>01010161178</t>
  </si>
  <si>
    <t>151 جنوب الحى العاشر  - ثان العاشر من رمضان - الشرقية</t>
  </si>
  <si>
    <t>27003311301676</t>
  </si>
  <si>
    <t xml:space="preserve">فكيهه سليمان عبدالرحمن </t>
  </si>
  <si>
    <t>عبداللطيف</t>
  </si>
  <si>
    <t>Fathi Abdel Latif Ali</t>
  </si>
  <si>
    <t>01019794381</t>
  </si>
  <si>
    <t>عزبة سمعان - شيط الهوي - مركز كفر صقر - الشرقية</t>
  </si>
  <si>
    <t>28203271305234</t>
  </si>
  <si>
    <t xml:space="preserve">سنتر الجوهرة </t>
  </si>
  <si>
    <t>يسريه محمد منصور</t>
  </si>
  <si>
    <t>الهادى</t>
  </si>
  <si>
    <t>رياض</t>
  </si>
  <si>
    <t>Al-Hadi Riyad Abdel-Hadi Hussein Awadallah</t>
  </si>
  <si>
    <t>01225356365</t>
  </si>
  <si>
    <t>3010710130711</t>
  </si>
  <si>
    <t>امل رمضان مجاهد</t>
  </si>
  <si>
    <t>Ahmed Saad Ismail Al-Sayed Ahmed</t>
  </si>
  <si>
    <t>01285296801</t>
  </si>
  <si>
    <t>طحلة بردين - الزقازيق - الشرقية</t>
  </si>
  <si>
    <t>29208061302491</t>
  </si>
  <si>
    <t>ابو الاخضر</t>
  </si>
  <si>
    <t>فاديه حسانين مهدي</t>
  </si>
  <si>
    <t>عبد المعبود</t>
  </si>
  <si>
    <t>Sayed Abdel Maboud Bhansawy</t>
  </si>
  <si>
    <t>01027994661</t>
  </si>
  <si>
    <t>مركز ديرمواس- المنيا</t>
  </si>
  <si>
    <t>27101042400419</t>
  </si>
  <si>
    <t xml:space="preserve">صنية مصر الخير </t>
  </si>
  <si>
    <t xml:space="preserve">وهيبه طه محمد </t>
  </si>
  <si>
    <t>Ahmed Mohamed Mohamed Abdel Latif</t>
  </si>
  <si>
    <t>01227043298</t>
  </si>
  <si>
    <t>01094400210</t>
  </si>
  <si>
    <t xml:space="preserve">العباسه  الكبرى - مركز ابو حماد - الشرقية </t>
  </si>
  <si>
    <t>28606241301312</t>
  </si>
  <si>
    <t xml:space="preserve">نفيسه محمد إبراهيم </t>
  </si>
  <si>
    <t>Ahmed Hassan Ali Ali Idris</t>
  </si>
  <si>
    <t>01012541712</t>
  </si>
  <si>
    <t>30004011301991</t>
  </si>
  <si>
    <t xml:space="preserve">سناء محمد علي </t>
  </si>
  <si>
    <t>Khaled Essam Abdel Hadi Abdel Aleem</t>
  </si>
  <si>
    <t>01000925383</t>
  </si>
  <si>
    <t>ق 1155 قطاع ب - العاشر من رمضان</t>
  </si>
  <si>
    <t>28803191301758</t>
  </si>
  <si>
    <t xml:space="preserve">سحر فرج محمود علي </t>
  </si>
  <si>
    <t>الشرقية / مركز مشتول السوق</t>
  </si>
  <si>
    <t>NULL</t>
  </si>
  <si>
    <t>Mr. Hussein Mahmoud Abdel Samie</t>
  </si>
  <si>
    <t>01022906466</t>
  </si>
  <si>
    <t>ش احمد فؤاد بكر - الحسينية - الزقازيق اول - الشرقية</t>
  </si>
  <si>
    <t>28601081305152</t>
  </si>
  <si>
    <t>مدرسة الفؤاد - الزقازيق - امام موقف الاحرار</t>
  </si>
  <si>
    <t>عطيات عطيه محمد</t>
  </si>
  <si>
    <t>Ahmed Rabie Abdullah Abu Sharkh</t>
  </si>
  <si>
    <t>01280997240</t>
  </si>
  <si>
    <t>30002271301879</t>
  </si>
  <si>
    <t>انوار صالح محمد</t>
  </si>
  <si>
    <t>شريف</t>
  </si>
  <si>
    <t>Sharif Salah Suleiman Muhammad Al-Shoubaki</t>
  </si>
  <si>
    <t>01279875899</t>
  </si>
  <si>
    <t xml:space="preserve">ش ابو بكر الصديق - مركز بلبيس - الشرقية </t>
  </si>
  <si>
    <t>29105181301614</t>
  </si>
  <si>
    <t>بلبيس - الكوبرى العلوى</t>
  </si>
  <si>
    <t xml:space="preserve">فاطمه إبراهيم عبدالقادر </t>
  </si>
  <si>
    <t>Ramadan Muhammad Rashid Ali</t>
  </si>
  <si>
    <t>01012229447</t>
  </si>
  <si>
    <t>كفر اباظة - مركز الزقازيق - الشرقية</t>
  </si>
  <si>
    <t>29005301300396</t>
  </si>
  <si>
    <t>كريمه محمد عطيه</t>
  </si>
  <si>
    <t>Muhammad Abdel Azim Saad Abdo</t>
  </si>
  <si>
    <t>01090708528</t>
  </si>
  <si>
    <t>29202081303275</t>
  </si>
  <si>
    <t>امينه محمد المنيري</t>
  </si>
  <si>
    <t>Muhammad Al-Sayyid Abdel Azbez Al-Sibai</t>
  </si>
  <si>
    <t>01281480093</t>
  </si>
  <si>
    <t xml:space="preserve">السعادات - مركز بلبيس الشرقية </t>
  </si>
  <si>
    <t>29003251303051</t>
  </si>
  <si>
    <t>ساميه حسين عليوه</t>
  </si>
  <si>
    <t>Ahmed Salah Hassan Ibrahim Ali</t>
  </si>
  <si>
    <t>01205585467</t>
  </si>
  <si>
    <t>كفر ابراهيم - مركز بلبيس - الشرقية</t>
  </si>
  <si>
    <t>29209151307294</t>
  </si>
  <si>
    <t xml:space="preserve">كفر ابراهيم </t>
  </si>
  <si>
    <t>امل عمر عطيه</t>
  </si>
  <si>
    <t>Khaled Muhammad Hafny Bandari Al-Jizawi</t>
  </si>
  <si>
    <t>01142366430</t>
  </si>
  <si>
    <t>29308121301397</t>
  </si>
  <si>
    <t>هناء عبدالفتاح محمد</t>
  </si>
  <si>
    <t>شعبان</t>
  </si>
  <si>
    <t>عبد السميع</t>
  </si>
  <si>
    <t>Ahmed Abdel Samie Mohamed Abdel Samie Attia</t>
  </si>
  <si>
    <t>01028627529</t>
  </si>
  <si>
    <t>29712241300373</t>
  </si>
  <si>
    <t>تحت كوبرى بردين</t>
  </si>
  <si>
    <t>ايمان فتحي انيس</t>
  </si>
  <si>
    <t>Ahmed Mohamed Al-Sayed Saad Saeed</t>
  </si>
  <si>
    <t>01228556336</t>
  </si>
  <si>
    <t>29910051300578</t>
  </si>
  <si>
    <t>عزبه الباشا</t>
  </si>
  <si>
    <t>مايزه السيد احمد</t>
  </si>
  <si>
    <t>Muhammad Ibrahim Muhammad Muhammad Hussein</t>
  </si>
  <si>
    <t>01210359955</t>
  </si>
  <si>
    <t>28810011327611</t>
  </si>
  <si>
    <t xml:space="preserve">المثلث </t>
  </si>
  <si>
    <t xml:space="preserve">بشري احمد مرسي </t>
  </si>
  <si>
    <t>بدوي</t>
  </si>
  <si>
    <t>Anwar Badawi Muhammad Muhammad</t>
  </si>
  <si>
    <t>01025224105</t>
  </si>
  <si>
    <t>29606131301671</t>
  </si>
  <si>
    <t>زينب كامل عبدالحميد</t>
  </si>
  <si>
    <t>كفر ابراهيم</t>
  </si>
  <si>
    <t>Ahmed Mohamed Abdel Aziz Suleiman</t>
  </si>
  <si>
    <t>01025314112</t>
  </si>
  <si>
    <t>29302121300392</t>
  </si>
  <si>
    <t>سميره محمد إبراهيم</t>
  </si>
  <si>
    <t>شحته</t>
  </si>
  <si>
    <t>Muhammad Shehta Abu Zaid Issa Jabr</t>
  </si>
  <si>
    <t>01278565875</t>
  </si>
  <si>
    <t>29107211301811</t>
  </si>
  <si>
    <t>ناهد فتحي محمد</t>
  </si>
  <si>
    <t>Muhammad Al-Shawadfi Obaid Al-Shawadfi Al-Ashry</t>
  </si>
  <si>
    <t>01025568681</t>
  </si>
  <si>
    <t>28902091500417</t>
  </si>
  <si>
    <t xml:space="preserve">اول محطه في الحي ١٦ </t>
  </si>
  <si>
    <t>فوقيه محمد محمد</t>
  </si>
  <si>
    <t>محمد محمد علي سويد</t>
  </si>
  <si>
    <t>Muhammad Muhammad Ali Suwayd</t>
  </si>
  <si>
    <t>01551530562</t>
  </si>
  <si>
    <t>مج70 - العاشر من رمضان - الشرقية</t>
  </si>
  <si>
    <t>N013187233</t>
  </si>
  <si>
    <t>مجاوره 22</t>
  </si>
  <si>
    <t>وطنيه عطيه عبدالعال</t>
  </si>
  <si>
    <t>Haitham Faraj Muhammad Abu Al-Hassan</t>
  </si>
  <si>
    <t>01143471919</t>
  </si>
  <si>
    <t>الحفناوية - مركز نجع حمادى - قنا</t>
  </si>
  <si>
    <t>29201092702892</t>
  </si>
  <si>
    <t>قنا - مركز نجع حمادى</t>
  </si>
  <si>
    <t>نجاح محمد شمروخ</t>
  </si>
  <si>
    <t>منتهيه</t>
  </si>
  <si>
    <t>ممدوح</t>
  </si>
  <si>
    <t>Hamada Al-Shahat Hassan Muhammad Badran</t>
  </si>
  <si>
    <t>01158447644</t>
  </si>
  <si>
    <t>29109281500512</t>
  </si>
  <si>
    <t>السكن</t>
  </si>
  <si>
    <t>هانم محمد علي</t>
  </si>
  <si>
    <t>رامى</t>
  </si>
  <si>
    <t>Ramy Shaaban Kamel Abu Hashim</t>
  </si>
  <si>
    <t>01282926733</t>
  </si>
  <si>
    <t>28905271300415</t>
  </si>
  <si>
    <t>ثناء حسن حسن</t>
  </si>
  <si>
    <t>Muhammad Mamdouh Muhammad Al-Muniri Musa</t>
  </si>
  <si>
    <t>01287281195</t>
  </si>
  <si>
    <t>المنير - مشتول السوق - شرقية</t>
  </si>
  <si>
    <t>29705191301695</t>
  </si>
  <si>
    <t>الشرقية - مركز مشتول السوق</t>
  </si>
  <si>
    <t xml:space="preserve">المنير </t>
  </si>
  <si>
    <t>ناهد جادالله محمد</t>
  </si>
  <si>
    <t>غيث</t>
  </si>
  <si>
    <t>غيث قاسم فتحى قيسانية</t>
  </si>
  <si>
    <t>Ghaith Qasim Fathi Qaisaniya</t>
  </si>
  <si>
    <t>العاشر من رمضان</t>
  </si>
  <si>
    <t xml:space="preserve">مستشفى الغندور </t>
  </si>
  <si>
    <t>شحاته</t>
  </si>
  <si>
    <t>Samir Abdel Nasser Mohamed Abdo El-Sayed</t>
  </si>
  <si>
    <t>01122147043</t>
  </si>
  <si>
    <t>ابو سلطان - الاسدية - مركز ابو حماد</t>
  </si>
  <si>
    <t>29709201307293</t>
  </si>
  <si>
    <t>سماح مصطفي حمد</t>
  </si>
  <si>
    <t>Ahmed Al-Sayed Mohamed Hassan Alwan</t>
  </si>
  <si>
    <t>01552830308</t>
  </si>
  <si>
    <t>الشيخ جبيل - مركز ابو حماد - الشرقية</t>
  </si>
  <si>
    <t>29502011313676</t>
  </si>
  <si>
    <t>كوبرى العزازى</t>
  </si>
  <si>
    <t>الفت إبراهيم محمد</t>
  </si>
  <si>
    <t>بكرى</t>
  </si>
  <si>
    <t xml:space="preserve">بكرى حسن عبيد ديرى </t>
  </si>
  <si>
    <t>Bakri Hassan Obaid Diri</t>
  </si>
  <si>
    <t>01116127112</t>
  </si>
  <si>
    <t>مستشفى الغندور</t>
  </si>
  <si>
    <t>Mahmoud Bakri Salim Ahmed</t>
  </si>
  <si>
    <t>01112679717</t>
  </si>
  <si>
    <t>29809012706157</t>
  </si>
  <si>
    <t>قنا / مركز نجع حمادى</t>
  </si>
  <si>
    <t>نجلاء صلاح الدين عبدالحميد</t>
  </si>
  <si>
    <t>اداره عبدالمحسن السيد</t>
  </si>
  <si>
    <t>Ahmed Saeed Abdel Moneim Abdel Hamid</t>
  </si>
  <si>
    <t>01099008651</t>
  </si>
  <si>
    <t>الزهراء -  مركز الزقازيق - الشرقية</t>
  </si>
  <si>
    <t>29809231300654</t>
  </si>
  <si>
    <t>حمديه جلال عبدالحميد</t>
  </si>
  <si>
    <t>Hassan Salah Hassan Ibrahim Ali Attia</t>
  </si>
  <si>
    <t>01275327343</t>
  </si>
  <si>
    <t>29702161302931</t>
  </si>
  <si>
    <t>كفر ابراهيم العايدي</t>
  </si>
  <si>
    <t>Mustafa Ibrahim, secretary of his turban</t>
  </si>
  <si>
    <t>01090636800</t>
  </si>
  <si>
    <t>ساقية ابو شعره - مركز اشمون - المنوفية</t>
  </si>
  <si>
    <t>29101151702031</t>
  </si>
  <si>
    <t>المنوفية  / مركز اشمون</t>
  </si>
  <si>
    <t xml:space="preserve">المنوفيه </t>
  </si>
  <si>
    <t>حماده حماده عبد الرحمن</t>
  </si>
  <si>
    <t>Hamada Hamada Abdel Rahman</t>
  </si>
  <si>
    <t>0109650011</t>
  </si>
  <si>
    <t>Mahmoud Abdel Rahman Abdel Samie Abdel Hamid</t>
  </si>
  <si>
    <t>01094874997</t>
  </si>
  <si>
    <t>29501151300691</t>
  </si>
  <si>
    <t>Muhammad Jamil Hadi Muhammad Hassan</t>
  </si>
  <si>
    <t>01200706632</t>
  </si>
  <si>
    <t>كفر بنى عليم - مركز بلبيس - الشرقية</t>
  </si>
  <si>
    <t>29510311300277</t>
  </si>
  <si>
    <t>مساعد خراط</t>
  </si>
  <si>
    <t>سناء محمد علي</t>
  </si>
  <si>
    <t>Muhammad Ahmed Abdel Aziz Suleiman</t>
  </si>
  <si>
    <t>01002662593</t>
  </si>
  <si>
    <t>28502161301851</t>
  </si>
  <si>
    <t xml:space="preserve">المعمورة </t>
  </si>
  <si>
    <t>راويه محمد فرج</t>
  </si>
  <si>
    <t>Rajab Muhammad Abdo Abdel Halim</t>
  </si>
  <si>
    <t>01205515101</t>
  </si>
  <si>
    <t>منشأة العباسة - مركز ابو حماد - الشرقية</t>
  </si>
  <si>
    <t>28909021301934</t>
  </si>
  <si>
    <t>صينية الحي الحادي عشر بجوار كابيتال</t>
  </si>
  <si>
    <t>نبيهه عبدالعزيز محمد</t>
  </si>
  <si>
    <t>Alaa Ibrahim Abdel Aziz Morsi</t>
  </si>
  <si>
    <t>01003552278</t>
  </si>
  <si>
    <t>المطاوعه - مركز هيها - الشرقية</t>
  </si>
  <si>
    <t>28407231303454</t>
  </si>
  <si>
    <t>الحى 12 - حى الأندلس</t>
  </si>
  <si>
    <t>جازيه احمد سرحان</t>
  </si>
  <si>
    <t>الغزالى</t>
  </si>
  <si>
    <t>Al-Ghazali Muhammad Abd al-Rahman Ali Abd al-Aleem</t>
  </si>
  <si>
    <t>01008030693</t>
  </si>
  <si>
    <t>القيطون - مركز ميت غمر - الدقهلية</t>
  </si>
  <si>
    <t>28907211200295</t>
  </si>
  <si>
    <t>الدقهلية / مركز ميت غمر</t>
  </si>
  <si>
    <t>هاجر نسيم شحاته</t>
  </si>
  <si>
    <t>إبراهيم</t>
  </si>
  <si>
    <t>إسماعيل</t>
  </si>
  <si>
    <t>إبراهيم إسماعيل مرعى</t>
  </si>
  <si>
    <t>Ibrahim Ismail Marai</t>
  </si>
  <si>
    <t>Salah Mamdouh Youssef Ibrahim</t>
  </si>
  <si>
    <t>01011584054</t>
  </si>
  <si>
    <t>29303011501631</t>
  </si>
  <si>
    <t>عامل مخازن</t>
  </si>
  <si>
    <t>فاديه عبدالحليم إبراهيم</t>
  </si>
  <si>
    <t>Mohamed Salah Sayed Ahmed Al Sayed</t>
  </si>
  <si>
    <t>01067734047</t>
  </si>
  <si>
    <t>منشاة الامير - مركز اولاد صقر - الشرقية</t>
  </si>
  <si>
    <t>29407311300476</t>
  </si>
  <si>
    <t xml:space="preserve">الشرقية / مركز اولاد صقر </t>
  </si>
  <si>
    <t>سائق ونش شوكة</t>
  </si>
  <si>
    <t>ساميه السيد محمد</t>
  </si>
  <si>
    <t>امين مخزن التام</t>
  </si>
  <si>
    <t>Shehata Fawzi Shehata Abu Al-Khair</t>
  </si>
  <si>
    <t>01114563978</t>
  </si>
  <si>
    <t>قرية الخادمية - مركز كفر الشيخ - كفر الشيخ</t>
  </si>
  <si>
    <t>28108211500094</t>
  </si>
  <si>
    <t>لمعات احمد مركز</t>
  </si>
  <si>
    <t>ابوزيد</t>
  </si>
  <si>
    <t>Shaaban Abu Zaid Shaaban Hassabo</t>
  </si>
  <si>
    <t>01148850488</t>
  </si>
  <si>
    <t>27501121500419</t>
  </si>
  <si>
    <t>مفارق الحى 14 - عماير الدبش</t>
  </si>
  <si>
    <t>سعديه محمد عباس</t>
  </si>
  <si>
    <t>Ahmed Al-Sayed Ali Makkawi</t>
  </si>
  <si>
    <t>01201031618</t>
  </si>
  <si>
    <t>العباسة الكبري - مركز ابو حماد - الشرقية</t>
  </si>
  <si>
    <t>27707251301199</t>
  </si>
  <si>
    <t xml:space="preserve">زينب محمد مكاوي </t>
  </si>
  <si>
    <t>م . الامير - مركز اولاد صقر - الشرقية</t>
  </si>
  <si>
    <t>محروث</t>
  </si>
  <si>
    <t>01032301702</t>
  </si>
  <si>
    <t>28612301301457</t>
  </si>
  <si>
    <t>زينه محمد عبدالرحمن</t>
  </si>
  <si>
    <t>Salah Ali Abdel Fattah Ali</t>
  </si>
  <si>
    <t>01097008864</t>
  </si>
  <si>
    <t>منشأة الامير - مركز اولاد صقر - الشرقية</t>
  </si>
  <si>
    <t>28801011355275</t>
  </si>
  <si>
    <t>الشرقية / مركز اولاد صقر</t>
  </si>
  <si>
    <t>حي النرجس</t>
  </si>
  <si>
    <t>ناهد إبراهيم ناصف</t>
  </si>
  <si>
    <t>صديق</t>
  </si>
  <si>
    <t>01090354210</t>
  </si>
  <si>
    <t>منشأة كشك  - مركز ديرب نجم - الشرقية</t>
  </si>
  <si>
    <t>29806291300956</t>
  </si>
  <si>
    <t>سحر السيد علي</t>
  </si>
  <si>
    <t>ابو الخير</t>
  </si>
  <si>
    <t>Abu Al-Khair Abdel-Ati Muhammad Abdel-Khair</t>
  </si>
  <si>
    <t>01017948171</t>
  </si>
  <si>
    <t>27612121501438</t>
  </si>
  <si>
    <t>سعديه السيد مغازي</t>
  </si>
  <si>
    <t>عاصم</t>
  </si>
  <si>
    <t>Asim Reda Abdel Hasib Muhammad Jaafar</t>
  </si>
  <si>
    <t>01098358415</t>
  </si>
  <si>
    <t>ابو شنار - رفح - شمال سيناء</t>
  </si>
  <si>
    <t>29008281402196</t>
  </si>
  <si>
    <t xml:space="preserve">القليوبية / مركز كفر شكر </t>
  </si>
  <si>
    <t>الحى 14 - عماير شمس</t>
  </si>
  <si>
    <t xml:space="preserve">زينب حسن مرسي </t>
  </si>
  <si>
    <t>Hamada Ibrahim Muhammad Abu Al-Futouh</t>
  </si>
  <si>
    <t>01060175528</t>
  </si>
  <si>
    <t>27909071500357</t>
  </si>
  <si>
    <t xml:space="preserve">صبحيه عبد العاطي علي </t>
  </si>
  <si>
    <t>Ahmed Abdullah Tawfiq Ahmed Amer</t>
  </si>
  <si>
    <t>01003845341</t>
  </si>
  <si>
    <t>29811151501912</t>
  </si>
  <si>
    <t xml:space="preserve">هانم أبوالفتوح احمد </t>
  </si>
  <si>
    <t>Ahmed Mohamed Al-Sayed Mohamed</t>
  </si>
  <si>
    <t>01024843009</t>
  </si>
  <si>
    <t>نبيل الدخاخنى - مركز اولاد صقر - الشرقية</t>
  </si>
  <si>
    <t>28809171307693</t>
  </si>
  <si>
    <t xml:space="preserve">الشرقية / مركز فاقوس </t>
  </si>
  <si>
    <t xml:space="preserve">فاطمه منصور محمد </t>
  </si>
  <si>
    <t>طاهر</t>
  </si>
  <si>
    <t>Muhammad Taher Muhammad Muhammad Ibrahim</t>
  </si>
  <si>
    <t>01016721482</t>
  </si>
  <si>
    <t>السلام - المحمودية - مركز دكرنس - الدقهلية</t>
  </si>
  <si>
    <t>28901221201879</t>
  </si>
  <si>
    <t xml:space="preserve">حمديه رزق رزق </t>
  </si>
  <si>
    <t>Muhammad Abdel Aziz Abdel Sattar Mahmoud</t>
  </si>
  <si>
    <t>01094420034</t>
  </si>
  <si>
    <t>الحلافي - مركز كفر الشيخ - كفر الشيخ</t>
  </si>
  <si>
    <t>29401011528892</t>
  </si>
  <si>
    <t>عزيزه عبدالله إبراهيم</t>
  </si>
  <si>
    <t>Muhammad Al-Sayyid Muhammad Abbas</t>
  </si>
  <si>
    <t>01145646416</t>
  </si>
  <si>
    <t>225 الحى 14 - ثان العاشر من رمضان - الشرقية</t>
  </si>
  <si>
    <t>27110011500473</t>
  </si>
  <si>
    <t>الحى 14 - صنية مصر النور - عماير الدبش</t>
  </si>
  <si>
    <t>عزيزه السعيد مرسي</t>
  </si>
  <si>
    <t>Mahmoud Ahmed Mahmoud Youssef</t>
  </si>
  <si>
    <t>01225804789</t>
  </si>
  <si>
    <t>عزبة الكردود - الأسدية - مركز ابو حماد - الشرقية</t>
  </si>
  <si>
    <t>29601201301494</t>
  </si>
  <si>
    <t>Muhammad Al-Shahat Siddiq Hasabou</t>
  </si>
  <si>
    <t>01026020024</t>
  </si>
  <si>
    <t>منشأة كشك - مركز ديرب نجم - الشرقية</t>
  </si>
  <si>
    <t>29009271303731</t>
  </si>
  <si>
    <t>مدير المخازن</t>
  </si>
  <si>
    <t>فاطمه محمد احمد</t>
  </si>
  <si>
    <t>Mr. Mustafa Al-Sayed Mohamed</t>
  </si>
  <si>
    <t>01096500588</t>
  </si>
  <si>
    <t>ديرب السوق - مركز ديرب نجم - الشرقية</t>
  </si>
  <si>
    <t>28508011311619</t>
  </si>
  <si>
    <t>Ahmed Ihab Muhammad Ahmed Bakir</t>
  </si>
  <si>
    <t>01029232977</t>
  </si>
  <si>
    <t>الاسدية مركز ابو حماد - الشرقية</t>
  </si>
  <si>
    <t>29801011323571</t>
  </si>
  <si>
    <t>الشرقية - مركز ابو حماد</t>
  </si>
  <si>
    <t>Muhammad Reda Muhammad Muhammad</t>
  </si>
  <si>
    <t>01033903571</t>
  </si>
  <si>
    <t>م. الامير - مركز اولاد صفر - الشرقية</t>
  </si>
  <si>
    <t>29305091302734</t>
  </si>
  <si>
    <t>فنى ميكانيكى ( سيارات )</t>
  </si>
  <si>
    <t>01090911247</t>
  </si>
  <si>
    <t>الشيشني-مركز كفر الشيخ -كفر الشيخ</t>
  </si>
  <si>
    <t>27501061503553</t>
  </si>
  <si>
    <t>كفر الشيخ /مركز كفر الشيخ</t>
  </si>
  <si>
    <t>الحاج</t>
  </si>
  <si>
    <t>/</t>
  </si>
  <si>
    <t>الحاج / عبد الرحيم محمد ديب حسانة</t>
  </si>
  <si>
    <t>Hajj / Abdul Rahim Muhammad Deeb Hassana</t>
  </si>
  <si>
    <t>N012373104</t>
  </si>
  <si>
    <t>مجلس الادارة</t>
  </si>
  <si>
    <t>المدير العام</t>
  </si>
  <si>
    <t>صاحب ومدير شركة</t>
  </si>
  <si>
    <t>الحاج / احمد محمد ديب حسانة</t>
  </si>
  <si>
    <t>Hajj / Ahmed Mohamed Deeb Hassana</t>
  </si>
  <si>
    <t>N014646728</t>
  </si>
  <si>
    <t>الحاج  / عبد القادر احمد الكنج</t>
  </si>
  <si>
    <t>Hajj / Abdul Qadir Ahmed Al-Kanj</t>
  </si>
  <si>
    <t>N013344059</t>
  </si>
  <si>
    <t>احمد جمعة احمد</t>
  </si>
  <si>
    <t>Ahmed Juma Ahmed</t>
  </si>
  <si>
    <t>سائق توزيع</t>
  </si>
  <si>
    <t>رومانى</t>
  </si>
  <si>
    <t>منير</t>
  </si>
  <si>
    <t>Roman Mounir Girgis Boutros</t>
  </si>
  <si>
    <t xml:space="preserve">12 مجاورة 40 - ثان العاشر من رمضان - الشرقية </t>
  </si>
  <si>
    <t>28107131301795</t>
  </si>
  <si>
    <t>ساميه معوض داود</t>
  </si>
  <si>
    <t>سائق ( الادارة )</t>
  </si>
  <si>
    <t>خلف</t>
  </si>
  <si>
    <t>فريد</t>
  </si>
  <si>
    <t>Khalaf Farid Khalil Abdel Shahid</t>
  </si>
  <si>
    <t>01227010622</t>
  </si>
  <si>
    <t>ابو خلقه - مركز ديرمواس - المنيا</t>
  </si>
  <si>
    <t>27812172400279</t>
  </si>
  <si>
    <t>خ</t>
  </si>
  <si>
    <t>سعديه شفيق زكي</t>
  </si>
  <si>
    <t xml:space="preserve">المنيا </t>
  </si>
  <si>
    <t>خيرى</t>
  </si>
  <si>
    <t>Nabil Khairy Shafiq Atallah</t>
  </si>
  <si>
    <t>1283270873</t>
  </si>
  <si>
    <t>5 ح رضا سعد - المرج - القاهرة</t>
  </si>
  <si>
    <t>28901072405814</t>
  </si>
  <si>
    <t>المنيا / مركز ابو قرقاص</t>
  </si>
  <si>
    <t>مني عزيز عبدالملاك</t>
  </si>
  <si>
    <t>Walid Mohsen Ibrahim Muhammad</t>
  </si>
  <si>
    <t>01002536275</t>
  </si>
  <si>
    <t xml:space="preserve">1576 قطاع د - الحى العاشر - ابنى بيتك - ثان العاشر من رمضان - الشرقية </t>
  </si>
  <si>
    <t>28703050100851</t>
  </si>
  <si>
    <t>مدير الحسابات</t>
  </si>
  <si>
    <t>Ibrahim Hassan Hammad Abdel-Al</t>
  </si>
  <si>
    <t>01093733386</t>
  </si>
  <si>
    <t>مجاورة 10 قطعة 200 اهالى - العاشر من رمضان - الشرقية</t>
  </si>
  <si>
    <t>29308200103819</t>
  </si>
  <si>
    <t xml:space="preserve"> لايوجد </t>
  </si>
  <si>
    <t>Muhammad Muhammad Mahmoud Ahmed Ibrahim</t>
  </si>
  <si>
    <t>01000754815</t>
  </si>
  <si>
    <t>11/2 مجاورة 43 - ثان العاشر من رمضان - الشرقية</t>
  </si>
  <si>
    <t>29201011323337</t>
  </si>
  <si>
    <t>المجاورة 70</t>
  </si>
  <si>
    <t>Abdullah Muhammad Muhammad Ibrahim</t>
  </si>
  <si>
    <t>01006800669</t>
  </si>
  <si>
    <t>1 مجاورة 45 مربع 2 نموذج هـ - ثان العاشر من رمضان - الشرقية</t>
  </si>
  <si>
    <t>29210011315716</t>
  </si>
  <si>
    <t>فرحات</t>
  </si>
  <si>
    <t>Tariq Farhat Eid Mersal</t>
  </si>
  <si>
    <t>6 ش عزبة عبداللطيف حسانين - الزقازيق ثان -الشرقية</t>
  </si>
  <si>
    <t>26709081301937</t>
  </si>
  <si>
    <t>سماح</t>
  </si>
  <si>
    <t>حمدينو</t>
  </si>
  <si>
    <t>Samah Hamadino El-Shabrawy Ahmed</t>
  </si>
  <si>
    <t>ابوطاحون - الفرايحه - مركز اولاد صقر - الشرقية</t>
  </si>
  <si>
    <t>29412201302604</t>
  </si>
  <si>
    <t>مجاورة 49</t>
  </si>
  <si>
    <t>نفيسه السيد إسماعيل</t>
  </si>
  <si>
    <t>نفيسة</t>
  </si>
  <si>
    <t>Nafisa Al-Sayyed Ismail Muhammad</t>
  </si>
  <si>
    <t>ابو طاحون - الفرايحه - مركز اولاد صقر - الشرقية</t>
  </si>
  <si>
    <t>27503191302161</t>
  </si>
  <si>
    <t>عزيزه إبراهيم عطالله</t>
  </si>
  <si>
    <t>Amr Mahmoud Muhammad Qutb Al-Sadiq</t>
  </si>
  <si>
    <t>01067709470</t>
  </si>
  <si>
    <t>10ش عبد الوهاب - جمال عبد الناصر - اول السلام - القاهره</t>
  </si>
  <si>
    <t>28804231300098</t>
  </si>
  <si>
    <t>اخصائى اول نظم المعلومات</t>
  </si>
  <si>
    <t xml:space="preserve">اخصائى استيراد وتصدير </t>
  </si>
  <si>
    <t>Islam Muhammad Taha Muhammad</t>
  </si>
  <si>
    <t>01093726667</t>
  </si>
  <si>
    <t>5 مجاورة 13 نموذج 5 مربع E - العاشر من رمضان</t>
  </si>
  <si>
    <t>28712011305658</t>
  </si>
  <si>
    <t>مدير الاستيراد والتصدير</t>
  </si>
  <si>
    <t>ايه</t>
  </si>
  <si>
    <t>عابد</t>
  </si>
  <si>
    <t>Abid Abdel Aziz Muhammad Munazi</t>
  </si>
  <si>
    <t>01028812297</t>
  </si>
  <si>
    <t>9 مجاورة 14 - العاشر من رمضان - الشرقية</t>
  </si>
  <si>
    <t>29408141301584</t>
  </si>
  <si>
    <t>سكرتارية وخدمة عملاء</t>
  </si>
  <si>
    <t>المجاورة 15</t>
  </si>
  <si>
    <t>المجاورة 47</t>
  </si>
  <si>
    <t>مصطفي</t>
  </si>
  <si>
    <t>Ahmed Mustafa Muhammad Mustafa Ibrahim</t>
  </si>
  <si>
    <t>01067360848</t>
  </si>
  <si>
    <t xml:space="preserve">21 مجاوره 47 مربع 1 ثان العاشر من رمضان </t>
  </si>
  <si>
    <t>29811271300597</t>
  </si>
  <si>
    <t xml:space="preserve">الشرقيه القنايات </t>
  </si>
  <si>
    <t>نيفين ناصف علي</t>
  </si>
  <si>
    <t>Mahmoud Khaled Abdel Muttalib Ahmed Rabeh</t>
  </si>
  <si>
    <t>01020724401</t>
  </si>
  <si>
    <t>133 مجاورة 59 - ثان العاشر من رمضان - الشرقية</t>
  </si>
  <si>
    <t>29608271300392</t>
  </si>
  <si>
    <t>المجاورة 10</t>
  </si>
  <si>
    <t>ناديه محمد سليم</t>
  </si>
  <si>
    <t>رفعت</t>
  </si>
  <si>
    <t>Omar Refaat Abdel Moneim Ali Al-Deek</t>
  </si>
  <si>
    <t>01019446636</t>
  </si>
  <si>
    <t>قطعه 63 - مجاورة 10 - العاشر من رمضان - الشرقية</t>
  </si>
  <si>
    <t>29602131301111</t>
  </si>
  <si>
    <t>محمد علي شعبان محمد مرسي</t>
  </si>
  <si>
    <t>01220220543</t>
  </si>
  <si>
    <t>القرين - الشرقيه</t>
  </si>
  <si>
    <t>30302131300299</t>
  </si>
  <si>
    <t>جاد الله محمد جاد الله موسي</t>
  </si>
  <si>
    <t>01204804715</t>
  </si>
  <si>
    <t>المنير-مركز مشتول السوق-الشرقيه</t>
  </si>
  <si>
    <t>29703011316476</t>
  </si>
  <si>
    <t>محمد سالم محمد المندوه</t>
  </si>
  <si>
    <t>01028367225</t>
  </si>
  <si>
    <t>المنير مركز مشتول السوق</t>
  </si>
  <si>
    <t>30606101301117</t>
  </si>
  <si>
    <t>ابو العزايم صلاح محمد السيد</t>
  </si>
  <si>
    <t>01227570989</t>
  </si>
  <si>
    <t xml:space="preserve">الاسديه مركز ابو حماد </t>
  </si>
  <si>
    <t>29701161300851</t>
  </si>
  <si>
    <t>محمد هيكل عبد الفتاح محمد</t>
  </si>
  <si>
    <t>الزنكلون-مركز الزقازيق-الشرقيه</t>
  </si>
  <si>
    <t>30007051303759</t>
  </si>
  <si>
    <t>احمد رامي محمد فريد الشحات محمد</t>
  </si>
  <si>
    <t>الزنكلون-مركز الزقازيق - الشرقيه</t>
  </si>
  <si>
    <t>30708041303473</t>
  </si>
  <si>
    <t>تاريخ الخروج من الدولية</t>
  </si>
  <si>
    <t>Salary_Total</t>
  </si>
  <si>
    <t>Allowances</t>
  </si>
  <si>
    <t>Basic_Salary</t>
  </si>
  <si>
    <t>م</t>
  </si>
  <si>
    <t>تعريف المهمة</t>
  </si>
  <si>
    <t xml:space="preserve">القائم بها </t>
  </si>
  <si>
    <t>محمد جمال</t>
  </si>
  <si>
    <t>احمد مدحت</t>
  </si>
  <si>
    <t>تجهيز الاختام الخاصة باورينت</t>
  </si>
  <si>
    <t xml:space="preserve"> وليد محسن</t>
  </si>
  <si>
    <t>ارسال الاستمارات الى التأمينات</t>
  </si>
  <si>
    <t xml:space="preserve">احمد مدحت </t>
  </si>
  <si>
    <t>امضاء استاذ محمد عبد الرحيم و الموظفين على الأوراق</t>
  </si>
  <si>
    <t>متابعة تأكيد دخول العمال الى اورينت</t>
  </si>
  <si>
    <t xml:space="preserve">محمد جمال </t>
  </si>
  <si>
    <t>تجهيز امضاء استاذ محمد عبد الرحيم فى صحة التوقيع</t>
  </si>
  <si>
    <t>وليد محسن</t>
  </si>
  <si>
    <t>تجهيز تقارير من سيتم التأمين عليه والاجور التأمينة</t>
  </si>
  <si>
    <t>متابعة مصوغات التعيين المطلوبة من الموظفين</t>
  </si>
  <si>
    <t>تجهيز الاوراق المطلوب إرفاقها وطباعة س1 وعقد العمل</t>
  </si>
  <si>
    <t>خروج باقي موظفين الدولية</t>
  </si>
  <si>
    <t>محمد حسن</t>
  </si>
  <si>
    <t>خطوات التأمين على العمال فى اورينت</t>
  </si>
  <si>
    <t>الاجر الاساسي</t>
  </si>
  <si>
    <t>البدلات</t>
  </si>
  <si>
    <t>4 سنة, 10 شهر, 15 يوم</t>
  </si>
  <si>
    <t>7 سنة, 7 شهر, 19 يوم</t>
  </si>
  <si>
    <t>Column1</t>
  </si>
  <si>
    <t>استقاله</t>
  </si>
  <si>
    <t>Salary_Total_Text</t>
  </si>
  <si>
    <t>سبعة آلاف و ثلاثمائة جنيهاً</t>
  </si>
  <si>
    <t>سبعة آلاف جنيهاً</t>
  </si>
  <si>
    <t>سبعة آلاف و مائة جنيهاً</t>
  </si>
  <si>
    <t>سبعة آلاف و مائتان جنيهاً</t>
  </si>
  <si>
    <t>7 سنة, 8 شهر, 19 يوم</t>
  </si>
  <si>
    <t>سبعة آلاف و خمسمائة جنيهاً</t>
  </si>
  <si>
    <t>سبعة آلاف و أربعمائة جنيهاً</t>
  </si>
  <si>
    <t>7 سنة, 0 شهر, 28 يوم</t>
  </si>
  <si>
    <t>27 سنة, 1 شهر, 6 يوم</t>
  </si>
  <si>
    <t>0 سنة, 2 شهر, 20 يوم</t>
  </si>
  <si>
    <t>0 سنة, 0 شهر, 28 يوم</t>
  </si>
  <si>
    <t>0 سنة, 0 شهر, 6 يوم</t>
  </si>
  <si>
    <t>32 سنة, 2 شهر, 9 يوم</t>
  </si>
  <si>
    <t>5 سنة, 3 شهر, 28 يوم</t>
  </si>
  <si>
    <t>27 سنة, 0 شهر, 28 يوم</t>
  </si>
  <si>
    <t>4 سنة, 10 شهر, 23 يوم</t>
  </si>
  <si>
    <t>33 سنة, 9 شهر, 20 يوم</t>
  </si>
  <si>
    <t>18 سنة, 2 شهر, 17 يوم</t>
  </si>
  <si>
    <t xml:space="preserve">محمد حامد  فاروق  </t>
  </si>
  <si>
    <t xml:space="preserve">الزنكلون </t>
  </si>
  <si>
    <t>0 سنة, 0 شهر, 1 يوم</t>
  </si>
  <si>
    <t xml:space="preserve">محمد عادل عبد الله طه </t>
  </si>
  <si>
    <t xml:space="preserve">الزنلكون </t>
  </si>
  <si>
    <t>صفر جنيهاً</t>
  </si>
  <si>
    <t>الفرق</t>
  </si>
  <si>
    <t xml:space="preserve">في حال تحمل الشركة التكلفة </t>
  </si>
  <si>
    <t xml:space="preserve">في حال تحمل الموظف التكلفة </t>
  </si>
  <si>
    <t>الحالة التأمينة فى الدولية</t>
  </si>
  <si>
    <t xml:space="preserve">مجموع ما تتحمله الشركة بالاضافة لنسبة العامل </t>
  </si>
  <si>
    <t xml:space="preserve">مجموع ما تتحمله الشركة بالاضافة لنسبة العامل ( قديم ) </t>
  </si>
  <si>
    <t>5 سنة, 9 شهر, 15 يوم</t>
  </si>
  <si>
    <t>34 سنة, 4 شهر, 28 يوم</t>
  </si>
  <si>
    <t>1 سنة, 7 شهر, 10 يوم</t>
  </si>
  <si>
    <t>43 سنة, 6 شهر, 18 يوم</t>
  </si>
  <si>
    <t>6 سنة, 3 شهر, 28 يوم</t>
  </si>
  <si>
    <t>31 سنة, 9 شهر, 28 يوم</t>
  </si>
  <si>
    <t>51 سنة, 10 شهر, 5 يوم</t>
  </si>
  <si>
    <t>39 سنة, 7 شهر, 19 يوم</t>
  </si>
  <si>
    <t>7 سنة, 7 شهر, 27 يوم</t>
  </si>
  <si>
    <t>39 سنة, 8 شهر, 18 يوم</t>
  </si>
  <si>
    <t>8 سنة, 6 شهر, 18 يوم</t>
  </si>
  <si>
    <t>43 سنة, 7 شهر, 15 يوم</t>
  </si>
  <si>
    <t>8 سنة, 9 شهر, 18 يوم</t>
  </si>
  <si>
    <t>30 سنة, 11 شهر, 28 يوم</t>
  </si>
  <si>
    <t>31 سنة, 1 شهر, 2 يوم</t>
  </si>
  <si>
    <t>8 سنة, 4 شهر, 16 يوم</t>
  </si>
  <si>
    <t>29 سنة, 9 شهر, 28 يوم</t>
  </si>
  <si>
    <t>8 سنة, 9 شهر, 5 يوم</t>
  </si>
  <si>
    <t>31 سنة, 6 شهر, 28 يوم</t>
  </si>
  <si>
    <t>6 سنة, 7 شهر, 28 يوم</t>
  </si>
  <si>
    <t>44 سنة, 2 شهر, 9 يوم</t>
  </si>
  <si>
    <t>6 سنة, 8 شهر, 9 يوم</t>
  </si>
  <si>
    <t>32 سنة, 11 شهر, 7 يوم</t>
  </si>
  <si>
    <t>8 سنة, 3 شهر, 9 يوم</t>
  </si>
  <si>
    <t>44 سنة, 4 شهر, 24 يوم</t>
  </si>
  <si>
    <t>53 سنة, 3 شهر, 23 يوم</t>
  </si>
  <si>
    <t>8 سنة, 11 شهر, 20 يوم</t>
  </si>
  <si>
    <t>37 سنة, 10 شهر, 12 يوم</t>
  </si>
  <si>
    <t>58 سنة, 5 شهر, 2 يوم</t>
  </si>
  <si>
    <t>1 سنة, 7 شهر, 15 يوم</t>
  </si>
  <si>
    <t>35 سنة, 8 شهر, 12 يوم</t>
  </si>
  <si>
    <t>6 سنة, 10 شهر, 28 يوم</t>
  </si>
  <si>
    <t>32 سنة, 1 شهر, 28 يوم</t>
  </si>
  <si>
    <t>9 سنة, 4 شهر, 29 يوم</t>
  </si>
  <si>
    <t>29 سنة, 3 شهر, 0 يوم</t>
  </si>
  <si>
    <t>32 سنة, 6 شهر, 13 يوم</t>
  </si>
  <si>
    <t>11 سنة, 9 شهر, 28 يوم</t>
  </si>
  <si>
    <t>30 سنة, 3 شهر, 0 يوم</t>
  </si>
  <si>
    <t>ثمانية آلاف و خمسمائة جنيهاً</t>
  </si>
  <si>
    <t>7 سنة, 8 شهر, 27 يوم</t>
  </si>
  <si>
    <t>55 سنة, 8 شهر, 28 يوم</t>
  </si>
  <si>
    <t>5 سنة, 11 شهر, 20 يوم</t>
  </si>
  <si>
    <t>36 سنة, 3 شهر, 5 يوم</t>
  </si>
  <si>
    <t>7 سنة, 4 شهر, 8 يوم</t>
  </si>
  <si>
    <t>29 سنة, 7 شهر, 15 يوم</t>
  </si>
  <si>
    <t>8 سنة, 1 شهر, 22 يوم</t>
  </si>
  <si>
    <t>27 سنة, 11 شهر, 12 يوم</t>
  </si>
  <si>
    <t>7 سنة, 9 شهر, 28 يوم</t>
  </si>
  <si>
    <t>31 سنة, 9 شهر, 11 يوم</t>
  </si>
  <si>
    <t>7 سنة, 6 شهر, 7 يوم</t>
  </si>
  <si>
    <t>27 سنة, 11 شهر, 3 يوم</t>
  </si>
  <si>
    <t>7 سنة, 3 شهر, 19 يوم</t>
  </si>
  <si>
    <t>29 سنة, 5 شهر, 28 يوم</t>
  </si>
  <si>
    <t>7 سنة, 4 شهر, 28 يوم</t>
  </si>
  <si>
    <t>40 سنة, 1 شهر, 28 يوم</t>
  </si>
  <si>
    <t>7 سنة, 1 شهر, 28 يوم</t>
  </si>
  <si>
    <t>26 سنة, 0 شهر, 28 يوم</t>
  </si>
  <si>
    <t>45 سنة, 7 شهر, 4 يوم</t>
  </si>
  <si>
    <t>7 سنة, 3 شهر, 8 يوم</t>
  </si>
  <si>
    <t>26 سنة, 11 شهر, 7 يوم</t>
  </si>
  <si>
    <t>7 سنة, 3 شهر, 28 يوم</t>
  </si>
  <si>
    <t>48 سنة, 7 شهر, 20 يوم</t>
  </si>
  <si>
    <t>7 سنة, 5 شهر, 19 يوم</t>
  </si>
  <si>
    <t>38 سنة, 8 شهر, 26 يوم</t>
  </si>
  <si>
    <t>9 سنة, 5 شهر, 4 يوم</t>
  </si>
  <si>
    <t>50 سنة, 5 شهر, 23 يوم</t>
  </si>
  <si>
    <t>6 سنة, 6 شهر, 28 يوم</t>
  </si>
  <si>
    <t>34 سنة, 5 شهر, 10 يوم</t>
  </si>
  <si>
    <t>7 سنة, 7 شهر, 24 يوم</t>
  </si>
  <si>
    <t>29 سنة, 2 شهر, 25 يوم</t>
  </si>
  <si>
    <t>24 سنة, 10 شهر, 28 يوم</t>
  </si>
  <si>
    <t>7 سنة, 0 شهر, 23 يوم</t>
  </si>
  <si>
    <t>23 سنة, 10 شهر, 24 يوم</t>
  </si>
  <si>
    <t>8 سنة, 0 شهر, 9 يوم</t>
  </si>
  <si>
    <t>54 سنة, 8 شهر, 1 يوم</t>
  </si>
  <si>
    <t>35 سنة, 2 شهر, 4 يوم</t>
  </si>
  <si>
    <t>8 سنة, 1 شهر, 4 يوم</t>
  </si>
  <si>
    <t>38 سنة, 8 شهر, 5 يوم</t>
  </si>
  <si>
    <t>9 سنة, 1 شهر, 23 يوم</t>
  </si>
  <si>
    <t>50 سنة, 5 شهر, 25 يوم</t>
  </si>
  <si>
    <t>25 سنة, 4 شهر, 19 يوم</t>
  </si>
  <si>
    <t>7 سنة, 1 شهر, 6 يوم</t>
  </si>
  <si>
    <t>33 سنة, 10 شهر, 28 يوم</t>
  </si>
  <si>
    <t>8 سنة, 5 شهر, 7 يوم</t>
  </si>
  <si>
    <t>28 سنة, 11 شهر, 4 يوم</t>
  </si>
  <si>
    <t>8 سنة, 10 شهر, 5 يوم</t>
  </si>
  <si>
    <t>38 سنة, 3 شهر, 18 يوم</t>
  </si>
  <si>
    <t>8 سنة, 3 شهر, 28 يوم</t>
  </si>
  <si>
    <t>27 سنة, 4 شهر, 28 يوم</t>
  </si>
  <si>
    <t>6 سنة, 9 شهر, 28 يوم</t>
  </si>
  <si>
    <t>25 سنة, 5 شهر, 28 يوم</t>
  </si>
  <si>
    <t>5 سنة, 4 شهر, 28 يوم</t>
  </si>
  <si>
    <t>39 سنة, 7 شهر, 12 يوم</t>
  </si>
  <si>
    <t>8 سنة, 9 شهر, 28 يوم</t>
  </si>
  <si>
    <t>29 سنة, 9 شهر, 14 يوم</t>
  </si>
  <si>
    <t>11 سنة, 8 شهر, 8 يوم</t>
  </si>
  <si>
    <t>49 سنة, 7 شهر, 28 يوم</t>
  </si>
  <si>
    <t>9 سنة, 9 شهر, 28 يوم</t>
  </si>
  <si>
    <t>32 سنة, 10 شهر, 27 يوم</t>
  </si>
  <si>
    <t>42 سنة, 2 شهر, 7 يوم</t>
  </si>
  <si>
    <t>8 سنة, 7 شهر, 5 يوم</t>
  </si>
  <si>
    <t>43 سنة, 2 شهر, 26 يوم</t>
  </si>
  <si>
    <t>11 سنة, 8 شهر, 28 يوم</t>
  </si>
  <si>
    <t>31 سنة, 8 شهر, 14 يوم</t>
  </si>
  <si>
    <t>30 سنة, 5 شهر, 28 يوم</t>
  </si>
  <si>
    <t>5 سنة, 0 شهر, 11 يوم</t>
  </si>
  <si>
    <t>27 سنة, 7 شهر, 25 يوم</t>
  </si>
  <si>
    <t>5 سنة, 0 شهر, 5 يوم</t>
  </si>
  <si>
    <t>27 سنة, 1 شهر, 14 يوم</t>
  </si>
  <si>
    <t>33 سنة, 7 شهر, 28 يوم</t>
  </si>
  <si>
    <t>4 سنة, 10 شهر, 28 يوم</t>
  </si>
  <si>
    <t>125 سنة, 9 شهر, 27 يوم</t>
  </si>
  <si>
    <t>4 سنة, 3 شهر, 29 يوم</t>
  </si>
  <si>
    <t>43 سنة, 11 شهر, 28 يوم</t>
  </si>
  <si>
    <t>4 سنة, 2 شهر, 11 يوم</t>
  </si>
  <si>
    <t>25 سنة, 1 شهر, 19 يوم</t>
  </si>
  <si>
    <t>4 سنة, 1 شهر, 21 يوم</t>
  </si>
  <si>
    <t>36 سنة, 7 شهر, 16 يوم</t>
  </si>
  <si>
    <t>4 سنة, 0 شهر, 16 يوم</t>
  </si>
  <si>
    <t>28 سنة, 6 شهر, 4 يوم</t>
  </si>
  <si>
    <t>35 سنة, 9 شهر, 15 يوم</t>
  </si>
  <si>
    <t>3 سنة, 5 شهر, 11 يوم</t>
  </si>
  <si>
    <t>23 سنة, 10 شهر, 14 يوم</t>
  </si>
  <si>
    <t>3 سنة, 2 شهر, 28 يوم</t>
  </si>
  <si>
    <t>42 سنة, 10 شهر, 1 يوم</t>
  </si>
  <si>
    <t>3 سنة, 2 شهر, 23 يوم</t>
  </si>
  <si>
    <t>2 سنة, 7 شهر, 15 يوم</t>
  </si>
  <si>
    <t>35 سنة, 2 شهر, 3 يوم</t>
  </si>
  <si>
    <t>34 سنة, 10 شهر, 28 يوم</t>
  </si>
  <si>
    <t>2 سنة, 7 شهر, 11 يوم</t>
  </si>
  <si>
    <t>30 سنة, 4 شهر, 28 يوم</t>
  </si>
  <si>
    <t>2 سنة, 7 شهر, 10 يوم</t>
  </si>
  <si>
    <t>26 سنة, 6 شهر, 20 يوم</t>
  </si>
  <si>
    <t>2 سنة, 2 شهر, 10 يوم</t>
  </si>
  <si>
    <t>24 سنة, 2 شهر, 21 يوم</t>
  </si>
  <si>
    <t>0 سنة, 8 شهر, 7 يوم</t>
  </si>
  <si>
    <t>23 سنة, 0 شهر, 3 يوم</t>
  </si>
  <si>
    <t>0 سنة, 5 شهر, 26 يوم</t>
  </si>
  <si>
    <t>23 سنة, 6 شهر, 27 يوم</t>
  </si>
  <si>
    <t>0 سنة, 4 شهر, 28 يوم</t>
  </si>
  <si>
    <t>30 سنة, 7 شهر, 27 يوم</t>
  </si>
  <si>
    <t>0 سنة, 4 شهر, 12 يوم</t>
  </si>
  <si>
    <t>27 سنة, 0 شهر, 6 يوم</t>
  </si>
  <si>
    <t>0 سنة, 2 شهر, 28 يوم</t>
  </si>
  <si>
    <t>20 سنة, 7 شهر, 9 يوم</t>
  </si>
  <si>
    <t>0 سنة, 1 شهر, 6 يوم</t>
  </si>
  <si>
    <t>0 سنة, 1 شهر, 2 يوم</t>
  </si>
  <si>
    <t>41 سنة, 9 شهر, 22 يوم</t>
  </si>
  <si>
    <t>41 سنة, 9 شهر, 29 يوم</t>
  </si>
  <si>
    <t>29 سنة, 8 شهر, 28 يوم</t>
  </si>
  <si>
    <t>0 سنة, 1 شهر, 1 يوم</t>
  </si>
  <si>
    <t>24 سنة, 1 شهر, 7 يوم</t>
  </si>
  <si>
    <t>0 سنة, 1 شهر, 0 يوم</t>
  </si>
  <si>
    <t>31 سنة, 0 شهر, 2 يوم</t>
  </si>
  <si>
    <t>42 سنة, 7 شهر, 11 يوم</t>
  </si>
  <si>
    <t>0 سنة, 0 شهر, 13 يوم</t>
  </si>
  <si>
    <t>21 سنة, 9 شهر, 28 يوم</t>
  </si>
  <si>
    <t>6 سنة, 8 شهر, 19 يوم</t>
  </si>
  <si>
    <t>40 سنة, 9 شهر, 21 يوم</t>
  </si>
  <si>
    <t>7 سنة, 6 شهر, 11 يوم</t>
  </si>
  <si>
    <t>45 سنة, 3 شهر, 7 يوم</t>
  </si>
  <si>
    <t>38 سنة, 7 شهر, 6 يوم</t>
  </si>
  <si>
    <t>55 سنة, 6 شهر, 18 يوم</t>
  </si>
  <si>
    <t>41 سنة, 9 شهر, 28 يوم</t>
  </si>
  <si>
    <t>40 سنة, 7 شهر, 14 يوم</t>
  </si>
  <si>
    <t>7 سنة, 0 شهر, 10 يوم</t>
  </si>
  <si>
    <t>38 سنة, 8 شهر, 7 يوم</t>
  </si>
  <si>
    <t>1 سنة, 6 شهر, 13 يوم</t>
  </si>
  <si>
    <t>30 سنة, 1 شهر, 13 يوم</t>
  </si>
  <si>
    <t>40 سنة, 6 شهر, 10 يوم</t>
  </si>
  <si>
    <t>40 سنة, 8 شهر, 9 يوم</t>
  </si>
  <si>
    <t>35 سنة, 9 شهر, 28 يوم</t>
  </si>
  <si>
    <t>33 سنة, 2 شهر, 22 يوم</t>
  </si>
  <si>
    <t>39 سنة, 6 شهر, 27 يوم</t>
  </si>
  <si>
    <t>45 سنة, 4 شهر, 4 يوم</t>
  </si>
  <si>
    <t>45 سنة, 1 شهر, 14 يوم</t>
  </si>
  <si>
    <t>6 سنة, 4 شهر, 14 يوم</t>
  </si>
  <si>
    <t>34 سنة, 2 شهر, 19 يوم</t>
  </si>
  <si>
    <t>6 سنة, 2 شهر, 9 يوم</t>
  </si>
  <si>
    <t>50 سنة, 6 شهر, 24 يوم</t>
  </si>
  <si>
    <t>12 سنة, 9 شهر, 28 يوم</t>
  </si>
  <si>
    <t>29 سنة, 5 شهر, 12 يوم</t>
  </si>
  <si>
    <t>8 سنة, 3 شهر, 21 يوم</t>
  </si>
  <si>
    <t>63 سنة, 3 شهر, 19 يوم</t>
  </si>
  <si>
    <t>33 سنة, 0 شهر, 28 يوم</t>
  </si>
  <si>
    <t>11 سنة, 9 شهر, 8 يوم</t>
  </si>
  <si>
    <t>34 سنة, 2 شهر, 14 يوم</t>
  </si>
  <si>
    <t>56 سنة, 1 شهر, 8 يوم</t>
  </si>
  <si>
    <t>37 سنة, 4 شهر, 19 يوم</t>
  </si>
  <si>
    <t>5 سنة, 10 شهر, 15 يوم</t>
  </si>
  <si>
    <t>44 سنة, 7 شهر, 4 يوم</t>
  </si>
  <si>
    <t>35 سنة, 5 شهر, 2 يوم</t>
  </si>
  <si>
    <t>37 سنة, 9 شهر, 17 يوم</t>
  </si>
  <si>
    <t>4 سنة, 11 شهر, 0 يوم</t>
  </si>
  <si>
    <t>0 سنة, 3 شهر, 9 يوم</t>
  </si>
  <si>
    <t>30 سنة, 0 شهر, 24 يوم</t>
  </si>
  <si>
    <t>4 سنة, 6 شهر, 28 يوم</t>
  </si>
  <si>
    <t>29 سنة, 5 شهر, 13 يوم</t>
  </si>
  <si>
    <t>3 سنة, 8 شهر, 24 يوم</t>
  </si>
  <si>
    <t>51 سنة, 3 شهر, 9 يوم</t>
  </si>
  <si>
    <t xml:space="preserve">كريم </t>
  </si>
  <si>
    <t>فاروق</t>
  </si>
  <si>
    <t xml:space="preserve">كريم فاروق طه عبد الهادي </t>
  </si>
  <si>
    <t>01060337858</t>
  </si>
  <si>
    <t>01211379904</t>
  </si>
  <si>
    <t xml:space="preserve">ش سالم عيد - ابو يوسف الدخيله - اسكندريه </t>
  </si>
  <si>
    <t>2808200200394</t>
  </si>
  <si>
    <t>0 سنة, 3 شهر, 17 يوم</t>
  </si>
  <si>
    <t>41 سنة, 2 شهر, 27 يوم</t>
  </si>
  <si>
    <t>0 سنة, 0 شهر, 14 يوم</t>
  </si>
  <si>
    <t>27 سنة, 7 شهر, 11 يوم</t>
  </si>
  <si>
    <t>45 سنة, 11 شهر, 23 يوم</t>
  </si>
  <si>
    <t>7 سنة, 5 شهر, 13 يوم</t>
  </si>
  <si>
    <t>36 سنة, 1 شهر, 27 يوم</t>
  </si>
  <si>
    <t>8 سنة, 0 شهر, 28 يوم</t>
  </si>
  <si>
    <t>32 سنة, 9 شهر, 28 يوم</t>
  </si>
  <si>
    <t>7 سنة, 5 شهر, 28 يوم</t>
  </si>
  <si>
    <t>38 سنة, 2 شهر, 9 يوم</t>
  </si>
  <si>
    <t>30 سنة, 4 شهر, 9 يوم</t>
  </si>
  <si>
    <t>52 سنة, 3 شهر, 24 يوم</t>
  </si>
  <si>
    <t>7 سنة, 2 شهر, 28 يوم</t>
  </si>
  <si>
    <t>48 سنة, 8 شهر, 28 يوم</t>
  </si>
  <si>
    <t>44 سنة, 11 شهر, 28 يوم</t>
  </si>
  <si>
    <t>7 سنة, 1 شهر, 13 يوم</t>
  </si>
  <si>
    <t>43 سنة, 9 شهر, 23 يوم</t>
  </si>
  <si>
    <t>44 سنة, 5 شهر, 26 يوم</t>
  </si>
  <si>
    <t>8 سنة, 4 شهر, 2 يوم</t>
  </si>
  <si>
    <t>52 سنة, 4 شهر, 24 يوم</t>
  </si>
  <si>
    <t>53 سنة, 4 شهر, 28 يوم</t>
  </si>
  <si>
    <t>9 سنة, 2 شهر, 16 يوم</t>
  </si>
  <si>
    <t>48 سنة, 11 شهر, 4 يوم</t>
  </si>
  <si>
    <t>7 سنة, 0 شهر, 11 يوم</t>
  </si>
  <si>
    <t>43 سنة, 11 شهر, 8 يوم</t>
  </si>
  <si>
    <t>55 سنة, 6 شهر, 29 يوم</t>
  </si>
  <si>
    <t>43 سنة, 7 شهر, 2 يوم</t>
  </si>
  <si>
    <t>6 سنة, 6 شهر, 19 يوم</t>
  </si>
  <si>
    <t>24 سنة, 3 شهر, 19 يوم</t>
  </si>
  <si>
    <t>33 سنة, 2 شهر, 23 يوم</t>
  </si>
  <si>
    <t>37 سنة, 2 شهر, 28 يوم</t>
  </si>
  <si>
    <t>39 سنة, 3 شهر, 5 يوم</t>
  </si>
  <si>
    <t>25 سنة, 6 شهر, 28 يوم</t>
  </si>
  <si>
    <t>9 سنة, 2 شهر, 26 يوم</t>
  </si>
  <si>
    <t>37 سنة, 7 شهر, 10 يوم</t>
  </si>
  <si>
    <t>6 سنة, 5 شهر, 28 يوم</t>
  </si>
  <si>
    <t>39 سنة, 9 شهر, 21 يوم</t>
  </si>
  <si>
    <t>25 سنة, 8 شهر, 2 يوم</t>
  </si>
  <si>
    <t>34 سنة, 5 شهر, 11 يوم</t>
  </si>
  <si>
    <t>35 سنة, 4 شهر, 29 يوم</t>
  </si>
  <si>
    <t>33 سنة, 8 شهر, 21 يوم</t>
  </si>
  <si>
    <t>35 سنة, 7 شهر, 4 يوم</t>
  </si>
  <si>
    <t>33 سنة, 1 شهر, 14 يوم</t>
  </si>
  <si>
    <t>6 سنة, 3 شهر, 14 يوم</t>
  </si>
  <si>
    <t>32 سنة, 2 شهر, 17 يوم</t>
  </si>
  <si>
    <t>27 سنة, 10 شهر, 5 يوم</t>
  </si>
  <si>
    <t>6 سنة, 3 شهر, 13 يوم</t>
  </si>
  <si>
    <t>26 سنة, 0 شهر, 24 يوم</t>
  </si>
  <si>
    <t>6 سنة, 2 شهر, 24 يوم</t>
  </si>
  <si>
    <t>37 سنة, 0 شهر, 28 يوم</t>
  </si>
  <si>
    <t>6 سنة, 3 شهر, 7 يوم</t>
  </si>
  <si>
    <t>29 سنة, 4 شهر, 16 يوم</t>
  </si>
  <si>
    <t>32 سنة, 8 شهر, 17 يوم</t>
  </si>
  <si>
    <t>6 سنة, 2 شهر, 22 يوم</t>
  </si>
  <si>
    <t>34 سنة, 3 شهر, 8 يوم</t>
  </si>
  <si>
    <t>7 سنة, 9 شهر, 9 يوم</t>
  </si>
  <si>
    <t>36 سنة, 8 شهر, 20 يوم</t>
  </si>
  <si>
    <t>5 سنة, 10 شهر, 26 يوم</t>
  </si>
  <si>
    <t>1 سنة, 3 شهر, 25 يوم</t>
  </si>
  <si>
    <t>6 سنة, 4 شهر, 21 يوم</t>
  </si>
  <si>
    <t>34 سنة, 1 شهر, 1 يوم</t>
  </si>
  <si>
    <t>36 سنة, 5 شهر, 2 يوم</t>
  </si>
  <si>
    <t>5 سنة, 7 شهر, 25 يوم</t>
  </si>
  <si>
    <t>28 سنة, 5 شهر, 10 يوم</t>
  </si>
  <si>
    <t>5 سنة, 7 شهر, 10 يوم</t>
  </si>
  <si>
    <t>125 سنة, 9 شهر, 28 يوم</t>
  </si>
  <si>
    <t>5 سنة, 4 شهر, 6 يوم</t>
  </si>
  <si>
    <t>28 سنة, 1 شهر, 9 يوم</t>
  </si>
  <si>
    <t>30 سنة, 8 شهر, 28 يوم</t>
  </si>
  <si>
    <t>5 سنة, 2 شهر, 3 يوم</t>
  </si>
  <si>
    <t>5 سنة, 1 شهر, 13 يوم</t>
  </si>
  <si>
    <t>27 سنة, 1 شهر, 28 يوم</t>
  </si>
  <si>
    <t>4 سنة, 11 شهر, 28 يوم</t>
  </si>
  <si>
    <t>4 سنة, 11 شهر, 1 يوم</t>
  </si>
  <si>
    <t>28 سنة, 8 شهر, 13 يوم</t>
  </si>
  <si>
    <t>4 سنة, 10 شهر, 24 يوم</t>
  </si>
  <si>
    <t>34 سنة, 9 شهر, 14 يوم</t>
  </si>
  <si>
    <t>4 سنة, 10 شهر, 17 يوم</t>
  </si>
  <si>
    <t>30 سنة, 9 شهر, 14 يوم</t>
  </si>
  <si>
    <t>4 سنة, 10 شهر, 10 يوم</t>
  </si>
  <si>
    <t>29 سنة, 11 شهر, 29 يوم</t>
  </si>
  <si>
    <t>4 سنة, 2 شهر, 18 يوم</t>
  </si>
  <si>
    <t>40 سنة, 8 شهر, 13 يوم</t>
  </si>
  <si>
    <t>4 سنة, 2 شهر, 1 يوم</t>
  </si>
  <si>
    <t>3 سنة, 4 شهر, 4 يوم</t>
  </si>
  <si>
    <t>41 سنة, 3 شهر, 6 يوم</t>
  </si>
  <si>
    <t>3 سنة, 1 شهر, 24 يوم</t>
  </si>
  <si>
    <t>36 سنة, 3 شهر, 8 يوم</t>
  </si>
  <si>
    <t>1 سنة, 9 شهر, 28 يوم</t>
  </si>
  <si>
    <t>1 سنة, 3 شهر, 21 يوم</t>
  </si>
  <si>
    <t>31 سنة, 11 شهر, 26 يوم</t>
  </si>
  <si>
    <t>31 سنة, 2 شهر, 29 يوم</t>
  </si>
  <si>
    <t>10 سنة, 7 شهر, 15 يوم</t>
  </si>
  <si>
    <t>44 سنة, 2 شهر, 8 يوم</t>
  </si>
  <si>
    <t>9 سنة, 4 شهر, 0 يوم</t>
  </si>
  <si>
    <t>50 سنة, 9 شهر, 17 يوم</t>
  </si>
  <si>
    <t>48 سنة, 3 شهر, 4 يوم</t>
  </si>
  <si>
    <t>38 سنة, 9 شهر, 29 يوم</t>
  </si>
  <si>
    <t>37 سنة, 9 شهر, 28 يوم</t>
  </si>
  <si>
    <t>0 سنة, 4 شهر, 27 يوم</t>
  </si>
  <si>
    <t>27 سنة, 4 شهر, 0 يوم</t>
  </si>
  <si>
    <t>48 سنة, 10 شهر, 17 يوم</t>
  </si>
  <si>
    <t>35 سنة, 2 شهر, 1 يوم</t>
  </si>
  <si>
    <t>7 سنة, 6 شهر, 4 يوم</t>
  </si>
  <si>
    <t>46 سنة, 1 شهر, 22 يوم</t>
  </si>
  <si>
    <t>26 سنة, 11 شهر, 14 يوم</t>
  </si>
  <si>
    <t>37 سنة, 1 شهر, 10 يوم</t>
  </si>
  <si>
    <t>7 سنة, 7 شهر, 28 يوم</t>
  </si>
  <si>
    <t>36 سنة, 9 شهر, 7 يوم</t>
  </si>
  <si>
    <t>9 سنة, 2 شهر, 0 يوم</t>
  </si>
  <si>
    <t>10 سنة, 0 شهر, 18 يوم</t>
  </si>
  <si>
    <t>54 سنة, 0 شهر, 28 يوم</t>
  </si>
  <si>
    <t>29 سنة, 9 شهر, 9 يوم</t>
  </si>
  <si>
    <t>12 سنة, 3 شهر, 14 يوم</t>
  </si>
  <si>
    <t>35 سنة, 1 شهر, 2 يوم</t>
  </si>
  <si>
    <t>4 سنة, 11 شهر, 10 يوم</t>
  </si>
  <si>
    <t>40 سنة, 2 شهر, 28 يوم</t>
  </si>
  <si>
    <t>4 سنة, 9 شهر, 9 يوم</t>
  </si>
  <si>
    <t>27 سنة, 9 شهر, 28 يوم</t>
  </si>
  <si>
    <t>3 سنة, 1 شهر, 28 يوم</t>
  </si>
  <si>
    <t>32 سنة, 5 شهر, 20 يوم</t>
  </si>
  <si>
    <t>0 سنة, 8 شهر, 21 يوم</t>
  </si>
  <si>
    <t>50 سنة, 9 شهر, 23 يوم</t>
  </si>
  <si>
    <t>13 سنة, 0 شهر, 25 يوم</t>
  </si>
  <si>
    <t>1 سنة, 5 شهر, 10 يوم</t>
  </si>
  <si>
    <t>10 سنة, 6 شهر, 19 يوم</t>
  </si>
  <si>
    <t>44 سنة, 3 شهر, 16 يوم</t>
  </si>
  <si>
    <t>4 سنة, 3 شهر, 26 يوم</t>
  </si>
  <si>
    <t>46 سنة, 10 شهر, 12 يوم</t>
  </si>
  <si>
    <t>2 سنة, 1 شهر, 24 يوم</t>
  </si>
  <si>
    <t>36 سنة, 9 شهر, 22 يوم</t>
  </si>
  <si>
    <t>10 سنة, 11 شهر, 28 يوم</t>
  </si>
  <si>
    <t>38 سنة, 7 شهر, 24 يوم</t>
  </si>
  <si>
    <t>9 سنة, 2 شهر, 28 يوم</t>
  </si>
  <si>
    <t>33 سنة, 9 شهر, 28 يوم</t>
  </si>
  <si>
    <t>8 سنة, 8 شهر, 6 يوم</t>
  </si>
  <si>
    <t>10 سنة, 0 شهر, 24 يوم</t>
  </si>
  <si>
    <t>58 سنة, 4 شهر, 21 يوم</t>
  </si>
  <si>
    <t>10 سنة, 7 شهر, 0 يوم</t>
  </si>
  <si>
    <t>30 سنة, 10 شهر, 9 يوم</t>
  </si>
  <si>
    <t>50 سنة, 7 شهر, 10 يوم</t>
  </si>
  <si>
    <t>37 سنة, 6 شهر, 6 يوم</t>
  </si>
  <si>
    <t>6 سنة, 5 شهر, 29 يوم</t>
  </si>
  <si>
    <t>37 سنة, 10 شهر, 28 يوم</t>
  </si>
  <si>
    <t>4 سنة, 1 شهر, 14 يوم</t>
  </si>
  <si>
    <t>31 سنة, 2 شهر, 15 يوم</t>
  </si>
  <si>
    <t>2 سنة, 9 شهر, 18 يوم</t>
  </si>
  <si>
    <t>26 سنة, 11 شهر, 2 يوم</t>
  </si>
  <si>
    <t>2 سنة, 3 شهر, 18 يوم</t>
  </si>
  <si>
    <t>29 سنة, 2 شهر, 2 يوم</t>
  </si>
  <si>
    <t>2 سنة, 3 شهر, 9 يوم</t>
  </si>
  <si>
    <t>29 سنة, 8 شهر, 16 يوم</t>
  </si>
  <si>
    <t>0 سنة, 7 شهر, 3 يوم</t>
  </si>
  <si>
    <t>33 سنة, 9 شهر, 2 يوم</t>
  </si>
  <si>
    <t>0 سنة, 0 شهر, 16 يوم</t>
  </si>
  <si>
    <t>22 سنة, 7 شهر, 16 يوم</t>
  </si>
  <si>
    <t>28 سنة, 7 شهر, 28 يوم</t>
  </si>
  <si>
    <t>19 سنة, 4 شهر, 19 يوم</t>
  </si>
  <si>
    <t>28 سنة, 9 شهر, 13 يوم</t>
  </si>
  <si>
    <t>25 سنة, 3 شهر, 24 يوم</t>
  </si>
  <si>
    <t>18 سنة, 2 شهر, 25 يوم</t>
  </si>
  <si>
    <t>حامد</t>
  </si>
  <si>
    <t>30070501131431</t>
  </si>
  <si>
    <t>الشرقيه -مركز الزقازيق</t>
  </si>
  <si>
    <t>0 سنة, 0 شهر, 9 يوم</t>
  </si>
  <si>
    <t>18 سنة, 3 شهر, 24 يوم</t>
  </si>
  <si>
    <t>فاطمه سعيد محمد</t>
  </si>
  <si>
    <t>عادل</t>
  </si>
  <si>
    <t>30802021303392</t>
  </si>
  <si>
    <t xml:space="preserve">الشرقيه -مركز الزقازيق </t>
  </si>
  <si>
    <t>17 سنة, 8 شهر, 27 يوم</t>
  </si>
  <si>
    <t xml:space="preserve">هشام محمد حفظي عبد المنعم </t>
  </si>
  <si>
    <t>01105512914</t>
  </si>
  <si>
    <t xml:space="preserve">الرحمانيه - مركز ديرمواس - المنيا </t>
  </si>
  <si>
    <t>30608312401811</t>
  </si>
  <si>
    <t>سكن</t>
  </si>
  <si>
    <t>19 سنة, 1 شهر, 29 يوم</t>
  </si>
  <si>
    <t>عبدالرحمن محمد عبدالعظيم</t>
  </si>
  <si>
    <t xml:space="preserve">1 مجاوره 55 ثاني العاشر من رمضان </t>
  </si>
  <si>
    <t>30508011603732</t>
  </si>
  <si>
    <t>مفارق  59</t>
  </si>
  <si>
    <t>0 سنة, 0 شهر, 4 يوم</t>
  </si>
  <si>
    <t xml:space="preserve">ماهر يوسف  غالب حسن اسماعيل </t>
  </si>
  <si>
    <t xml:space="preserve">1 مجاوره 45 مربع 2 ثان العاشر من رمضان - الشرقيه </t>
  </si>
  <si>
    <t>30407071304199</t>
  </si>
  <si>
    <t>الحى 12 - عماير الاوقاف</t>
  </si>
  <si>
    <t>21 سنة, 3 شهر, 22 يوم</t>
  </si>
  <si>
    <t>مجموع ما تتحمله الشركة بدون نسبة العامل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</si>
</sst>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6" x14ac:knownFonts="1">
    <font>
      <sz val="11"/>
      <color theme="1"/>
      <name val="Arial"/>
      <family val="2"/>
      <scheme val="minor"/>
    </font>
    <font>
      <b/>
      <sz val="11"/>
      <color theme="1"/>
      <name val="Tajawal"/>
    </font>
    <font>
      <b/>
      <sz val="11"/>
      <color theme="0"/>
      <name val="Tajawal"/>
    </font>
    <font>
      <sz val="8"/>
      <name val="Arial"/>
      <family val="2"/>
      <scheme val="minor"/>
    </font>
    <font>
      <sz val="11"/>
      <color theme="1"/>
      <name val="Tajawal"/>
    </font>
    <font>
      <b/>
      <sz val="12"/>
      <color theme="1"/>
      <name val="Tajaw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4" fontId="1" fillId="0" borderId="19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0" fillId="0" borderId="0" xfId="0" applyNumberFormat="1"/>
    <xf numFmtId="4" fontId="1" fillId="3" borderId="19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1" fillId="3" borderId="19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0" fillId="0" borderId="0" xfId="0" applyNumberFormat="1"/>
    <xf numFmtId="0" fontId="5" fillId="3" borderId="18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</cellXfs>
  <cellStyles count="1">
    <cellStyle name="Normal" xfId="0" builtinId="0"/>
  </cellStyles>
  <dxfs count="198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&quot;$&quot;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dd/mm/yyyy\ h: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>
        <bottom style="thick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thick">
          <color auto="1"/>
        </right>
        <top/>
        <bottom/>
        <vertical style="thick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E66105-5994-41DA-B8F3-C6AF2AF022C1}" autoFormatId="16" applyNumberFormats="0" applyBorderFormats="0" applyFontFormats="0" applyPatternFormats="0" applyAlignmentFormats="0" applyWidthHeightFormats="0">
  <queryTableRefresh nextId="106">
    <queryTableFields count="101">
      <queryTableField id="1" name="Emp_ID" tableColumnId="1"/>
      <queryTableField id="2" name="Emp_First_Name" tableColumnId="2"/>
      <queryTableField id="3" name="Emp_Second_Name" tableColumnId="3"/>
      <queryTableField id="4" name="Emp_Full_Name" tableColumnId="4"/>
      <queryTableField id="5" name="Emp_Name_English" tableColumnId="5"/>
      <queryTableField id="6" name="Emp_Phone1" tableColumnId="6"/>
      <queryTableField id="7" name="Emp_Phone2" tableColumnId="7"/>
      <queryTableField id="8" name="Emp_Address" tableColumnId="8"/>
      <queryTableField id="9" name="Emp_Marital_Status" tableColumnId="9"/>
      <queryTableField id="10" name="Emp_Nationality" tableColumnId="10"/>
      <queryTableField id="11" name="People_With_Special_Needs" tableColumnId="11"/>
      <queryTableField id="12" name="National_ID" tableColumnId="12"/>
      <queryTableField id="13" name="Date_Birth" tableColumnId="13"/>
      <queryTableField id="14" name="Place_Birth" tableColumnId="14"/>
      <queryTableField id="15" name="Emp_Type" tableColumnId="15"/>
      <queryTableField id="16" name="Working_Condition" tableColumnId="16"/>
      <queryTableField id="17" name="Dept_Code" tableColumnId="17"/>
      <queryTableField id="18" name="Dept_Name" tableColumnId="18"/>
      <queryTableField id="19" name="Jop_Code" tableColumnId="19"/>
      <queryTableField id="20" name="Jop_Name" tableColumnId="20"/>
      <queryTableField id="21" name="Emp_Date_Hiring" tableColumnId="21"/>
      <queryTableField id="22" name="Emp_Car" tableColumnId="22"/>
      <queryTableField id="23" name="Car_Ride_Time" tableColumnId="23"/>
      <queryTableField id="24" name="Car_Pick_Up_Point" tableColumnId="24"/>
      <queryTableField id="25" name="Insurance_Status" tableColumnId="25"/>
      <queryTableField id="26" name="Jop_Code_insurance" tableColumnId="26"/>
      <queryTableField id="27" name="Jop_Name_insurance" tableColumnId="27"/>
      <queryTableField id="28" name="Health_Card" tableColumnId="28"/>
      <queryTableField id="29" name="Health_Card_Number" tableColumnId="29"/>
      <queryTableField id="30" name="Health_Card_Start_Date" tableColumnId="30"/>
      <queryTableField id="31" name="Health_Card_Renewal_Date" tableColumnId="31"/>
      <queryTableField id="32" name="The_health_card_remains_expire" tableColumnId="32"/>
      <queryTableField id="33" name="Health_Card_Expiration_Date" tableColumnId="33"/>
      <queryTableField id="34" name="Number_Insurance" tableColumnId="34"/>
      <queryTableField id="35" name="Date_Insurance_Start" tableColumnId="35"/>
      <queryTableField id="36" name="Insurance_Salary" tableColumnId="36"/>
      <queryTableField id="37" name="Percentage_Insurance_Payable" tableColumnId="37"/>
      <queryTableField id="38" name="Due_Insurance_Amount" tableColumnId="38"/>
      <queryTableField id="39" name="Form_S1" tableColumnId="39"/>
      <queryTableField id="40" name="Confirmation_Insurance_Entry" tableColumnId="40"/>
      <queryTableField id="41" name="Delivery_Date_S1" tableColumnId="41"/>
      <queryTableField id="42" name="Receive_Date_S1" tableColumnId="42"/>
      <queryTableField id="43" name="Form_S6" tableColumnId="43"/>
      <queryTableField id="44" name="Delivery_Date_S6" tableColumnId="44"/>
      <queryTableField id="45" name="Receive_Date_S6" tableColumnId="45"/>
      <queryTableField id="46" name="Hiring_Date_Health_Card" tableColumnId="46"/>
      <queryTableField id="47" name="Skill_level_measurement_certificate" tableColumnId="47"/>
      <queryTableField id="48" name="End_date_probationary_period" tableColumnId="48"/>
      <queryTableField id="49" name="CurrentWeekShift" tableColumnId="49"/>
      <queryTableField id="50" name="NextWeekShift" tableColumnId="50"/>
      <queryTableField id="51" name="Friday_Operation" tableColumnId="51"/>
      <queryTableField id="52" name="Shift_Type" tableColumnId="52"/>
      <queryTableField id="53" name="Entrance_Date_S1" tableColumnId="53"/>
      <queryTableField id="54" name="Entrance_Number_S1" tableColumnId="54"/>
      <queryTableField id="55" name="Remaining_Contract_Renewal" tableColumnId="55"/>
      <queryTableField id="56" name="Medical_Exam_Form_Submission" tableColumnId="56"/>
      <queryTableField id="57" name="Years_Since_Contract_Start" tableColumnId="57"/>
      <queryTableField id="58" name="Contract_Renewal_Date" tableColumnId="58"/>
      <queryTableField id="59" name="Contract_Expiry_Date" tableColumnId="59"/>
      <queryTableField id="60" name="Insurance_Code" tableColumnId="60"/>
      <queryTableField id="61" name="Personal_ID_Expiry_Date" tableColumnId="61"/>
      <queryTableField id="62" name="Contract_Renewal_Month" tableColumnId="62"/>
      <queryTableField id="63" name="Military_Service_Certificate" tableColumnId="63"/>
      <queryTableField id="64" name="Qualification_Certificate" tableColumnId="64"/>
      <queryTableField id="65" name="Birth_Certificate" tableColumnId="65"/>
      <queryTableField id="66" name="Insurance_Printout" tableColumnId="66"/>
      <queryTableField id="67" name="ID_Card_Photo" tableColumnId="67"/>
      <queryTableField id="68" name="Personal_Photos" tableColumnId="68"/>
      <queryTableField id="69" name="Employment_Contract" tableColumnId="69"/>
      <queryTableField id="70" name="Medical_Exam_Form" tableColumnId="70"/>
      <queryTableField id="71" name="Criminal_Record_Check" tableColumnId="71"/>
      <queryTableField id="72" name="Social_Status_Report" tableColumnId="72"/>
      <queryTableField id="73" name="Work_Heel" tableColumnId="73"/>
      <queryTableField id="74" name="Heel_Work_Number" tableColumnId="74"/>
      <queryTableField id="75" name="Heel_Work_Registration_Date" tableColumnId="75"/>
      <queryTableField id="76" name="Heel_Work_Recipient" tableColumnId="76"/>
      <queryTableField id="77" name="Heel_Work_Recipient_Address" tableColumnId="77"/>
      <queryTableField id="78" name="Entrance_Number_S6" tableColumnId="78"/>
      <queryTableField id="79" name="Entrance_Date_S6" tableColumnId="79"/>
      <queryTableField id="80" name="Shift_paper" tableColumnId="80"/>
      <queryTableField id="81" name="Age" tableColumnId="81"/>
      <queryTableField id="82" name="Date_Resignation" tableColumnId="82"/>
      <queryTableField id="83" name="Reason_Resignation" tableColumnId="83"/>
      <queryTableField id="84" name="Mother_Name" tableColumnId="84"/>
      <queryTableField id="85" name="Confirm_Exit_Insurance" tableColumnId="85"/>
      <queryTableField id="86" name="Governorate" tableColumnId="86"/>
      <queryTableField id="87" name="Direct_Manager" tableColumnId="87"/>
      <queryTableField id="88" name="International_Subscription_Expiry_Date" tableColumnId="88"/>
      <queryTableField id="89" name="Orient_Subscription_Start_Date" tableColumnId="89"/>
      <queryTableField id="90" name="Orient_Incoming_Number" tableColumnId="90"/>
      <queryTableField id="91" name="Orient_Incoming_Date" tableColumnId="91"/>
      <queryTableField id="92" name="Orient_S1_Delivery_Date" tableColumnId="92"/>
      <queryTableField id="93" name="Orient_S1_Receipt_Date" tableColumnId="93"/>
      <queryTableField id="94" name="Orient_Insurance_Entry_Confirmation" tableColumnId="94"/>
      <queryTableField id="95" name="ElDawliya_S6" tableColumnId="95"/>
      <queryTableField id="96" name="Orient_S1" tableColumnId="96"/>
      <queryTableField id="98" name="Salary_Total" tableColumnId="98"/>
      <queryTableField id="104" name="Salary_Total_Text" tableColumnId="101"/>
      <queryTableField id="100" name="Basic_Salary" tableColumnId="100"/>
      <queryTableField id="99" name="Allowances" tableColumnId="99"/>
      <queryTableField id="97" name="Telegram_ID" tableColumnId="9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15E41D-8543-4FDD-88FD-29498694CAE2}" name="Data" displayName="Data" ref="A2:CW243" tableType="queryTable" totalsRowShown="0" headerRowDxfId="197" dataDxfId="195" headerRowBorderDxfId="196">
  <autoFilter ref="A2:CW243" xr:uid="{3015E41D-8543-4FDD-88FD-29498694CAE2}"/>
  <tableColumns count="101">
    <tableColumn id="1" xr3:uid="{B2088DFD-CB31-41DA-9ECB-952F938E1F19}" uniqueName="1" name="Emp_ID" queryTableFieldId="1" dataDxfId="194"/>
    <tableColumn id="2" xr3:uid="{BA3CAB62-C6A0-46C3-96FB-F02DB3DDD65A}" uniqueName="2" name="Emp_First_Name" queryTableFieldId="2" dataDxfId="193"/>
    <tableColumn id="3" xr3:uid="{9C6032F3-D695-41AA-B7FA-B5693899B2F8}" uniqueName="3" name="Emp_Second_Name" queryTableFieldId="3" dataDxfId="192"/>
    <tableColumn id="4" xr3:uid="{C98D78F7-2158-49B8-BE82-C4A046329020}" uniqueName="4" name="Emp_Full_Name" queryTableFieldId="4" dataDxfId="191"/>
    <tableColumn id="5" xr3:uid="{D2489983-2B84-448E-8334-8CB48FF141B9}" uniqueName="5" name="Emp_Name_English" queryTableFieldId="5" dataDxfId="190"/>
    <tableColumn id="6" xr3:uid="{66108AB6-2BB1-4595-8521-834C31E4535F}" uniqueName="6" name="Emp_Phone1" queryTableFieldId="6" dataDxfId="189"/>
    <tableColumn id="7" xr3:uid="{B798E1A5-CED6-46B7-8BB5-7176240B22EF}" uniqueName="7" name="Emp_Phone2" queryTableFieldId="7" dataDxfId="188"/>
    <tableColumn id="8" xr3:uid="{799D5C8C-61DF-44C2-9AEF-24417F3C21B3}" uniqueName="8" name="Emp_Address" queryTableFieldId="8" dataDxfId="187"/>
    <tableColumn id="9" xr3:uid="{BA304E5D-C95A-44EC-AB37-E07350D9D5BE}" uniqueName="9" name="Emp_Marital_Status" queryTableFieldId="9" dataDxfId="186"/>
    <tableColumn id="10" xr3:uid="{15AE4790-2867-472C-941A-340309C6DD81}" uniqueName="10" name="Emp_Nationality" queryTableFieldId="10" dataDxfId="185"/>
    <tableColumn id="11" xr3:uid="{57DACB48-9AB1-4267-9219-263BB640E3AA}" uniqueName="11" name="People_With_Special_Needs" queryTableFieldId="11" dataDxfId="184"/>
    <tableColumn id="12" xr3:uid="{91312790-9D1C-4BA4-A7B2-BBDC9AEFD0EE}" uniqueName="12" name="National_ID" queryTableFieldId="12" dataDxfId="183"/>
    <tableColumn id="13" xr3:uid="{487A921B-E845-4B6A-B05C-AF4461293D38}" uniqueName="13" name="Date_Birth" queryTableFieldId="13" dataDxfId="182"/>
    <tableColumn id="14" xr3:uid="{FF4B0C6A-262B-4E3A-BE42-27786F41F431}" uniqueName="14" name="Place_Birth" queryTableFieldId="14" dataDxfId="181"/>
    <tableColumn id="15" xr3:uid="{D47DE90F-205F-4E2E-8D19-74F05F13E9BF}" uniqueName="15" name="Emp_Type" queryTableFieldId="15" dataDxfId="180"/>
    <tableColumn id="16" xr3:uid="{810EC9CD-0D49-43F8-88F5-F7D81354C635}" uniqueName="16" name="Working_Condition" queryTableFieldId="16" dataDxfId="179"/>
    <tableColumn id="17" xr3:uid="{F0805E71-FB65-4A0D-A273-D074B6D94D72}" uniqueName="17" name="Dept_Code" queryTableFieldId="17" dataDxfId="178"/>
    <tableColumn id="18" xr3:uid="{A4073DFF-0C9C-4359-95B7-DC42A7412C7E}" uniqueName="18" name="Dept_Name" queryTableFieldId="18" dataDxfId="177"/>
    <tableColumn id="19" xr3:uid="{22FE136F-85FD-4F38-A321-49FC4CBDCECA}" uniqueName="19" name="Jop_Code" queryTableFieldId="19" dataDxfId="176"/>
    <tableColumn id="20" xr3:uid="{54F7FB0D-F51A-4E8C-AC34-9360A431B91A}" uniqueName="20" name="Jop_Name" queryTableFieldId="20" dataDxfId="175"/>
    <tableColumn id="21" xr3:uid="{0D1B2965-A19A-4AFD-A51D-060C89471F51}" uniqueName="21" name="Emp_Date_Hiring" queryTableFieldId="21" dataDxfId="174"/>
    <tableColumn id="22" xr3:uid="{DCEAAF7C-4299-4B8D-9077-50B2A635E28F}" uniqueName="22" name="Emp_Car" queryTableFieldId="22" dataDxfId="173"/>
    <tableColumn id="23" xr3:uid="{D16DABFE-2EFE-45E4-9B38-CBD192D3F673}" uniqueName="23" name="Car_Ride_Time" queryTableFieldId="23" dataDxfId="172"/>
    <tableColumn id="24" xr3:uid="{D2AA00F9-416E-45C3-B74F-959756384DDB}" uniqueName="24" name="Car_Pick_Up_Point" queryTableFieldId="24" dataDxfId="171"/>
    <tableColumn id="25" xr3:uid="{CCD68BD9-E0EF-4C37-8AA3-7757A5061800}" uniqueName="25" name="Insurance_Status" queryTableFieldId="25" dataDxfId="170"/>
    <tableColumn id="26" xr3:uid="{9A185C62-D612-435F-B369-DAAC0E023F54}" uniqueName="26" name="Jop_Code_insurance" queryTableFieldId="26" dataDxfId="169"/>
    <tableColumn id="27" xr3:uid="{28B64AEB-D42B-4A87-B8DC-1040B4D7A3D9}" uniqueName="27" name="Jop_Name_insurance" queryTableFieldId="27" dataDxfId="168"/>
    <tableColumn id="28" xr3:uid="{95999B25-735F-4CF7-9DEB-B961048929BC}" uniqueName="28" name="Health_Card" queryTableFieldId="28" dataDxfId="167"/>
    <tableColumn id="29" xr3:uid="{8CE2E033-DED6-43C0-9FAD-BECA91924810}" uniqueName="29" name="Health_Card_Number" queryTableFieldId="29" dataDxfId="166"/>
    <tableColumn id="30" xr3:uid="{A5F10EDA-0A1E-4346-9B17-940AAF0EC69B}" uniqueName="30" name="Health_Card_Start_Date" queryTableFieldId="30" dataDxfId="165"/>
    <tableColumn id="31" xr3:uid="{0D4B3A3A-CE52-4B8C-9BD6-2CC83B18D437}" uniqueName="31" name="Health_Card_Renewal_Date" queryTableFieldId="31" dataDxfId="164"/>
    <tableColumn id="32" xr3:uid="{C738CFFE-568F-420C-9161-21C15A110FC3}" uniqueName="32" name="The_health_card_remains_expire" queryTableFieldId="32" dataDxfId="163"/>
    <tableColumn id="33" xr3:uid="{5C8BB89C-32A0-477F-8882-A6A1D39E0FE3}" uniqueName="33" name="Health_Card_Expiration_Date" queryTableFieldId="33" dataDxfId="162"/>
    <tableColumn id="34" xr3:uid="{E0E471ED-F92F-46C1-BE2C-E532DC1F05AE}" uniqueName="34" name="Number_Insurance" queryTableFieldId="34" dataDxfId="161"/>
    <tableColumn id="35" xr3:uid="{4B941336-64E0-43E3-82DD-585556BA2C51}" uniqueName="35" name="Date_Insurance_Start" queryTableFieldId="35" dataDxfId="160"/>
    <tableColumn id="36" xr3:uid="{F2979AF2-143A-4BB6-AF1A-9FA112A9842F}" uniqueName="36" name="Insurance_Salary" queryTableFieldId="36" dataDxfId="159"/>
    <tableColumn id="37" xr3:uid="{7A5113BC-25EF-48B3-B50A-1B2B2B5A93EF}" uniqueName="37" name="Percentage_Insurance_Payable" queryTableFieldId="37" dataDxfId="158"/>
    <tableColumn id="38" xr3:uid="{EBE13694-209D-4E81-8D4F-CC4E00607E53}" uniqueName="38" name="Due_Insurance_Amount" queryTableFieldId="38" dataDxfId="157"/>
    <tableColumn id="39" xr3:uid="{F2848E80-D876-4E17-937C-1B1DFE00F13E}" uniqueName="39" name="Form_S1" queryTableFieldId="39" dataDxfId="156"/>
    <tableColumn id="40" xr3:uid="{796DD721-18D1-4AF5-AF9F-BC2013779A11}" uniqueName="40" name="Confirmation_Insurance_Entry" queryTableFieldId="40" dataDxfId="155"/>
    <tableColumn id="41" xr3:uid="{84237D2B-F60B-4F30-ABAF-E86587228BC2}" uniqueName="41" name="Delivery_Date_S1" queryTableFieldId="41" dataDxfId="154"/>
    <tableColumn id="42" xr3:uid="{39DDC87E-0F34-4916-8A5B-8EA10089774D}" uniqueName="42" name="Receive_Date_S1" queryTableFieldId="42" dataDxfId="153"/>
    <tableColumn id="43" xr3:uid="{5887E6B4-3A0F-4BD4-936D-4649BAA2D540}" uniqueName="43" name="Form_S6" queryTableFieldId="43" dataDxfId="152"/>
    <tableColumn id="44" xr3:uid="{3D03C1ED-4B4D-4269-8B5E-BA55A7C7D546}" uniqueName="44" name="Delivery_Date_S6" queryTableFieldId="44" dataDxfId="151"/>
    <tableColumn id="45" xr3:uid="{1382336F-00E3-4A2A-8D1A-FCEFAC4CEAD7}" uniqueName="45" name="Receive_Date_S6" queryTableFieldId="45" dataDxfId="150"/>
    <tableColumn id="46" xr3:uid="{75358A2F-8008-4901-974D-BB078D63AC8C}" uniqueName="46" name="Hiring_Date_Health_Card" queryTableFieldId="46" dataDxfId="149"/>
    <tableColumn id="47" xr3:uid="{040DC3A3-BD66-41A3-BA4D-44233D063B1D}" uniqueName="47" name="Skill_level_measurement_certificate" queryTableFieldId="47" dataDxfId="148"/>
    <tableColumn id="48" xr3:uid="{097915DE-2331-455D-9784-895185855D68}" uniqueName="48" name="End_date_probationary_period" queryTableFieldId="48" dataDxfId="147"/>
    <tableColumn id="49" xr3:uid="{3AEDD25F-082C-4CD6-A27C-0E11D7709A45}" uniqueName="49" name="CurrentWeekShift" queryTableFieldId="49" dataDxfId="146"/>
    <tableColumn id="50" xr3:uid="{957F0E57-6015-4548-B2F8-863FBC7ECCE8}" uniqueName="50" name="NextWeekShift" queryTableFieldId="50" dataDxfId="145"/>
    <tableColumn id="51" xr3:uid="{ACA463AB-F2C8-4898-ADFF-1B00F02DB1D6}" uniqueName="51" name="Friday_Operation" queryTableFieldId="51" dataDxfId="144"/>
    <tableColumn id="52" xr3:uid="{6B64089F-1657-4C6B-B3B7-E0AF7A47BD61}" uniqueName="52" name="Shift_Type" queryTableFieldId="52" dataDxfId="143"/>
    <tableColumn id="53" xr3:uid="{BBF6B98E-BFA4-4F6D-A011-DF9718F2A9EE}" uniqueName="53" name="Entrance_Date_S1" queryTableFieldId="53" dataDxfId="142"/>
    <tableColumn id="54" xr3:uid="{487783AB-0211-454A-AEAD-17458769211D}" uniqueName="54" name="Entrance_Number_S1" queryTableFieldId="54" dataDxfId="141"/>
    <tableColumn id="55" xr3:uid="{0746AC67-AD0A-43C5-BA14-054C9C3A343C}" uniqueName="55" name="Remaining_Contract_Renewal" queryTableFieldId="55" dataDxfId="140"/>
    <tableColumn id="56" xr3:uid="{59ECF004-71CA-43B0-8771-7D4957D0E004}" uniqueName="56" name="Medical_Exam_Form_Submission" queryTableFieldId="56" dataDxfId="139"/>
    <tableColumn id="57" xr3:uid="{11C1838B-CB49-4F32-9775-82F0EC69FF24}" uniqueName="57" name="Years_Since_Contract_Start" queryTableFieldId="57" dataDxfId="138"/>
    <tableColumn id="58" xr3:uid="{A51F6175-630F-4ED8-B6F5-99AED9A6F5A7}" uniqueName="58" name="Contract_Renewal_Date" queryTableFieldId="58" dataDxfId="137"/>
    <tableColumn id="59" xr3:uid="{8C162EA7-EC10-4BEE-82F5-CEABB0353AC8}" uniqueName="59" name="Contract_Expiry_Date" queryTableFieldId="59" dataDxfId="136"/>
    <tableColumn id="60" xr3:uid="{3418CAB9-EB8E-48CE-B8C5-4E516750A72A}" uniqueName="60" name="Insurance_Code" queryTableFieldId="60" dataDxfId="135"/>
    <tableColumn id="61" xr3:uid="{3E1AB067-E838-4295-95B3-5567A6C0D6F8}" uniqueName="61" name="Personal_ID_Expiry_Date" queryTableFieldId="61" dataDxfId="134"/>
    <tableColumn id="62" xr3:uid="{EF021223-46A1-433C-B26E-8840C4D052CA}" uniqueName="62" name="Contract_Renewal_Month" queryTableFieldId="62" dataDxfId="133"/>
    <tableColumn id="63" xr3:uid="{B944FCEC-8A41-4BED-BD18-65F5A8F19FC6}" uniqueName="63" name="Military_Service_Certificate" queryTableFieldId="63" dataDxfId="132"/>
    <tableColumn id="64" xr3:uid="{E34C276A-585D-41E2-B9F3-D6F71408874D}" uniqueName="64" name="Qualification_Certificate" queryTableFieldId="64" dataDxfId="131"/>
    <tableColumn id="65" xr3:uid="{A5CABA0A-4827-454E-89F0-C74EDA26204B}" uniqueName="65" name="Birth_Certificate" queryTableFieldId="65" dataDxfId="130"/>
    <tableColumn id="66" xr3:uid="{8318B97F-8313-4CD0-801A-66B0FB1D7AAC}" uniqueName="66" name="Insurance_Printout" queryTableFieldId="66" dataDxfId="129"/>
    <tableColumn id="67" xr3:uid="{878101F0-402F-490F-A3E9-61B3F8FEFE08}" uniqueName="67" name="ID_Card_Photo" queryTableFieldId="67" dataDxfId="128"/>
    <tableColumn id="68" xr3:uid="{4F178DFB-F776-4894-B72A-AFDDDEE82741}" uniqueName="68" name="Personal_Photos" queryTableFieldId="68" dataDxfId="127"/>
    <tableColumn id="69" xr3:uid="{0840FCEE-21DF-4B5E-9B31-357C01DBC444}" uniqueName="69" name="Employment_Contract" queryTableFieldId="69" dataDxfId="126"/>
    <tableColumn id="70" xr3:uid="{13ECD4F0-A22B-443E-A62E-47D734F343E8}" uniqueName="70" name="Medical_Exam_Form" queryTableFieldId="70" dataDxfId="125"/>
    <tableColumn id="71" xr3:uid="{98868DFD-2D50-482C-BAB0-EAB828C9BA5D}" uniqueName="71" name="Criminal_Record_Check" queryTableFieldId="71" dataDxfId="124"/>
    <tableColumn id="72" xr3:uid="{079507E4-68A8-41DB-A37F-B99354726439}" uniqueName="72" name="Social_Status_Report" queryTableFieldId="72" dataDxfId="123"/>
    <tableColumn id="73" xr3:uid="{B0B270AF-D34B-416A-AADD-A79679C1AA4D}" uniqueName="73" name="Work_Heel" queryTableFieldId="73" dataDxfId="122"/>
    <tableColumn id="74" xr3:uid="{5F331FC4-B0D9-469E-A85D-A93B64475D86}" uniqueName="74" name="Heel_Work_Number" queryTableFieldId="74" dataDxfId="121"/>
    <tableColumn id="75" xr3:uid="{C73662C9-924B-41EE-BA42-85DB4F6CD83A}" uniqueName="75" name="Heel_Work_Registration_Date" queryTableFieldId="75" dataDxfId="120"/>
    <tableColumn id="76" xr3:uid="{4BFD5991-19E5-4047-B403-B25FA16B26E8}" uniqueName="76" name="Heel_Work_Recipient" queryTableFieldId="76" dataDxfId="119"/>
    <tableColumn id="77" xr3:uid="{527F3A4E-0FBA-4987-8A74-30714D68C186}" uniqueName="77" name="Heel_Work_Recipient_Address" queryTableFieldId="77" dataDxfId="118"/>
    <tableColumn id="78" xr3:uid="{0EA0189A-3A63-4A6C-BCFE-DA0582CC6C4A}" uniqueName="78" name="Entrance_Number_S6" queryTableFieldId="78" dataDxfId="117"/>
    <tableColumn id="79" xr3:uid="{426CD5D8-0CE9-448E-9403-DB59CA8BD53E}" uniqueName="79" name="Entrance_Date_S6" queryTableFieldId="79" dataDxfId="116"/>
    <tableColumn id="80" xr3:uid="{6B16C317-1714-4CBA-995E-8B0863DC6196}" uniqueName="80" name="Shift_paper" queryTableFieldId="80" dataDxfId="115"/>
    <tableColumn id="81" xr3:uid="{DCBFC230-D739-47FC-92CA-D452F41E4BBC}" uniqueName="81" name="Age" queryTableFieldId="81" dataDxfId="114"/>
    <tableColumn id="82" xr3:uid="{F0B72C8E-6D52-40CD-9FCF-E644C4C911CA}" uniqueName="82" name="Date_Resignation" queryTableFieldId="82" dataDxfId="113"/>
    <tableColumn id="83" xr3:uid="{0C1522E9-7E92-43E7-B7FD-EA27D1138456}" uniqueName="83" name="Reason_Resignation" queryTableFieldId="83" dataDxfId="112"/>
    <tableColumn id="84" xr3:uid="{915B0C53-EA98-4192-A13E-0A797D41BC52}" uniqueName="84" name="Mother_Name" queryTableFieldId="84" dataDxfId="111"/>
    <tableColumn id="85" xr3:uid="{A7A0995C-08F0-46FF-868B-EAFCFF4B64FF}" uniqueName="85" name="Confirm_Exit_Insurance" queryTableFieldId="85" dataDxfId="110"/>
    <tableColumn id="86" xr3:uid="{D7DC9056-5B0D-49FF-B1F3-7284CE47A9F9}" uniqueName="86" name="Governorate" queryTableFieldId="86" dataDxfId="109"/>
    <tableColumn id="87" xr3:uid="{2891F14C-AD72-4E83-8F53-A9614A6E2225}" uniqueName="87" name="Direct_Manager" queryTableFieldId="87" dataDxfId="108"/>
    <tableColumn id="88" xr3:uid="{233A5776-3F98-4E9E-B587-88C26605F560}" uniqueName="88" name="International_Subscription_Expiry_Date" queryTableFieldId="88" dataDxfId="107"/>
    <tableColumn id="89" xr3:uid="{5967C21B-D782-47A8-BF43-D56D2A1EA97D}" uniqueName="89" name="Orient_Subscription_Start_Date" queryTableFieldId="89" dataDxfId="106"/>
    <tableColumn id="90" xr3:uid="{4531D475-A343-43C6-8E89-A19BED2B62D6}" uniqueName="90" name="Orient_Incoming_Number" queryTableFieldId="90" dataDxfId="105"/>
    <tableColumn id="91" xr3:uid="{61E75EFD-34E3-4334-A333-DC63FE463D51}" uniqueName="91" name="Orient_Incoming_Date" queryTableFieldId="91" dataDxfId="104"/>
    <tableColumn id="92" xr3:uid="{0F3290E2-1CED-4A04-A172-8B054B1BC287}" uniqueName="92" name="Orient_S1_Delivery_Date" queryTableFieldId="92" dataDxfId="103"/>
    <tableColumn id="93" xr3:uid="{CD1F19E4-951C-45F1-B73B-2FA9C0F18693}" uniqueName="93" name="Orient_S1_Receipt_Date" queryTableFieldId="93" dataDxfId="102"/>
    <tableColumn id="94" xr3:uid="{7FD4AB06-3675-4FD0-8222-A413F39A596F}" uniqueName="94" name="Orient_Insurance_Entry_Confirmation" queryTableFieldId="94" dataDxfId="101"/>
    <tableColumn id="95" xr3:uid="{3ACC39B3-3B88-4052-97DD-512848C01A64}" uniqueName="95" name="ElDawliya_S6" queryTableFieldId="95" dataDxfId="100"/>
    <tableColumn id="96" xr3:uid="{5126D04F-6C46-41FF-A279-0DD6F0571526}" uniqueName="96" name="Orient_S1" queryTableFieldId="96" dataDxfId="99"/>
    <tableColumn id="98" xr3:uid="{FEAC469C-48EA-40FF-A23D-88876AE7D3C9}" uniqueName="98" name="Salary_Total" queryTableFieldId="98"/>
    <tableColumn id="101" xr3:uid="{C0346033-E91A-4BE5-A905-6F9757FEB20C}" uniqueName="101" name="Salary_Total_Text" queryTableFieldId="104" dataDxfId="98"/>
    <tableColumn id="100" xr3:uid="{BC44AB96-8FFF-4943-8A94-697762C25FDF}" uniqueName="100" name="Basic_Salary" queryTableFieldId="100"/>
    <tableColumn id="99" xr3:uid="{6461342B-B21B-4DC9-8A7D-985A065908DD}" uniqueName="99" name="Allowances" queryTableFieldId="99"/>
    <tableColumn id="97" xr3:uid="{9C831555-6AD0-4DC9-A553-FB7113E8D8E9}" uniqueName="97" name="Telegram_ID" queryTableFieldId="97" dataDxfId="9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C59F6C-AB91-42B8-A24B-944C367955DD}" name="Table15" displayName="Table15" ref="A1:O210" totalsRowCount="1" headerRowDxfId="96" dataDxfId="95">
  <autoFilter ref="A1:O209" xr:uid="{98C59F6C-AB91-42B8-A24B-944C367955DD}"/>
  <sortState xmlns:xlrd2="http://schemas.microsoft.com/office/spreadsheetml/2017/richdata2" ref="A2:L209">
    <sortCondition ref="A1:A209"/>
  </sortState>
  <tableColumns count="15">
    <tableColumn id="1" xr3:uid="{EFA9CB52-C6E6-43B0-BC46-2C0AEF9974CA}" name="الكود" totalsRowLabel="Total" dataDxfId="94" totalsRowDxfId="93"/>
    <tableColumn id="2" xr3:uid="{6D90821A-C1D4-4389-9772-5160D8684642}" name="الاسم الكامل" dataDxfId="92" totalsRowDxfId="91"/>
    <tableColumn id="3" xr3:uid="{D18A516F-944E-4087-B6A4-F85BCDD60166}" name="الجنسية" dataDxfId="90" totalsRowDxfId="89"/>
    <tableColumn id="15" xr3:uid="{E59EC08A-9912-4E4B-8B64-DB3B94608390}" name="الوظيفية" dataDxfId="88" totalsRowDxfId="87"/>
    <tableColumn id="4" xr3:uid="{896ADE4D-FC0E-4896-BB0B-FEE0DA9226EE}" name="نوع الموظف" dataDxfId="86" totalsRowDxfId="85"/>
    <tableColumn id="5" xr3:uid="{B7D8B8CF-6682-4F44-99EF-43EFB4A732D5}" name="حالة العمل" dataDxfId="84" totalsRowDxfId="83"/>
    <tableColumn id="6" xr3:uid="{5CB01D2B-0A99-4450-AC63-572F6413F6FC}" name="اسم القسم" dataDxfId="82" totalsRowDxfId="81"/>
    <tableColumn id="8" xr3:uid="{778BEAC2-96FF-4324-B95D-8B34C2FCDF7A}" name="حالة التأمين" dataDxfId="80" totalsRowDxfId="79"/>
    <tableColumn id="11" xr3:uid="{3DE1F427-3928-4144-9C0B-A7B1E8FA669D}" name="رقم التأمين" dataDxfId="78" totalsRowDxfId="77"/>
    <tableColumn id="12" xr3:uid="{72C18860-0578-4E15-9862-36834B99A35B}" name="تاريخ بدء التأمين" dataDxfId="76" totalsRowDxfId="75"/>
    <tableColumn id="13" xr3:uid="{FF3A8E9A-13CE-4AFA-9CB0-7CB6DFB5687A}" name="مرتب التأمين" totalsRowFunction="sum" dataDxfId="74" totalsRowDxfId="73"/>
    <tableColumn id="14" xr3:uid="{E71D888E-C418-4381-880B-2E6B6E834D87}" name="قيمة التأمين المستحقة" totalsRowFunction="sum" dataDxfId="72" totalsRowDxfId="71"/>
    <tableColumn id="7" xr3:uid="{4314806A-D238-4E03-BFD9-B9A08DD9FB3D}" name="الاجر الشامل الجديد" dataDxfId="70" totalsRowDxfId="69"/>
    <tableColumn id="9" xr3:uid="{4CDE2B06-01AA-4413-A0AB-3BD0A40E2857}" name="قيمة ما يتم تحميله على العامل " dataDxfId="68" totalsRowDxfId="67"/>
    <tableColumn id="10" xr3:uid="{F58F55EC-6887-4CE9-AD89-A4C7F5E6B2D2}" name="قيمة ما يتم تحميله على الشركة" dataDxfId="66" totalsRowDxfId="6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B8C7B-A52F-47EC-B42C-041772184B5E}" name="Table1" displayName="Table1" ref="A1:C41" totalsRowShown="0" tableBorderDxfId="64">
  <autoFilter ref="A1:C41" xr:uid="{B85B8C7B-A52F-47EC-B42C-041772184B5E}"/>
  <tableColumns count="3">
    <tableColumn id="1" xr3:uid="{1D5C977D-D986-4ECC-BEE6-4A333E3F9D32}" name="Emp_ID" dataDxfId="63"/>
    <tableColumn id="2" xr3:uid="{FA8A0DDE-ED02-4E18-A475-00045F87A1C2}" name="Emp_Full_Name" dataDxfId="62"/>
    <tableColumn id="3" xr3:uid="{D9CF5430-68D2-4833-B82C-7C4F2E55F0E6}" name="Column1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CAB06A-4A93-4C99-A060-77F731D70527}" name="Table6" displayName="Table6" ref="A1:T208" totalsRowCount="1" headerRowDxfId="60" dataDxfId="58" headerRowBorderDxfId="59" tableBorderDxfId="57" totalsRowBorderDxfId="56">
  <autoFilter ref="A1:T207" xr:uid="{AFCAB06A-4A93-4C99-A060-77F731D70527}"/>
  <tableColumns count="20">
    <tableColumn id="1" xr3:uid="{3C58470A-C8D7-4453-9998-A9F0D4B6C41A}" name="الكود" totalsRowLabel="Total" dataDxfId="55" totalsRowDxfId="54"/>
    <tableColumn id="2" xr3:uid="{AEACDF65-97FE-410D-BBAD-312E2A24CE29}" name="الاسم" dataDxfId="53" totalsRowDxfId="52"/>
    <tableColumn id="3" xr3:uid="{5DB81804-0681-467E-B849-59BB831E9DC0}" name="الوظيفية" dataDxfId="51" totalsRowDxfId="50">
      <calculatedColumnFormula>VLOOKUP(Table6[[#This Row],[الكود]],Data[],12,0)</calculatedColumnFormula>
    </tableColumn>
    <tableColumn id="19" xr3:uid="{456F1ED4-2804-4290-94DE-D9DD8125E250}" name="الجنسية" dataDxfId="49" totalsRowDxfId="48">
      <calculatedColumnFormula>VLOOKUP(Table6[[#This Row],[الكود]],Data[],10,0)</calculatedColumnFormula>
    </tableColumn>
    <tableColumn id="20" xr3:uid="{87F89FD8-304C-4E89-97A4-B531C9B0348C}" name="الحالة التأمينة فى الدولية" dataDxfId="47" totalsRowDxfId="46">
      <calculatedColumnFormula>VLOOKUP(Table6[[#This Row],[الكود]],Data[],25,0)</calculatedColumnFormula>
    </tableColumn>
    <tableColumn id="4" xr3:uid="{EA68DC40-5D72-4C7E-8E4A-E8527F8ED076}" name="تاريخ الخروج من الدولية" dataDxfId="45" totalsRowDxfId="44">
      <calculatedColumnFormula>VLOOKUP(Table6[[#This Row],[الكود]],Data[],88,0)</calculatedColumnFormula>
    </tableColumn>
    <tableColumn id="5" xr3:uid="{30EC0357-D7C8-43A1-A428-B3556F1D95FB}" name="تاريخ بدأ الاشتراك فى أورينت" dataDxfId="43" totalsRowDxfId="42"/>
    <tableColumn id="6" xr3:uid="{55894AA1-CB99-4055-A1F1-09D54A6053A2}" name="الاجر الشامل" dataDxfId="41" totalsRowDxfId="40">
      <calculatedColumnFormula>_xlfn.IFNA(IF(Table6[[#This Row],[الكود]]="","",VLOOKUP(Table6[[#This Row],[الكود]],Data[],97,0)),"")</calculatedColumnFormula>
    </tableColumn>
    <tableColumn id="7" xr3:uid="{3B0A0B16-EF32-4930-A817-C33B60622F02}" name="الاجر الاساسي" totalsRowFunction="sum" dataDxfId="39" totalsRowDxfId="38">
      <calculatedColumnFormula>_xlfn.IFNA(IF(Table6[[#This Row],[الكود]]="","",VLOOKUP(Table6[[#This Row],[الكود]],Data[],99,0)),"")</calculatedColumnFormula>
    </tableColumn>
    <tableColumn id="18" xr3:uid="{7DF64CCA-56EC-4B98-9299-9FFA76243324}" name="البدلات" dataDxfId="37" totalsRowDxfId="36">
      <calculatedColumnFormula>_xlfn.IFNA(IF(Table6[[#This Row],[الكود]]="","",VLOOKUP(Table6[[#This Row],[الكود]],Data[],100,0)),"")</calculatedColumnFormula>
    </tableColumn>
    <tableColumn id="8" xr3:uid="{DCF23E88-AA05-4B5A-B480-E54D863C9789}" name="ما يتحمله العامل" totalsRowFunction="sum" dataDxfId="35" totalsRowDxfId="34">
      <calculatedColumnFormula>IF(Table6[[#This Row],[الاجر الشامل]]=0,"",I2*11%)</calculatedColumnFormula>
    </tableColumn>
    <tableColumn id="9" xr3:uid="{C92CFFEA-39CC-42AA-9FDB-F2D2779DC5DE}" name="ما تتحمله الشركة " totalsRowFunction="sum" dataDxfId="33" totalsRowDxfId="32">
      <calculatedColumnFormula>IF(Table6[[#This Row],[الاجر الشامل]]=0,"",I2*18.75%)</calculatedColumnFormula>
    </tableColumn>
    <tableColumn id="10" xr3:uid="{E90EE4F5-3596-4635-95E8-6DE477CFAB52}" name="اصل شهادة الجيش" dataDxfId="31" totalsRowDxfId="30">
      <calculatedColumnFormula>VLOOKUP(Table6[[#This Row],[الكود]],Data[],63,0)</calculatedColumnFormula>
    </tableColumn>
    <tableColumn id="11" xr3:uid="{5B43ACB8-323E-4C6B-AB5E-7BEE8C4E17B4}" name="اصل المؤهل" dataDxfId="29" totalsRowDxfId="28">
      <calculatedColumnFormula>VLOOKUP(Table6[[#This Row],[الكود]],Data[],64,0)</calculatedColumnFormula>
    </tableColumn>
    <tableColumn id="12" xr3:uid="{C8147BAD-C62A-48F1-BDFF-2E19F83F5FD5}" name="اصل الميلاد" dataDxfId="27" totalsRowDxfId="26">
      <calculatedColumnFormula>VLOOKUP(Table6[[#This Row],[الكود]],Data[],65,0)</calculatedColumnFormula>
    </tableColumn>
    <tableColumn id="13" xr3:uid="{B799F888-DC95-47F8-97A4-94ABEDF3B88A}" name="صورة بطاقة " dataDxfId="25" totalsRowDxfId="24">
      <calculatedColumnFormula>VLOOKUP(Table6[[#This Row],[الكود]],Data[],67,0)</calculatedColumnFormula>
    </tableColumn>
    <tableColumn id="14" xr3:uid="{4B79854A-0CC6-4020-B42B-0263064A69E1}" name="6 صور شخصية" dataDxfId="23" totalsRowDxfId="22"/>
    <tableColumn id="16" xr3:uid="{F34F5477-F6F5-45D7-8FB9-A322E029F3DF}" name="الفيش الجنائي" dataDxfId="21" totalsRowDxfId="20">
      <calculatedColumnFormula>VLOOKUP(Table6[[#This Row],[الكود]],Data[],71,0)</calculatedColumnFormula>
    </tableColumn>
    <tableColumn id="15" xr3:uid="{9655D3B0-935E-45C8-BCFD-F9E10F07A8E2}" name="كعب عمل" dataDxfId="19" totalsRowDxfId="18">
      <calculatedColumnFormula>VLOOKUP(Table6[[#This Row],[الكود]],Data[],73,0)</calculatedColumnFormula>
    </tableColumn>
    <tableColumn id="17" xr3:uid="{EF48AF07-2054-4F2E-898C-B659C073F84F}" name="شهادة قياس مستوى المهارة" totalsRowFunction="count" dataDxfId="17" totalsRow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966444-A5C0-4FFA-8836-EDE3074DD035}" name="Table2" displayName="Table2" ref="A1:H119" totalsRowShown="0" headerRowDxfId="15" dataDxfId="13" headerRowBorderDxfId="14" tableBorderDxfId="12" totalsRowBorderDxfId="11">
  <autoFilter ref="A1:H119" xr:uid="{51966444-A5C0-4FFA-8836-EDE3074DD035}"/>
  <tableColumns count="8">
    <tableColumn id="1" xr3:uid="{B930192B-8886-43DF-BA41-A3D0C37A9A90}" name="الكود" dataDxfId="10"/>
    <tableColumn id="2" xr3:uid="{630C4508-A05D-4960-A522-9BB5CE7814B9}" name="الاسم" dataDxfId="9"/>
    <tableColumn id="3" xr3:uid="{F157B0EC-7A6A-4A33-AE44-66595C8CA55F}" name="الوظيفية" dataDxfId="8"/>
    <tableColumn id="4" xr3:uid="{DB18AA92-0F3D-4148-84D0-34F445BFC6FA}" name="تاريخ بدأ الاشتراك فى أورينت" dataDxfId="7"/>
    <tableColumn id="5" xr3:uid="{68138604-DD04-4297-8ABF-CA0A44A39F9D}" name="الاجر الشامل" dataDxfId="6"/>
    <tableColumn id="6" xr3:uid="{E545A033-1DF9-49DC-AD8E-602713F66BB8}" name="مبلغ التأمين" dataDxfId="5">
      <calculatedColumnFormula>IF(Table2[[#This Row],[الكود]]="","",VLOOKUP(Table2[[#This Row],[الكود]],Data[],2,0))</calculatedColumnFormula>
    </tableColumn>
    <tableColumn id="7" xr3:uid="{44D07E9C-B867-4FFD-8DD6-9F61AB293C4F}" name="ما يتحمله العامل" dataDxfId="4">
      <calculatedColumnFormula>IF(Table2[[#This Row],[مبلغ التأمين]]="","",Table2[[#This Row],[مبلغ التأمين]]*11%)</calculatedColumnFormula>
    </tableColumn>
    <tableColumn id="8" xr3:uid="{3A7850C7-F67D-411E-B4EF-13422B45C575}" name="ما تتحمله الشركة " dataDxfId="3">
      <calculatedColumnFormula>IF(Table2[[#This Row],[مبلغ التأمين]]="","",Table2[[#This Row],[مبلغ التأمين]]*18.75%)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65F7-946C-4C7E-B457-E7D7E6E46CCF}">
  <sheetPr codeName="Sheet5"/>
  <dimension ref="A1:CW243"/>
  <sheetViews>
    <sheetView rightToLeft="1" topLeftCell="AK1" workbookViewId="0">
      <selection activeCell="AL10" sqref="AL10"/>
    </sheetView>
  </sheetViews>
  <sheetFormatPr defaultRowHeight="13.8" x14ac:dyDescent="0.25"/>
  <cols>
    <col min="1" max="1" width="11.69921875" bestFit="1" customWidth="1"/>
    <col min="2" max="2" width="18" hidden="1" customWidth="1"/>
    <col min="3" max="3" width="20.796875" hidden="1" customWidth="1"/>
    <col min="4" max="4" width="27.8984375" bestFit="1" customWidth="1"/>
    <col min="5" max="5" width="46.3984375" hidden="1" customWidth="1"/>
    <col min="6" max="6" width="16.5" bestFit="1" customWidth="1"/>
    <col min="7" max="7" width="14.3984375" hidden="1" customWidth="1"/>
    <col min="8" max="8" width="46.796875" bestFit="1" customWidth="1"/>
    <col min="9" max="9" width="22.3984375" bestFit="1" customWidth="1"/>
    <col min="10" max="10" width="19.296875" bestFit="1" customWidth="1"/>
    <col min="11" max="11" width="30.296875" bestFit="1" customWidth="1"/>
    <col min="12" max="12" width="15" bestFit="1" customWidth="1"/>
    <col min="13" max="13" width="14.19921875" bestFit="1" customWidth="1"/>
    <col min="14" max="14" width="19.09765625" bestFit="1" customWidth="1"/>
    <col min="15" max="15" width="14.296875" bestFit="1" customWidth="1"/>
    <col min="16" max="16" width="21.69921875" bestFit="1" customWidth="1"/>
    <col min="17" max="17" width="12.59765625" hidden="1" customWidth="1"/>
    <col min="18" max="18" width="15.09765625" bestFit="1" customWidth="1"/>
    <col min="19" max="19" width="11.69921875" hidden="1" customWidth="1"/>
    <col min="20" max="20" width="17.296875" bestFit="1" customWidth="1"/>
    <col min="21" max="21" width="20.19921875" bestFit="1" customWidth="1"/>
    <col min="22" max="22" width="15.59765625" bestFit="1" customWidth="1"/>
    <col min="23" max="23" width="18.3984375" bestFit="1" customWidth="1"/>
    <col min="24" max="24" width="28" bestFit="1" customWidth="1"/>
    <col min="25" max="25" width="20.09765625" bestFit="1" customWidth="1"/>
    <col min="26" max="26" width="23.5" bestFit="1" customWidth="1"/>
    <col min="27" max="27" width="30.09765625" bestFit="1" customWidth="1"/>
    <col min="28" max="28" width="15.59765625" bestFit="1" customWidth="1"/>
    <col min="29" max="29" width="21.796875" hidden="1" customWidth="1"/>
    <col min="30" max="30" width="24" hidden="1" customWidth="1"/>
    <col min="31" max="31" width="27.59765625" hidden="1" customWidth="1"/>
    <col min="32" max="32" width="32.59765625" hidden="1" customWidth="1"/>
    <col min="33" max="33" width="30.8984375" bestFit="1" customWidth="1"/>
    <col min="34" max="34" width="21.69921875" bestFit="1" customWidth="1"/>
    <col min="35" max="35" width="23.796875" bestFit="1" customWidth="1"/>
    <col min="36" max="36" width="20.09765625" bestFit="1" customWidth="1"/>
    <col min="37" max="37" width="32.8984375" bestFit="1" customWidth="1"/>
    <col min="38" max="38" width="26.19921875" bestFit="1" customWidth="1"/>
    <col min="39" max="39" width="12.69921875" bestFit="1" customWidth="1"/>
    <col min="40" max="40" width="31.8984375" bestFit="1" customWidth="1"/>
    <col min="41" max="41" width="20.59765625" bestFit="1" customWidth="1"/>
    <col min="42" max="42" width="20.3984375" bestFit="1" customWidth="1"/>
    <col min="43" max="43" width="12.69921875" bestFit="1" customWidth="1"/>
    <col min="44" max="44" width="20.59765625" bestFit="1" customWidth="1"/>
    <col min="45" max="45" width="20.3984375" bestFit="1" customWidth="1"/>
    <col min="46" max="46" width="27.09765625" bestFit="1" customWidth="1"/>
    <col min="47" max="47" width="37.296875" bestFit="1" customWidth="1"/>
    <col min="48" max="48" width="32.19921875" bestFit="1" customWidth="1"/>
    <col min="49" max="49" width="20.5" bestFit="1" customWidth="1"/>
    <col min="50" max="50" width="18" bestFit="1" customWidth="1"/>
    <col min="51" max="51" width="20.09765625" bestFit="1" customWidth="1"/>
    <col min="52" max="52" width="14.296875" bestFit="1" customWidth="1"/>
    <col min="53" max="53" width="21.09765625" bestFit="1" customWidth="1"/>
    <col min="54" max="54" width="24.09765625" bestFit="1" customWidth="1"/>
    <col min="55" max="55" width="31.69921875" bestFit="1" customWidth="1"/>
    <col min="56" max="56" width="35" bestFit="1" customWidth="1"/>
    <col min="57" max="57" width="29.796875" bestFit="1" customWidth="1"/>
    <col min="58" max="58" width="26.19921875" bestFit="1" customWidth="1"/>
    <col min="59" max="59" width="24.19921875" bestFit="1" customWidth="1"/>
    <col min="60" max="60" width="19.19921875" bestFit="1" customWidth="1"/>
    <col min="61" max="61" width="27.3984375" bestFit="1" customWidth="1"/>
    <col min="62" max="62" width="27.59765625" bestFit="1" customWidth="1"/>
    <col min="63" max="63" width="29.3984375" bestFit="1" customWidth="1"/>
    <col min="64" max="64" width="26.09765625" bestFit="1" customWidth="1"/>
    <col min="65" max="65" width="19.19921875" bestFit="1" customWidth="1"/>
    <col min="66" max="66" width="21.59765625" bestFit="1" customWidth="1"/>
    <col min="67" max="67" width="18" bestFit="1" customWidth="1"/>
    <col min="68" max="68" width="19.796875" bestFit="1" customWidth="1"/>
    <col min="69" max="69" width="24.69921875" bestFit="1" customWidth="1"/>
    <col min="70" max="70" width="23.3984375" bestFit="1" customWidth="1"/>
    <col min="71" max="71" width="26.296875" bestFit="1" customWidth="1"/>
    <col min="72" max="72" width="23.796875" bestFit="1" customWidth="1"/>
    <col min="73" max="73" width="14.3984375" bestFit="1" customWidth="1"/>
    <col min="74" max="74" width="22.59765625" bestFit="1" customWidth="1"/>
    <col min="75" max="75" width="31.3984375" bestFit="1" customWidth="1"/>
    <col min="76" max="76" width="23.8984375" bestFit="1" customWidth="1"/>
    <col min="77" max="77" width="32.3984375" bestFit="1" customWidth="1"/>
    <col min="78" max="78" width="24.09765625" bestFit="1" customWidth="1"/>
    <col min="79" max="79" width="21.09765625" bestFit="1" customWidth="1"/>
    <col min="80" max="80" width="14.8984375" bestFit="1" customWidth="1"/>
    <col min="81" max="81" width="17.09765625" bestFit="1" customWidth="1"/>
    <col min="82" max="82" width="20.3984375" bestFit="1" customWidth="1"/>
    <col min="83" max="83" width="23.09765625" bestFit="1" customWidth="1"/>
    <col min="84" max="84" width="17.8984375" bestFit="1" customWidth="1"/>
    <col min="85" max="85" width="26.19921875" bestFit="1" customWidth="1"/>
    <col min="86" max="86" width="15.8984375" bestFit="1" customWidth="1"/>
    <col min="87" max="87" width="18.69921875" bestFit="1" customWidth="1"/>
    <col min="88" max="88" width="40.09765625" bestFit="1" customWidth="1"/>
    <col min="89" max="89" width="32.796875" bestFit="1" customWidth="1"/>
    <col min="90" max="90" width="27.69921875" bestFit="1" customWidth="1"/>
    <col min="91" max="91" width="24.59765625" bestFit="1" customWidth="1"/>
    <col min="92" max="92" width="27.19921875" bestFit="1" customWidth="1"/>
    <col min="93" max="93" width="26.5" bestFit="1" customWidth="1"/>
    <col min="94" max="94" width="38.5" bestFit="1" customWidth="1"/>
    <col min="95" max="95" width="16.69921875" bestFit="1" customWidth="1"/>
    <col min="96" max="96" width="13.5" bestFit="1" customWidth="1"/>
    <col min="97" max="97" width="13.69921875" bestFit="1" customWidth="1"/>
    <col min="98" max="98" width="18.69921875" bestFit="1" customWidth="1"/>
    <col min="99" max="99" width="14.19921875" bestFit="1" customWidth="1"/>
    <col min="100" max="100" width="13" bestFit="1" customWidth="1"/>
    <col min="101" max="101" width="16" customWidth="1"/>
  </cols>
  <sheetData>
    <row r="1" spans="1:101" ht="15" thickTop="1" thickBot="1" x14ac:dyDescent="0.3">
      <c r="A1" s="18">
        <f>COLUMN()</f>
        <v>1</v>
      </c>
      <c r="B1" s="18">
        <f>COLUMN()</f>
        <v>2</v>
      </c>
      <c r="C1" s="18">
        <f>COLUMN()</f>
        <v>3</v>
      </c>
      <c r="D1" s="18">
        <f>COLUMN()</f>
        <v>4</v>
      </c>
      <c r="E1" s="18">
        <f>COLUMN()</f>
        <v>5</v>
      </c>
      <c r="F1" s="18">
        <f>COLUMN()</f>
        <v>6</v>
      </c>
      <c r="G1" s="18">
        <f>COLUMN()</f>
        <v>7</v>
      </c>
      <c r="H1" s="18">
        <f>COLUMN()</f>
        <v>8</v>
      </c>
      <c r="I1" s="18">
        <f>COLUMN()</f>
        <v>9</v>
      </c>
      <c r="J1" s="18">
        <f>COLUMN()</f>
        <v>10</v>
      </c>
      <c r="K1" s="18">
        <f>COLUMN()</f>
        <v>11</v>
      </c>
      <c r="L1" s="18">
        <f>COLUMN()</f>
        <v>12</v>
      </c>
      <c r="M1" s="18">
        <f>COLUMN()</f>
        <v>13</v>
      </c>
      <c r="N1" s="18">
        <f>COLUMN()</f>
        <v>14</v>
      </c>
      <c r="O1" s="18">
        <f>COLUMN()</f>
        <v>15</v>
      </c>
      <c r="P1" s="18">
        <f>COLUMN()</f>
        <v>16</v>
      </c>
      <c r="Q1" s="18">
        <f>COLUMN()</f>
        <v>17</v>
      </c>
      <c r="R1" s="18">
        <f>COLUMN()</f>
        <v>18</v>
      </c>
      <c r="S1" s="18">
        <f>COLUMN()</f>
        <v>19</v>
      </c>
      <c r="T1" s="18">
        <f>COLUMN()</f>
        <v>20</v>
      </c>
      <c r="U1" s="18">
        <f>COLUMN()</f>
        <v>21</v>
      </c>
      <c r="V1" s="18">
        <f>COLUMN()</f>
        <v>22</v>
      </c>
      <c r="W1" s="18">
        <f>COLUMN()</f>
        <v>23</v>
      </c>
      <c r="X1" s="18">
        <f>COLUMN()</f>
        <v>24</v>
      </c>
      <c r="Y1" s="18">
        <f>COLUMN()</f>
        <v>25</v>
      </c>
      <c r="Z1" s="18">
        <f>COLUMN()</f>
        <v>26</v>
      </c>
      <c r="AA1" s="18">
        <f>COLUMN()</f>
        <v>27</v>
      </c>
      <c r="AB1" s="18">
        <f>COLUMN()</f>
        <v>28</v>
      </c>
      <c r="AC1" s="18">
        <f>COLUMN()</f>
        <v>29</v>
      </c>
      <c r="AD1" s="18">
        <f>COLUMN()</f>
        <v>30</v>
      </c>
      <c r="AE1" s="18">
        <f>COLUMN()</f>
        <v>31</v>
      </c>
      <c r="AF1" s="18">
        <f>COLUMN()</f>
        <v>32</v>
      </c>
      <c r="AG1" s="18">
        <f>COLUMN()</f>
        <v>33</v>
      </c>
      <c r="AH1" s="18">
        <f>COLUMN()</f>
        <v>34</v>
      </c>
      <c r="AI1" s="18">
        <f>COLUMN()</f>
        <v>35</v>
      </c>
      <c r="AJ1" s="18">
        <f>COLUMN()</f>
        <v>36</v>
      </c>
      <c r="AK1" s="18">
        <f>COLUMN()</f>
        <v>37</v>
      </c>
      <c r="AL1" s="18">
        <f>COLUMN()</f>
        <v>38</v>
      </c>
      <c r="AM1" s="18">
        <f>COLUMN()</f>
        <v>39</v>
      </c>
      <c r="AN1" s="18">
        <f>COLUMN()</f>
        <v>40</v>
      </c>
      <c r="AO1" s="18">
        <f>COLUMN()</f>
        <v>41</v>
      </c>
      <c r="AP1" s="18">
        <f>COLUMN()</f>
        <v>42</v>
      </c>
      <c r="AQ1" s="18">
        <f>COLUMN()</f>
        <v>43</v>
      </c>
      <c r="AR1" s="18">
        <f>COLUMN()</f>
        <v>44</v>
      </c>
      <c r="AS1" s="18">
        <f>COLUMN()</f>
        <v>45</v>
      </c>
      <c r="AT1" s="18">
        <f>COLUMN()</f>
        <v>46</v>
      </c>
      <c r="AU1" s="18">
        <f>COLUMN()</f>
        <v>47</v>
      </c>
      <c r="AV1" s="18">
        <f>COLUMN()</f>
        <v>48</v>
      </c>
      <c r="AW1" s="18">
        <f>COLUMN()</f>
        <v>49</v>
      </c>
      <c r="AX1" s="18">
        <f>COLUMN()</f>
        <v>50</v>
      </c>
      <c r="AY1" s="18">
        <f>COLUMN()</f>
        <v>51</v>
      </c>
      <c r="AZ1" s="18">
        <f>COLUMN()</f>
        <v>52</v>
      </c>
      <c r="BA1" s="18">
        <f>COLUMN()</f>
        <v>53</v>
      </c>
      <c r="BB1" s="18">
        <f>COLUMN()</f>
        <v>54</v>
      </c>
      <c r="BC1" s="18">
        <f>COLUMN()</f>
        <v>55</v>
      </c>
      <c r="BD1" s="18">
        <f>COLUMN()</f>
        <v>56</v>
      </c>
      <c r="BE1" s="18">
        <f>COLUMN()</f>
        <v>57</v>
      </c>
      <c r="BF1" s="18">
        <f>COLUMN()</f>
        <v>58</v>
      </c>
      <c r="BG1" s="18">
        <f>COLUMN()</f>
        <v>59</v>
      </c>
      <c r="BH1" s="18">
        <f>COLUMN()</f>
        <v>60</v>
      </c>
      <c r="BI1" s="18">
        <f>COLUMN()</f>
        <v>61</v>
      </c>
      <c r="BJ1" s="18">
        <f>COLUMN()</f>
        <v>62</v>
      </c>
      <c r="BK1" s="18">
        <f>COLUMN()</f>
        <v>63</v>
      </c>
      <c r="BL1" s="18">
        <f>COLUMN()</f>
        <v>64</v>
      </c>
      <c r="BM1" s="18">
        <f>COLUMN()</f>
        <v>65</v>
      </c>
      <c r="BN1" s="18">
        <f>COLUMN()</f>
        <v>66</v>
      </c>
      <c r="BO1" s="18">
        <f>COLUMN()</f>
        <v>67</v>
      </c>
      <c r="BP1" s="18">
        <f>COLUMN()</f>
        <v>68</v>
      </c>
      <c r="BQ1" s="18">
        <f>COLUMN()</f>
        <v>69</v>
      </c>
      <c r="BR1" s="18">
        <f>COLUMN()</f>
        <v>70</v>
      </c>
      <c r="BS1" s="18">
        <f>COLUMN()</f>
        <v>71</v>
      </c>
      <c r="BT1" s="18">
        <f>COLUMN()</f>
        <v>72</v>
      </c>
      <c r="BU1" s="18">
        <f>COLUMN()</f>
        <v>73</v>
      </c>
      <c r="BV1" s="18">
        <f>COLUMN()</f>
        <v>74</v>
      </c>
      <c r="BW1" s="18">
        <f>COLUMN()</f>
        <v>75</v>
      </c>
      <c r="BX1" s="18">
        <f>COLUMN()</f>
        <v>76</v>
      </c>
      <c r="BY1" s="18">
        <f>COLUMN()</f>
        <v>77</v>
      </c>
      <c r="BZ1" s="18">
        <f>COLUMN()</f>
        <v>78</v>
      </c>
      <c r="CA1" s="18">
        <f>COLUMN()</f>
        <v>79</v>
      </c>
      <c r="CB1" s="18">
        <f>COLUMN()</f>
        <v>80</v>
      </c>
      <c r="CC1" s="18">
        <f>COLUMN()</f>
        <v>81</v>
      </c>
      <c r="CD1" s="18">
        <f>COLUMN()</f>
        <v>82</v>
      </c>
      <c r="CE1" s="18">
        <f>COLUMN()</f>
        <v>83</v>
      </c>
      <c r="CF1" s="18">
        <f>COLUMN()</f>
        <v>84</v>
      </c>
      <c r="CG1" s="18">
        <f>COLUMN()</f>
        <v>85</v>
      </c>
      <c r="CH1" s="18">
        <f>COLUMN()</f>
        <v>86</v>
      </c>
      <c r="CI1" s="18">
        <f>COLUMN()</f>
        <v>87</v>
      </c>
      <c r="CJ1" s="18">
        <f>COLUMN()</f>
        <v>88</v>
      </c>
      <c r="CK1" s="18">
        <f>COLUMN()</f>
        <v>89</v>
      </c>
      <c r="CL1" s="18">
        <f>COLUMN()</f>
        <v>90</v>
      </c>
      <c r="CM1" s="18">
        <f>COLUMN()</f>
        <v>91</v>
      </c>
      <c r="CN1" s="18">
        <f>COLUMN()</f>
        <v>92</v>
      </c>
      <c r="CO1" s="18">
        <f>COLUMN()</f>
        <v>93</v>
      </c>
      <c r="CP1" s="18">
        <f>COLUMN()</f>
        <v>94</v>
      </c>
      <c r="CQ1" s="18">
        <f>COLUMN()</f>
        <v>95</v>
      </c>
      <c r="CR1" s="18">
        <f>COLUMN()</f>
        <v>96</v>
      </c>
      <c r="CS1" s="18">
        <f>COLUMN()</f>
        <v>97</v>
      </c>
      <c r="CT1" s="18">
        <f>COLUMN()</f>
        <v>98</v>
      </c>
      <c r="CU1" s="18">
        <f>COLUMN()</f>
        <v>99</v>
      </c>
      <c r="CV1" s="18">
        <f>COLUMN()</f>
        <v>100</v>
      </c>
      <c r="CW1" s="1"/>
    </row>
    <row r="2" spans="1:101" ht="14.4" thickTop="1" x14ac:dyDescent="0.25">
      <c r="A2" s="19" t="s">
        <v>318</v>
      </c>
      <c r="B2" s="19" t="s">
        <v>319</v>
      </c>
      <c r="C2" s="19" t="s">
        <v>320</v>
      </c>
      <c r="D2" s="19" t="s">
        <v>321</v>
      </c>
      <c r="E2" s="19" t="s">
        <v>322</v>
      </c>
      <c r="F2" s="19" t="s">
        <v>323</v>
      </c>
      <c r="G2" s="19" t="s">
        <v>324</v>
      </c>
      <c r="H2" s="19" t="s">
        <v>325</v>
      </c>
      <c r="I2" s="19" t="s">
        <v>326</v>
      </c>
      <c r="J2" s="19" t="s">
        <v>327</v>
      </c>
      <c r="K2" s="19" t="s">
        <v>328</v>
      </c>
      <c r="L2" s="19" t="s">
        <v>329</v>
      </c>
      <c r="M2" s="19" t="s">
        <v>330</v>
      </c>
      <c r="N2" s="19" t="s">
        <v>331</v>
      </c>
      <c r="O2" s="19" t="s">
        <v>332</v>
      </c>
      <c r="P2" s="19" t="s">
        <v>333</v>
      </c>
      <c r="Q2" s="19" t="s">
        <v>334</v>
      </c>
      <c r="R2" s="19" t="s">
        <v>335</v>
      </c>
      <c r="S2" s="19" t="s">
        <v>336</v>
      </c>
      <c r="T2" s="19" t="s">
        <v>337</v>
      </c>
      <c r="U2" s="19" t="s">
        <v>338</v>
      </c>
      <c r="V2" s="19" t="s">
        <v>339</v>
      </c>
      <c r="W2" s="19" t="s">
        <v>340</v>
      </c>
      <c r="X2" s="19" t="s">
        <v>341</v>
      </c>
      <c r="Y2" s="19" t="s">
        <v>342</v>
      </c>
      <c r="Z2" s="19" t="s">
        <v>343</v>
      </c>
      <c r="AA2" s="19" t="s">
        <v>344</v>
      </c>
      <c r="AB2" s="19" t="s">
        <v>345</v>
      </c>
      <c r="AC2" s="19" t="s">
        <v>346</v>
      </c>
      <c r="AD2" s="19" t="s">
        <v>347</v>
      </c>
      <c r="AE2" s="19" t="s">
        <v>348</v>
      </c>
      <c r="AF2" s="19" t="s">
        <v>349</v>
      </c>
      <c r="AG2" s="19" t="s">
        <v>350</v>
      </c>
      <c r="AH2" s="19" t="s">
        <v>351</v>
      </c>
      <c r="AI2" s="19" t="s">
        <v>352</v>
      </c>
      <c r="AJ2" s="19" t="s">
        <v>353</v>
      </c>
      <c r="AK2" s="19" t="s">
        <v>354</v>
      </c>
      <c r="AL2" s="19" t="s">
        <v>355</v>
      </c>
      <c r="AM2" s="19" t="s">
        <v>356</v>
      </c>
      <c r="AN2" s="19" t="s">
        <v>357</v>
      </c>
      <c r="AO2" s="19" t="s">
        <v>358</v>
      </c>
      <c r="AP2" s="19" t="s">
        <v>359</v>
      </c>
      <c r="AQ2" s="19" t="s">
        <v>360</v>
      </c>
      <c r="AR2" s="19" t="s">
        <v>361</v>
      </c>
      <c r="AS2" s="19" t="s">
        <v>362</v>
      </c>
      <c r="AT2" s="19" t="s">
        <v>363</v>
      </c>
      <c r="AU2" s="19" t="s">
        <v>364</v>
      </c>
      <c r="AV2" s="19" t="s">
        <v>365</v>
      </c>
      <c r="AW2" s="19" t="s">
        <v>366</v>
      </c>
      <c r="AX2" s="19" t="s">
        <v>367</v>
      </c>
      <c r="AY2" s="19" t="s">
        <v>368</v>
      </c>
      <c r="AZ2" s="19" t="s">
        <v>369</v>
      </c>
      <c r="BA2" s="19" t="s">
        <v>370</v>
      </c>
      <c r="BB2" s="19" t="s">
        <v>371</v>
      </c>
      <c r="BC2" s="19" t="s">
        <v>372</v>
      </c>
      <c r="BD2" s="19" t="s">
        <v>373</v>
      </c>
      <c r="BE2" s="19" t="s">
        <v>374</v>
      </c>
      <c r="BF2" s="19" t="s">
        <v>375</v>
      </c>
      <c r="BG2" s="19" t="s">
        <v>376</v>
      </c>
      <c r="BH2" s="19" t="s">
        <v>377</v>
      </c>
      <c r="BI2" s="19" t="s">
        <v>378</v>
      </c>
      <c r="BJ2" s="19" t="s">
        <v>379</v>
      </c>
      <c r="BK2" s="19" t="s">
        <v>380</v>
      </c>
      <c r="BL2" s="19" t="s">
        <v>381</v>
      </c>
      <c r="BM2" s="19" t="s">
        <v>382</v>
      </c>
      <c r="BN2" s="19" t="s">
        <v>383</v>
      </c>
      <c r="BO2" s="19" t="s">
        <v>384</v>
      </c>
      <c r="BP2" s="19" t="s">
        <v>385</v>
      </c>
      <c r="BQ2" s="19" t="s">
        <v>386</v>
      </c>
      <c r="BR2" s="19" t="s">
        <v>387</v>
      </c>
      <c r="BS2" s="19" t="s">
        <v>388</v>
      </c>
      <c r="BT2" s="19" t="s">
        <v>389</v>
      </c>
      <c r="BU2" s="19" t="s">
        <v>390</v>
      </c>
      <c r="BV2" s="19" t="s">
        <v>391</v>
      </c>
      <c r="BW2" s="19" t="s">
        <v>392</v>
      </c>
      <c r="BX2" s="19" t="s">
        <v>393</v>
      </c>
      <c r="BY2" s="19" t="s">
        <v>394</v>
      </c>
      <c r="BZ2" s="19" t="s">
        <v>395</v>
      </c>
      <c r="CA2" s="19" t="s">
        <v>396</v>
      </c>
      <c r="CB2" s="19" t="s">
        <v>397</v>
      </c>
      <c r="CC2" s="19" t="s">
        <v>398</v>
      </c>
      <c r="CD2" s="19" t="s">
        <v>399</v>
      </c>
      <c r="CE2" s="19" t="s">
        <v>400</v>
      </c>
      <c r="CF2" s="19" t="s">
        <v>401</v>
      </c>
      <c r="CG2" s="19" t="s">
        <v>402</v>
      </c>
      <c r="CH2" s="19" t="s">
        <v>403</v>
      </c>
      <c r="CI2" s="19" t="s">
        <v>404</v>
      </c>
      <c r="CJ2" s="19" t="s">
        <v>11</v>
      </c>
      <c r="CK2" s="19" t="s">
        <v>12</v>
      </c>
      <c r="CL2" s="19" t="s">
        <v>405</v>
      </c>
      <c r="CM2" s="19" t="s">
        <v>406</v>
      </c>
      <c r="CN2" s="19" t="s">
        <v>407</v>
      </c>
      <c r="CO2" s="19" t="s">
        <v>408</v>
      </c>
      <c r="CP2" s="19" t="s">
        <v>409</v>
      </c>
      <c r="CQ2" s="19" t="s">
        <v>13</v>
      </c>
      <c r="CR2" s="19" t="s">
        <v>14</v>
      </c>
      <c r="CS2" t="s">
        <v>1881</v>
      </c>
      <c r="CT2" t="s">
        <v>1910</v>
      </c>
      <c r="CU2" t="s">
        <v>1883</v>
      </c>
      <c r="CV2" t="s">
        <v>1882</v>
      </c>
      <c r="CW2" s="19" t="s">
        <v>410</v>
      </c>
    </row>
    <row r="3" spans="1:101" x14ac:dyDescent="0.25">
      <c r="A3" s="44">
        <v>14</v>
      </c>
      <c r="B3" s="46" t="s">
        <v>426</v>
      </c>
      <c r="C3" s="46" t="s">
        <v>411</v>
      </c>
      <c r="D3" s="46" t="s">
        <v>15</v>
      </c>
      <c r="E3" s="46" t="s">
        <v>429</v>
      </c>
      <c r="F3" s="46" t="s">
        <v>430</v>
      </c>
      <c r="G3" s="46" t="s">
        <v>414</v>
      </c>
      <c r="H3" s="46" t="s">
        <v>431</v>
      </c>
      <c r="I3" s="46" t="s">
        <v>432</v>
      </c>
      <c r="J3" s="46" t="s">
        <v>16</v>
      </c>
      <c r="K3" s="46" t="b">
        <v>0</v>
      </c>
      <c r="L3" s="46" t="s">
        <v>433</v>
      </c>
      <c r="M3" s="47">
        <v>33390</v>
      </c>
      <c r="N3" s="46" t="s">
        <v>414</v>
      </c>
      <c r="O3" s="46" t="s">
        <v>17</v>
      </c>
      <c r="P3" s="46" t="s">
        <v>18</v>
      </c>
      <c r="Q3" s="46">
        <v>1</v>
      </c>
      <c r="R3" s="46" t="s">
        <v>19</v>
      </c>
      <c r="S3" s="46">
        <v>9</v>
      </c>
      <c r="T3" s="46" t="s">
        <v>434</v>
      </c>
      <c r="U3" s="47">
        <v>43844</v>
      </c>
      <c r="V3" s="46" t="s">
        <v>20</v>
      </c>
      <c r="W3" s="47">
        <v>1.2708333333333335</v>
      </c>
      <c r="X3" s="46" t="s">
        <v>435</v>
      </c>
      <c r="Y3" s="46" t="s">
        <v>21</v>
      </c>
      <c r="Z3" s="46">
        <v>949900</v>
      </c>
      <c r="AA3" s="46" t="s">
        <v>22</v>
      </c>
      <c r="AB3" s="46" t="s">
        <v>418</v>
      </c>
      <c r="AC3" s="46">
        <v>44</v>
      </c>
      <c r="AD3" s="47">
        <v>43465</v>
      </c>
      <c r="AE3" s="47">
        <v>45403</v>
      </c>
      <c r="AF3" s="46"/>
      <c r="AG3" s="47">
        <v>45768</v>
      </c>
      <c r="AH3" s="46">
        <v>63510808</v>
      </c>
      <c r="AI3" s="47">
        <v>43028</v>
      </c>
      <c r="AJ3" s="46">
        <v>4115</v>
      </c>
      <c r="AK3" s="46">
        <v>0.29749999999999999</v>
      </c>
      <c r="AL3" s="46">
        <v>1224.21</v>
      </c>
      <c r="AM3" s="46" t="b">
        <v>1</v>
      </c>
      <c r="AN3" s="46" t="b">
        <v>1</v>
      </c>
      <c r="AO3" s="47">
        <v>44075</v>
      </c>
      <c r="AP3" s="47">
        <v>44089</v>
      </c>
      <c r="AQ3" s="46" t="b">
        <v>0</v>
      </c>
      <c r="AR3" s="47">
        <v>45365</v>
      </c>
      <c r="AS3" s="47">
        <v>45365</v>
      </c>
      <c r="AT3" s="47">
        <v>42936</v>
      </c>
      <c r="AU3" s="46" t="b">
        <v>1</v>
      </c>
      <c r="AV3" s="47">
        <v>43935</v>
      </c>
      <c r="AW3" s="46" t="s">
        <v>23</v>
      </c>
      <c r="AX3" s="46" t="s">
        <v>41</v>
      </c>
      <c r="AY3" s="46" t="s">
        <v>241</v>
      </c>
      <c r="AZ3" s="46" t="s">
        <v>414</v>
      </c>
      <c r="BA3" s="47">
        <v>45365</v>
      </c>
      <c r="BB3" s="46">
        <v>0</v>
      </c>
      <c r="BC3" s="46"/>
      <c r="BD3" s="46" t="b">
        <v>0</v>
      </c>
      <c r="BE3" s="46" t="s">
        <v>1941</v>
      </c>
      <c r="BF3" s="47">
        <v>45365</v>
      </c>
      <c r="BG3" s="47">
        <v>45730</v>
      </c>
      <c r="BH3" s="46"/>
      <c r="BI3" s="47">
        <v>46702</v>
      </c>
      <c r="BJ3" s="46">
        <v>0</v>
      </c>
      <c r="BK3" s="46" t="s">
        <v>436</v>
      </c>
      <c r="BL3" s="46" t="s">
        <v>437</v>
      </c>
      <c r="BM3" s="46" t="b">
        <v>1</v>
      </c>
      <c r="BN3" s="46" t="b">
        <v>1</v>
      </c>
      <c r="BO3" s="46" t="b">
        <v>1</v>
      </c>
      <c r="BP3" s="46" t="b">
        <v>1</v>
      </c>
      <c r="BQ3" s="46" t="b">
        <v>1</v>
      </c>
      <c r="BR3" s="46" t="b">
        <v>1</v>
      </c>
      <c r="BS3" s="46" t="b">
        <v>1</v>
      </c>
      <c r="BT3" s="46" t="b">
        <v>1</v>
      </c>
      <c r="BU3" s="46" t="b">
        <v>1</v>
      </c>
      <c r="BV3" s="46">
        <v>0</v>
      </c>
      <c r="BW3" s="47">
        <v>43875</v>
      </c>
      <c r="BX3" s="46" t="s">
        <v>414</v>
      </c>
      <c r="BY3" s="46" t="s">
        <v>414</v>
      </c>
      <c r="BZ3" s="46">
        <v>0</v>
      </c>
      <c r="CA3" s="47">
        <v>45951</v>
      </c>
      <c r="CB3" s="46" t="s">
        <v>438</v>
      </c>
      <c r="CC3" s="46" t="s">
        <v>1942</v>
      </c>
      <c r="CD3" s="47"/>
      <c r="CE3" s="46"/>
      <c r="CF3" s="46" t="s">
        <v>439</v>
      </c>
      <c r="CG3" s="46" t="b">
        <v>0</v>
      </c>
      <c r="CH3" s="46" t="s">
        <v>425</v>
      </c>
      <c r="CI3" s="46">
        <v>0</v>
      </c>
      <c r="CJ3" s="47">
        <v>45843</v>
      </c>
      <c r="CK3" s="47">
        <v>1</v>
      </c>
      <c r="CL3" s="46" t="s">
        <v>414</v>
      </c>
      <c r="CM3" s="47">
        <v>1</v>
      </c>
      <c r="CN3" s="47">
        <v>1</v>
      </c>
      <c r="CO3" s="47">
        <v>1</v>
      </c>
      <c r="CP3" s="46" t="b">
        <v>0</v>
      </c>
      <c r="CQ3" s="46" t="b">
        <v>1</v>
      </c>
      <c r="CR3" s="46" t="b">
        <v>0</v>
      </c>
      <c r="CS3">
        <v>7300</v>
      </c>
      <c r="CT3" t="s">
        <v>1911</v>
      </c>
      <c r="CU3">
        <v>5615.38</v>
      </c>
      <c r="CV3">
        <v>1684.62</v>
      </c>
      <c r="CW3" s="49"/>
    </row>
    <row r="4" spans="1:101" x14ac:dyDescent="0.25">
      <c r="A4" s="20">
        <v>24</v>
      </c>
      <c r="B4" s="17" t="s">
        <v>444</v>
      </c>
      <c r="C4" s="17" t="s">
        <v>426</v>
      </c>
      <c r="D4" s="17" t="s">
        <v>24</v>
      </c>
      <c r="E4" s="17" t="s">
        <v>445</v>
      </c>
      <c r="F4" s="17" t="s">
        <v>446</v>
      </c>
      <c r="G4" s="17" t="s">
        <v>414</v>
      </c>
      <c r="H4" s="17" t="s">
        <v>447</v>
      </c>
      <c r="I4" s="17" t="s">
        <v>432</v>
      </c>
      <c r="J4" s="17" t="s">
        <v>25</v>
      </c>
      <c r="K4" s="17" t="b">
        <v>0</v>
      </c>
      <c r="L4" s="17" t="s">
        <v>448</v>
      </c>
      <c r="M4" s="21">
        <v>30052</v>
      </c>
      <c r="N4" s="17" t="s">
        <v>414</v>
      </c>
      <c r="O4" s="17" t="s">
        <v>26</v>
      </c>
      <c r="P4" s="17" t="s">
        <v>18</v>
      </c>
      <c r="Q4" s="17">
        <v>1</v>
      </c>
      <c r="R4" s="17" t="s">
        <v>19</v>
      </c>
      <c r="S4" s="17">
        <v>2</v>
      </c>
      <c r="T4" s="17" t="s">
        <v>441</v>
      </c>
      <c r="U4" s="21">
        <v>45370</v>
      </c>
      <c r="V4" s="17" t="s">
        <v>20</v>
      </c>
      <c r="W4" s="21">
        <v>1.2951388888888888</v>
      </c>
      <c r="X4" s="17" t="s">
        <v>449</v>
      </c>
      <c r="Y4" s="17" t="s">
        <v>21</v>
      </c>
      <c r="Z4" s="17">
        <v>949900</v>
      </c>
      <c r="AA4" s="17" t="s">
        <v>22</v>
      </c>
      <c r="AB4" s="17" t="s">
        <v>418</v>
      </c>
      <c r="AC4" s="17">
        <v>41</v>
      </c>
      <c r="AD4" s="21">
        <v>43465</v>
      </c>
      <c r="AE4" s="21">
        <v>44634</v>
      </c>
      <c r="AF4" s="17"/>
      <c r="AG4" s="21">
        <v>44999</v>
      </c>
      <c r="AH4" s="17">
        <v>17384918</v>
      </c>
      <c r="AI4" s="21">
        <v>42466</v>
      </c>
      <c r="AJ4" s="17">
        <v>4121</v>
      </c>
      <c r="AK4" s="17">
        <v>0.29749999999999999</v>
      </c>
      <c r="AL4" s="17">
        <v>1226</v>
      </c>
      <c r="AM4" s="17" t="b">
        <v>0</v>
      </c>
      <c r="AN4" s="17" t="b">
        <v>1</v>
      </c>
      <c r="AO4" s="21">
        <v>45370</v>
      </c>
      <c r="AP4" s="21">
        <v>45370</v>
      </c>
      <c r="AQ4" s="17" t="b">
        <v>0</v>
      </c>
      <c r="AR4" s="21">
        <v>45370</v>
      </c>
      <c r="AS4" s="21">
        <v>45370</v>
      </c>
      <c r="AT4" s="21">
        <v>42375</v>
      </c>
      <c r="AU4" s="17" t="b">
        <v>0</v>
      </c>
      <c r="AV4" s="21">
        <v>45462</v>
      </c>
      <c r="AW4" s="17" t="s">
        <v>27</v>
      </c>
      <c r="AX4" s="17" t="s">
        <v>27</v>
      </c>
      <c r="AY4" s="17" t="s">
        <v>414</v>
      </c>
      <c r="AZ4" s="17" t="s">
        <v>450</v>
      </c>
      <c r="BA4" s="21">
        <v>45370</v>
      </c>
      <c r="BB4" s="17">
        <v>0</v>
      </c>
      <c r="BC4" s="17"/>
      <c r="BD4" s="17" t="b">
        <v>0</v>
      </c>
      <c r="BE4" s="17" t="s">
        <v>1943</v>
      </c>
      <c r="BF4" s="21">
        <v>45370</v>
      </c>
      <c r="BG4" s="21">
        <v>45735</v>
      </c>
      <c r="BH4" s="17"/>
      <c r="BI4" s="21">
        <v>46611</v>
      </c>
      <c r="BJ4" s="17">
        <v>0</v>
      </c>
      <c r="BK4" s="17" t="s">
        <v>443</v>
      </c>
      <c r="BL4" s="17" t="s">
        <v>443</v>
      </c>
      <c r="BM4" s="17" t="b">
        <v>1</v>
      </c>
      <c r="BN4" s="17" t="b">
        <v>0</v>
      </c>
      <c r="BO4" s="17" t="b">
        <v>1</v>
      </c>
      <c r="BP4" s="17" t="b">
        <v>1</v>
      </c>
      <c r="BQ4" s="17" t="b">
        <v>0</v>
      </c>
      <c r="BR4" s="17" t="b">
        <v>1</v>
      </c>
      <c r="BS4" s="17" t="b">
        <v>1</v>
      </c>
      <c r="BT4" s="17" t="b">
        <v>1</v>
      </c>
      <c r="BU4" s="17" t="b">
        <v>0</v>
      </c>
      <c r="BV4" s="17">
        <v>0</v>
      </c>
      <c r="BW4" s="21">
        <v>45401</v>
      </c>
      <c r="BX4" s="17" t="s">
        <v>414</v>
      </c>
      <c r="BY4" s="17" t="s">
        <v>414</v>
      </c>
      <c r="BZ4" s="17">
        <v>0</v>
      </c>
      <c r="CA4" s="21">
        <v>45951</v>
      </c>
      <c r="CB4" s="17" t="s">
        <v>419</v>
      </c>
      <c r="CC4" s="17" t="s">
        <v>1944</v>
      </c>
      <c r="CD4" s="21"/>
      <c r="CE4" s="17"/>
      <c r="CF4" s="17" t="s">
        <v>451</v>
      </c>
      <c r="CG4" s="17" t="b">
        <v>0</v>
      </c>
      <c r="CH4" s="17" t="s">
        <v>425</v>
      </c>
      <c r="CI4" s="17">
        <v>537</v>
      </c>
      <c r="CJ4" s="21">
        <v>45851</v>
      </c>
      <c r="CK4" s="21">
        <v>45901</v>
      </c>
      <c r="CL4" s="17" t="s">
        <v>414</v>
      </c>
      <c r="CM4" s="21">
        <v>1</v>
      </c>
      <c r="CN4" s="21">
        <v>1</v>
      </c>
      <c r="CO4" s="21">
        <v>1</v>
      </c>
      <c r="CP4" s="17" t="b">
        <v>0</v>
      </c>
      <c r="CQ4" s="17" t="b">
        <v>1</v>
      </c>
      <c r="CR4" s="17" t="b">
        <v>0</v>
      </c>
      <c r="CS4">
        <v>7000</v>
      </c>
      <c r="CT4" t="s">
        <v>1912</v>
      </c>
      <c r="CU4">
        <v>5384.62</v>
      </c>
      <c r="CV4">
        <v>1615.38</v>
      </c>
      <c r="CW4" s="22"/>
    </row>
    <row r="5" spans="1:101" x14ac:dyDescent="0.25">
      <c r="A5" s="20">
        <v>25</v>
      </c>
      <c r="B5" s="17" t="s">
        <v>452</v>
      </c>
      <c r="C5" s="17" t="s">
        <v>426</v>
      </c>
      <c r="D5" s="17" t="s">
        <v>28</v>
      </c>
      <c r="E5" s="17" t="s">
        <v>453</v>
      </c>
      <c r="F5" s="17" t="s">
        <v>454</v>
      </c>
      <c r="G5" s="17" t="s">
        <v>414</v>
      </c>
      <c r="H5" s="17" t="s">
        <v>455</v>
      </c>
      <c r="I5" s="17" t="s">
        <v>432</v>
      </c>
      <c r="J5" s="17" t="s">
        <v>25</v>
      </c>
      <c r="K5" s="17" t="b">
        <v>0</v>
      </c>
      <c r="L5" s="17" t="s">
        <v>456</v>
      </c>
      <c r="M5" s="21">
        <v>34335</v>
      </c>
      <c r="N5" s="17" t="s">
        <v>414</v>
      </c>
      <c r="O5" s="17" t="s">
        <v>26</v>
      </c>
      <c r="P5" s="17" t="s">
        <v>18</v>
      </c>
      <c r="Q5" s="17">
        <v>1</v>
      </c>
      <c r="R5" s="17" t="s">
        <v>19</v>
      </c>
      <c r="S5" s="17">
        <v>2</v>
      </c>
      <c r="T5" s="17" t="s">
        <v>441</v>
      </c>
      <c r="U5" s="21">
        <v>43647</v>
      </c>
      <c r="V5" s="17" t="s">
        <v>29</v>
      </c>
      <c r="W5" s="21">
        <v>1.2534722222222223</v>
      </c>
      <c r="X5" s="17" t="s">
        <v>457</v>
      </c>
      <c r="Y5" s="17" t="s">
        <v>21</v>
      </c>
      <c r="Z5" s="17">
        <v>949900</v>
      </c>
      <c r="AA5" s="17" t="s">
        <v>22</v>
      </c>
      <c r="AB5" s="17" t="s">
        <v>418</v>
      </c>
      <c r="AC5" s="17">
        <v>117</v>
      </c>
      <c r="AD5" s="21">
        <v>44425</v>
      </c>
      <c r="AE5" s="21">
        <v>45159</v>
      </c>
      <c r="AF5" s="17"/>
      <c r="AG5" s="21">
        <v>45525</v>
      </c>
      <c r="AH5" s="17">
        <v>75266707</v>
      </c>
      <c r="AI5" s="21">
        <v>43647</v>
      </c>
      <c r="AJ5" s="17">
        <v>4121</v>
      </c>
      <c r="AK5" s="17">
        <v>0.29749999999999999</v>
      </c>
      <c r="AL5" s="17">
        <v>1226</v>
      </c>
      <c r="AM5" s="17" t="b">
        <v>1</v>
      </c>
      <c r="AN5" s="17" t="b">
        <v>1</v>
      </c>
      <c r="AO5" s="21">
        <v>45365</v>
      </c>
      <c r="AP5" s="21">
        <v>45365</v>
      </c>
      <c r="AQ5" s="17" t="b">
        <v>0</v>
      </c>
      <c r="AR5" s="21">
        <v>45365</v>
      </c>
      <c r="AS5" s="21">
        <v>45365</v>
      </c>
      <c r="AT5" s="21">
        <v>43556</v>
      </c>
      <c r="AU5" s="17" t="b">
        <v>0</v>
      </c>
      <c r="AV5" s="21">
        <v>43739</v>
      </c>
      <c r="AW5" s="17" t="s">
        <v>27</v>
      </c>
      <c r="AX5" s="17" t="s">
        <v>27</v>
      </c>
      <c r="AY5" s="17" t="s">
        <v>414</v>
      </c>
      <c r="AZ5" s="17" t="s">
        <v>450</v>
      </c>
      <c r="BA5" s="21">
        <v>45365</v>
      </c>
      <c r="BB5" s="17">
        <v>0</v>
      </c>
      <c r="BC5" s="17"/>
      <c r="BD5" s="17" t="b">
        <v>0</v>
      </c>
      <c r="BE5" s="17" t="s">
        <v>1945</v>
      </c>
      <c r="BF5" s="21">
        <v>45365</v>
      </c>
      <c r="BG5" s="21">
        <v>45730</v>
      </c>
      <c r="BH5" s="17"/>
      <c r="BI5" s="21">
        <v>47064</v>
      </c>
      <c r="BJ5" s="17">
        <v>0</v>
      </c>
      <c r="BK5" s="17" t="s">
        <v>443</v>
      </c>
      <c r="BL5" s="17" t="s">
        <v>443</v>
      </c>
      <c r="BM5" s="17" t="b">
        <v>1</v>
      </c>
      <c r="BN5" s="17" t="b">
        <v>0</v>
      </c>
      <c r="BO5" s="17" t="b">
        <v>1</v>
      </c>
      <c r="BP5" s="17" t="b">
        <v>1</v>
      </c>
      <c r="BQ5" s="17" t="b">
        <v>0</v>
      </c>
      <c r="BR5" s="17" t="b">
        <v>1</v>
      </c>
      <c r="BS5" s="17" t="b">
        <v>1</v>
      </c>
      <c r="BT5" s="17" t="b">
        <v>1</v>
      </c>
      <c r="BU5" s="17" t="b">
        <v>0</v>
      </c>
      <c r="BV5" s="17">
        <v>0</v>
      </c>
      <c r="BW5" s="21">
        <v>43678</v>
      </c>
      <c r="BX5" s="17" t="s">
        <v>414</v>
      </c>
      <c r="BY5" s="17" t="s">
        <v>414</v>
      </c>
      <c r="BZ5" s="17">
        <v>0</v>
      </c>
      <c r="CA5" s="21">
        <v>45951</v>
      </c>
      <c r="CB5" s="17" t="s">
        <v>419</v>
      </c>
      <c r="CC5" s="17" t="s">
        <v>1946</v>
      </c>
      <c r="CD5" s="21"/>
      <c r="CE5" s="17"/>
      <c r="CF5" s="17" t="s">
        <v>458</v>
      </c>
      <c r="CG5" s="17" t="b">
        <v>0</v>
      </c>
      <c r="CH5" s="17" t="s">
        <v>425</v>
      </c>
      <c r="CI5" s="17">
        <v>537</v>
      </c>
      <c r="CJ5" s="21">
        <v>45851</v>
      </c>
      <c r="CK5" s="21">
        <v>45901</v>
      </c>
      <c r="CL5" s="17" t="s">
        <v>414</v>
      </c>
      <c r="CM5" s="21">
        <v>1</v>
      </c>
      <c r="CN5" s="21">
        <v>1</v>
      </c>
      <c r="CO5" s="21">
        <v>1</v>
      </c>
      <c r="CP5" s="17" t="b">
        <v>0</v>
      </c>
      <c r="CQ5" s="17" t="b">
        <v>1</v>
      </c>
      <c r="CR5" s="17" t="b">
        <v>0</v>
      </c>
      <c r="CS5">
        <v>7000</v>
      </c>
      <c r="CT5" t="s">
        <v>1912</v>
      </c>
      <c r="CU5">
        <v>5384.62</v>
      </c>
      <c r="CV5">
        <v>1615.38</v>
      </c>
      <c r="CW5" s="22"/>
    </row>
    <row r="6" spans="1:101" x14ac:dyDescent="0.25">
      <c r="A6" s="20">
        <v>33</v>
      </c>
      <c r="B6" s="17" t="s">
        <v>462</v>
      </c>
      <c r="C6" s="17" t="s">
        <v>463</v>
      </c>
      <c r="D6" s="17" t="s">
        <v>30</v>
      </c>
      <c r="E6" s="17" t="s">
        <v>464</v>
      </c>
      <c r="F6" s="17" t="s">
        <v>465</v>
      </c>
      <c r="G6" s="17" t="s">
        <v>414</v>
      </c>
      <c r="H6" s="17" t="s">
        <v>466</v>
      </c>
      <c r="I6" s="17" t="s">
        <v>432</v>
      </c>
      <c r="J6" s="17" t="s">
        <v>25</v>
      </c>
      <c r="K6" s="17" t="b">
        <v>0</v>
      </c>
      <c r="L6" s="17" t="s">
        <v>467</v>
      </c>
      <c r="M6" s="21">
        <v>27022</v>
      </c>
      <c r="N6" s="17" t="s">
        <v>414</v>
      </c>
      <c r="O6" s="17" t="s">
        <v>26</v>
      </c>
      <c r="P6" s="17" t="s">
        <v>18</v>
      </c>
      <c r="Q6" s="17">
        <v>1</v>
      </c>
      <c r="R6" s="17" t="s">
        <v>19</v>
      </c>
      <c r="S6" s="17">
        <v>2</v>
      </c>
      <c r="T6" s="17" t="s">
        <v>441</v>
      </c>
      <c r="U6" s="21">
        <v>45370</v>
      </c>
      <c r="V6" s="17" t="s">
        <v>31</v>
      </c>
      <c r="W6" s="21">
        <v>1.2847222222222223</v>
      </c>
      <c r="X6" s="17" t="s">
        <v>468</v>
      </c>
      <c r="Y6" s="17" t="s">
        <v>21</v>
      </c>
      <c r="Z6" s="17">
        <v>949900</v>
      </c>
      <c r="AA6" s="17" t="s">
        <v>22</v>
      </c>
      <c r="AB6" s="17" t="s">
        <v>443</v>
      </c>
      <c r="AC6" s="17">
        <v>19</v>
      </c>
      <c r="AD6" s="21">
        <v>42868</v>
      </c>
      <c r="AE6" s="21">
        <v>44298</v>
      </c>
      <c r="AF6" s="17"/>
      <c r="AG6" s="21">
        <v>44663</v>
      </c>
      <c r="AH6" s="17">
        <v>71439962</v>
      </c>
      <c r="AI6" s="21">
        <v>43306</v>
      </c>
      <c r="AJ6" s="17">
        <v>4121</v>
      </c>
      <c r="AK6" s="17">
        <v>0.29749999999999999</v>
      </c>
      <c r="AL6" s="17">
        <v>1226</v>
      </c>
      <c r="AM6" s="17" t="b">
        <v>0</v>
      </c>
      <c r="AN6" s="17" t="b">
        <v>1</v>
      </c>
      <c r="AO6" s="21">
        <v>45370</v>
      </c>
      <c r="AP6" s="21">
        <v>45370</v>
      </c>
      <c r="AQ6" s="17" t="b">
        <v>0</v>
      </c>
      <c r="AR6" s="21">
        <v>45370</v>
      </c>
      <c r="AS6" s="21">
        <v>45370</v>
      </c>
      <c r="AT6" s="21">
        <v>43215</v>
      </c>
      <c r="AU6" s="17" t="b">
        <v>0</v>
      </c>
      <c r="AV6" s="21">
        <v>45462</v>
      </c>
      <c r="AW6" s="17" t="s">
        <v>27</v>
      </c>
      <c r="AX6" s="17" t="s">
        <v>27</v>
      </c>
      <c r="AY6" s="17" t="s">
        <v>414</v>
      </c>
      <c r="AZ6" s="17" t="s">
        <v>450</v>
      </c>
      <c r="BA6" s="21">
        <v>45370</v>
      </c>
      <c r="BB6" s="17">
        <v>0</v>
      </c>
      <c r="BC6" s="17"/>
      <c r="BD6" s="17" t="b">
        <v>0</v>
      </c>
      <c r="BE6" s="17" t="s">
        <v>1943</v>
      </c>
      <c r="BF6" s="21">
        <v>45370</v>
      </c>
      <c r="BG6" s="21">
        <v>45735</v>
      </c>
      <c r="BH6" s="17"/>
      <c r="BI6" s="21">
        <v>50871</v>
      </c>
      <c r="BJ6" s="17">
        <v>0</v>
      </c>
      <c r="BK6" s="17" t="s">
        <v>443</v>
      </c>
      <c r="BL6" s="17" t="s">
        <v>459</v>
      </c>
      <c r="BM6" s="17" t="b">
        <v>1</v>
      </c>
      <c r="BN6" s="17" t="b">
        <v>0</v>
      </c>
      <c r="BO6" s="17" t="b">
        <v>1</v>
      </c>
      <c r="BP6" s="17" t="b">
        <v>1</v>
      </c>
      <c r="BQ6" s="17" t="b">
        <v>1</v>
      </c>
      <c r="BR6" s="17" t="b">
        <v>0</v>
      </c>
      <c r="BS6" s="17" t="b">
        <v>1</v>
      </c>
      <c r="BT6" s="17" t="b">
        <v>1</v>
      </c>
      <c r="BU6" s="17" t="b">
        <v>0</v>
      </c>
      <c r="BV6" s="17">
        <v>0</v>
      </c>
      <c r="BW6" s="21">
        <v>45401</v>
      </c>
      <c r="BX6" s="17" t="s">
        <v>414</v>
      </c>
      <c r="BY6" s="17" t="s">
        <v>414</v>
      </c>
      <c r="BZ6" s="17">
        <v>0</v>
      </c>
      <c r="CA6" s="21">
        <v>45951</v>
      </c>
      <c r="CB6" s="17" t="s">
        <v>419</v>
      </c>
      <c r="CC6" s="17" t="s">
        <v>1947</v>
      </c>
      <c r="CD6" s="21"/>
      <c r="CE6" s="17"/>
      <c r="CF6" s="17" t="s">
        <v>469</v>
      </c>
      <c r="CG6" s="17" t="b">
        <v>0</v>
      </c>
      <c r="CH6" s="17" t="s">
        <v>425</v>
      </c>
      <c r="CI6" s="17">
        <v>0</v>
      </c>
      <c r="CJ6" s="21">
        <v>45840</v>
      </c>
      <c r="CK6" s="21">
        <v>45901</v>
      </c>
      <c r="CL6" s="17" t="s">
        <v>414</v>
      </c>
      <c r="CM6" s="21">
        <v>1</v>
      </c>
      <c r="CN6" s="21">
        <v>1</v>
      </c>
      <c r="CO6" s="21">
        <v>1</v>
      </c>
      <c r="CP6" s="17" t="b">
        <v>0</v>
      </c>
      <c r="CQ6" s="17" t="b">
        <v>1</v>
      </c>
      <c r="CR6" s="17" t="b">
        <v>0</v>
      </c>
      <c r="CS6">
        <v>7000</v>
      </c>
      <c r="CT6" t="s">
        <v>1912</v>
      </c>
      <c r="CU6">
        <v>5384.62</v>
      </c>
      <c r="CV6">
        <v>1615.38</v>
      </c>
      <c r="CW6" s="22"/>
    </row>
    <row r="7" spans="1:101" x14ac:dyDescent="0.25">
      <c r="A7" s="20">
        <v>34</v>
      </c>
      <c r="B7" s="17" t="s">
        <v>470</v>
      </c>
      <c r="C7" s="17" t="s">
        <v>426</v>
      </c>
      <c r="D7" s="17" t="s">
        <v>32</v>
      </c>
      <c r="E7" s="17" t="s">
        <v>471</v>
      </c>
      <c r="F7" s="17" t="s">
        <v>472</v>
      </c>
      <c r="G7" s="17" t="s">
        <v>414</v>
      </c>
      <c r="H7" s="17" t="s">
        <v>473</v>
      </c>
      <c r="I7" s="17" t="s">
        <v>432</v>
      </c>
      <c r="J7" s="17" t="s">
        <v>25</v>
      </c>
      <c r="K7" s="17" t="b">
        <v>0</v>
      </c>
      <c r="L7" s="17" t="s">
        <v>474</v>
      </c>
      <c r="M7" s="21">
        <v>31481</v>
      </c>
      <c r="N7" s="17" t="s">
        <v>414</v>
      </c>
      <c r="O7" s="17" t="s">
        <v>26</v>
      </c>
      <c r="P7" s="17" t="s">
        <v>18</v>
      </c>
      <c r="Q7" s="17">
        <v>1</v>
      </c>
      <c r="R7" s="17" t="s">
        <v>19</v>
      </c>
      <c r="S7" s="17">
        <v>2</v>
      </c>
      <c r="T7" s="17" t="s">
        <v>441</v>
      </c>
      <c r="U7" s="21">
        <v>31481</v>
      </c>
      <c r="V7" s="17" t="s">
        <v>33</v>
      </c>
      <c r="W7" s="21">
        <v>1.28125</v>
      </c>
      <c r="X7" s="17" t="s">
        <v>475</v>
      </c>
      <c r="Y7" s="17" t="s">
        <v>21</v>
      </c>
      <c r="Z7" s="17">
        <v>949900</v>
      </c>
      <c r="AA7" s="17" t="s">
        <v>22</v>
      </c>
      <c r="AB7" s="17" t="s">
        <v>418</v>
      </c>
      <c r="AC7" s="17">
        <v>88</v>
      </c>
      <c r="AD7" s="21">
        <v>43503</v>
      </c>
      <c r="AE7" s="21">
        <v>45384</v>
      </c>
      <c r="AF7" s="17"/>
      <c r="AG7" s="21">
        <v>45749</v>
      </c>
      <c r="AH7" s="17">
        <v>74219929</v>
      </c>
      <c r="AI7" s="21">
        <v>43222</v>
      </c>
      <c r="AJ7" s="17">
        <v>4121</v>
      </c>
      <c r="AK7" s="17">
        <v>0.29749999999999999</v>
      </c>
      <c r="AL7" s="17">
        <v>1226</v>
      </c>
      <c r="AM7" s="17" t="b">
        <v>0</v>
      </c>
      <c r="AN7" s="17" t="b">
        <v>1</v>
      </c>
      <c r="AO7" s="21">
        <v>45370</v>
      </c>
      <c r="AP7" s="21">
        <v>45370</v>
      </c>
      <c r="AQ7" s="17" t="b">
        <v>0</v>
      </c>
      <c r="AR7" s="21">
        <v>45370</v>
      </c>
      <c r="AS7" s="21">
        <v>45370</v>
      </c>
      <c r="AT7" s="21">
        <v>43133</v>
      </c>
      <c r="AU7" s="17" t="b">
        <v>0</v>
      </c>
      <c r="AV7" s="21">
        <v>31573</v>
      </c>
      <c r="AW7" s="17" t="s">
        <v>27</v>
      </c>
      <c r="AX7" s="17" t="s">
        <v>27</v>
      </c>
      <c r="AY7" s="17" t="s">
        <v>414</v>
      </c>
      <c r="AZ7" s="17" t="s">
        <v>450</v>
      </c>
      <c r="BA7" s="21">
        <v>45370</v>
      </c>
      <c r="BB7" s="17">
        <v>0</v>
      </c>
      <c r="BC7" s="17"/>
      <c r="BD7" s="17" t="b">
        <v>0</v>
      </c>
      <c r="BE7" s="17" t="s">
        <v>1948</v>
      </c>
      <c r="BF7" s="21">
        <v>45370</v>
      </c>
      <c r="BG7" s="21">
        <v>45735</v>
      </c>
      <c r="BH7" s="17"/>
      <c r="BI7" s="21">
        <v>47373</v>
      </c>
      <c r="BJ7" s="17">
        <v>0</v>
      </c>
      <c r="BK7" s="17" t="s">
        <v>443</v>
      </c>
      <c r="BL7" s="17" t="s">
        <v>443</v>
      </c>
      <c r="BM7" s="17" t="b">
        <v>1</v>
      </c>
      <c r="BN7" s="17" t="b">
        <v>0</v>
      </c>
      <c r="BO7" s="17" t="b">
        <v>1</v>
      </c>
      <c r="BP7" s="17" t="b">
        <v>1</v>
      </c>
      <c r="BQ7" s="17" t="b">
        <v>1</v>
      </c>
      <c r="BR7" s="17" t="b">
        <v>1</v>
      </c>
      <c r="BS7" s="17" t="b">
        <v>1</v>
      </c>
      <c r="BT7" s="17" t="b">
        <v>1</v>
      </c>
      <c r="BU7" s="17" t="b">
        <v>0</v>
      </c>
      <c r="BV7" s="17">
        <v>0</v>
      </c>
      <c r="BW7" s="21">
        <v>31512</v>
      </c>
      <c r="BX7" s="17" t="s">
        <v>414</v>
      </c>
      <c r="BY7" s="17" t="s">
        <v>414</v>
      </c>
      <c r="BZ7" s="17">
        <v>0</v>
      </c>
      <c r="CA7" s="21">
        <v>45951</v>
      </c>
      <c r="CB7" s="17" t="s">
        <v>419</v>
      </c>
      <c r="CC7" s="17" t="s">
        <v>1948</v>
      </c>
      <c r="CD7" s="21"/>
      <c r="CE7" s="17"/>
      <c r="CF7" s="17" t="s">
        <v>476</v>
      </c>
      <c r="CG7" s="17" t="b">
        <v>0</v>
      </c>
      <c r="CH7" s="17" t="s">
        <v>425</v>
      </c>
      <c r="CI7" s="17">
        <v>0</v>
      </c>
      <c r="CJ7" s="21">
        <v>45846</v>
      </c>
      <c r="CK7" s="21">
        <v>45901</v>
      </c>
      <c r="CL7" s="17" t="s">
        <v>414</v>
      </c>
      <c r="CM7" s="21">
        <v>1</v>
      </c>
      <c r="CN7" s="21">
        <v>1</v>
      </c>
      <c r="CO7" s="21">
        <v>1</v>
      </c>
      <c r="CP7" s="17" t="b">
        <v>0</v>
      </c>
      <c r="CQ7" s="17" t="b">
        <v>1</v>
      </c>
      <c r="CR7" s="17" t="b">
        <v>0</v>
      </c>
      <c r="CS7">
        <v>7000</v>
      </c>
      <c r="CT7" t="s">
        <v>1912</v>
      </c>
      <c r="CU7">
        <v>5384.62</v>
      </c>
      <c r="CV7">
        <v>1615.38</v>
      </c>
      <c r="CW7" s="22"/>
    </row>
    <row r="8" spans="1:101" x14ac:dyDescent="0.25">
      <c r="A8" s="20">
        <v>35</v>
      </c>
      <c r="B8" s="17" t="s">
        <v>477</v>
      </c>
      <c r="C8" s="17" t="s">
        <v>411</v>
      </c>
      <c r="D8" s="17" t="s">
        <v>34</v>
      </c>
      <c r="E8" s="17" t="s">
        <v>478</v>
      </c>
      <c r="F8" s="17" t="s">
        <v>479</v>
      </c>
      <c r="G8" s="17" t="s">
        <v>414</v>
      </c>
      <c r="H8" s="17" t="s">
        <v>480</v>
      </c>
      <c r="I8" s="17" t="s">
        <v>432</v>
      </c>
      <c r="J8" s="17" t="s">
        <v>25</v>
      </c>
      <c r="K8" s="17" t="b">
        <v>0</v>
      </c>
      <c r="L8" s="17" t="s">
        <v>481</v>
      </c>
      <c r="M8" s="21">
        <v>31454</v>
      </c>
      <c r="N8" s="17" t="s">
        <v>414</v>
      </c>
      <c r="O8" s="17" t="s">
        <v>26</v>
      </c>
      <c r="P8" s="17" t="s">
        <v>18</v>
      </c>
      <c r="Q8" s="17">
        <v>1</v>
      </c>
      <c r="R8" s="17" t="s">
        <v>19</v>
      </c>
      <c r="S8" s="17">
        <v>2</v>
      </c>
      <c r="T8" s="17" t="s">
        <v>441</v>
      </c>
      <c r="U8" s="21">
        <v>43161</v>
      </c>
      <c r="V8" s="17" t="s">
        <v>33</v>
      </c>
      <c r="W8" s="21">
        <v>1.28125</v>
      </c>
      <c r="X8" s="17" t="s">
        <v>482</v>
      </c>
      <c r="Y8" s="17" t="s">
        <v>21</v>
      </c>
      <c r="Z8" s="17">
        <v>949900</v>
      </c>
      <c r="AA8" s="17" t="s">
        <v>22</v>
      </c>
      <c r="AB8" s="17" t="s">
        <v>418</v>
      </c>
      <c r="AC8" s="17">
        <v>37</v>
      </c>
      <c r="AD8" s="21">
        <v>43465</v>
      </c>
      <c r="AE8" s="21">
        <v>45384</v>
      </c>
      <c r="AF8" s="17"/>
      <c r="AG8" s="21">
        <v>45749</v>
      </c>
      <c r="AH8" s="17">
        <v>6398392</v>
      </c>
      <c r="AI8" s="21">
        <v>43222</v>
      </c>
      <c r="AJ8" s="17">
        <v>4121</v>
      </c>
      <c r="AK8" s="17">
        <v>0.29749999999999999</v>
      </c>
      <c r="AL8" s="17">
        <v>1226</v>
      </c>
      <c r="AM8" s="17" t="b">
        <v>1</v>
      </c>
      <c r="AN8" s="17" t="b">
        <v>1</v>
      </c>
      <c r="AO8" s="21">
        <v>45388</v>
      </c>
      <c r="AP8" s="21">
        <v>45388</v>
      </c>
      <c r="AQ8" s="17" t="b">
        <v>0</v>
      </c>
      <c r="AR8" s="21">
        <v>45388</v>
      </c>
      <c r="AS8" s="21">
        <v>45388</v>
      </c>
      <c r="AT8" s="21">
        <v>43133</v>
      </c>
      <c r="AU8" s="17" t="b">
        <v>0</v>
      </c>
      <c r="AV8" s="21">
        <v>43253</v>
      </c>
      <c r="AW8" s="17" t="s">
        <v>27</v>
      </c>
      <c r="AX8" s="17" t="s">
        <v>27</v>
      </c>
      <c r="AY8" s="17" t="s">
        <v>414</v>
      </c>
      <c r="AZ8" s="17" t="s">
        <v>450</v>
      </c>
      <c r="BA8" s="21">
        <v>45388</v>
      </c>
      <c r="BB8" s="17">
        <v>0</v>
      </c>
      <c r="BC8" s="17"/>
      <c r="BD8" s="17" t="b">
        <v>0</v>
      </c>
      <c r="BE8" s="17" t="s">
        <v>1949</v>
      </c>
      <c r="BF8" s="21">
        <v>45388</v>
      </c>
      <c r="BG8" s="21">
        <v>45753</v>
      </c>
      <c r="BH8" s="17"/>
      <c r="BI8" s="21">
        <v>47301</v>
      </c>
      <c r="BJ8" s="17">
        <v>0</v>
      </c>
      <c r="BK8" s="17" t="s">
        <v>443</v>
      </c>
      <c r="BL8" s="17" t="s">
        <v>443</v>
      </c>
      <c r="BM8" s="17" t="b">
        <v>1</v>
      </c>
      <c r="BN8" s="17" t="b">
        <v>0</v>
      </c>
      <c r="BO8" s="17" t="b">
        <v>1</v>
      </c>
      <c r="BP8" s="17" t="b">
        <v>1</v>
      </c>
      <c r="BQ8" s="17" t="b">
        <v>1</v>
      </c>
      <c r="BR8" s="17" t="b">
        <v>1</v>
      </c>
      <c r="BS8" s="17" t="b">
        <v>1</v>
      </c>
      <c r="BT8" s="17" t="b">
        <v>1</v>
      </c>
      <c r="BU8" s="17" t="b">
        <v>0</v>
      </c>
      <c r="BV8" s="17">
        <v>0</v>
      </c>
      <c r="BW8" s="21">
        <v>43192</v>
      </c>
      <c r="BX8" s="17" t="s">
        <v>414</v>
      </c>
      <c r="BY8" s="17" t="s">
        <v>414</v>
      </c>
      <c r="BZ8" s="17">
        <v>0</v>
      </c>
      <c r="CA8" s="21">
        <v>45951</v>
      </c>
      <c r="CB8" s="17" t="s">
        <v>419</v>
      </c>
      <c r="CC8" s="17" t="s">
        <v>1950</v>
      </c>
      <c r="CD8" s="21"/>
      <c r="CE8" s="17"/>
      <c r="CF8" s="17" t="s">
        <v>483</v>
      </c>
      <c r="CG8" s="17" t="b">
        <v>0</v>
      </c>
      <c r="CH8" s="17" t="s">
        <v>425</v>
      </c>
      <c r="CI8" s="17">
        <v>0</v>
      </c>
      <c r="CJ8" s="21">
        <v>45850</v>
      </c>
      <c r="CK8" s="21">
        <v>45901</v>
      </c>
      <c r="CL8" s="17" t="s">
        <v>414</v>
      </c>
      <c r="CM8" s="21">
        <v>1</v>
      </c>
      <c r="CN8" s="21">
        <v>1</v>
      </c>
      <c r="CO8" s="21">
        <v>1</v>
      </c>
      <c r="CP8" s="17" t="b">
        <v>0</v>
      </c>
      <c r="CQ8" s="17" t="b">
        <v>1</v>
      </c>
      <c r="CR8" s="17" t="b">
        <v>0</v>
      </c>
      <c r="CS8">
        <v>7000</v>
      </c>
      <c r="CT8" t="s">
        <v>1912</v>
      </c>
      <c r="CU8">
        <v>5384.62</v>
      </c>
      <c r="CV8">
        <v>1615.38</v>
      </c>
      <c r="CW8" s="22"/>
    </row>
    <row r="9" spans="1:101" x14ac:dyDescent="0.25">
      <c r="A9" s="20">
        <v>36</v>
      </c>
      <c r="B9" s="17" t="s">
        <v>477</v>
      </c>
      <c r="C9" s="17" t="s">
        <v>484</v>
      </c>
      <c r="D9" s="17" t="s">
        <v>35</v>
      </c>
      <c r="E9" s="17" t="s">
        <v>485</v>
      </c>
      <c r="F9" s="17" t="s">
        <v>486</v>
      </c>
      <c r="G9" s="17" t="s">
        <v>414</v>
      </c>
      <c r="H9" s="17" t="s">
        <v>487</v>
      </c>
      <c r="I9" s="17" t="s">
        <v>432</v>
      </c>
      <c r="J9" s="17" t="s">
        <v>25</v>
      </c>
      <c r="K9" s="17" t="b">
        <v>0</v>
      </c>
      <c r="L9" s="17" t="s">
        <v>488</v>
      </c>
      <c r="M9" s="21">
        <v>30024</v>
      </c>
      <c r="N9" s="17" t="s">
        <v>414</v>
      </c>
      <c r="O9" s="17" t="s">
        <v>26</v>
      </c>
      <c r="P9" s="17" t="s">
        <v>18</v>
      </c>
      <c r="Q9" s="17">
        <v>1</v>
      </c>
      <c r="R9" s="17" t="s">
        <v>19</v>
      </c>
      <c r="S9" s="17">
        <v>2</v>
      </c>
      <c r="T9" s="17" t="s">
        <v>441</v>
      </c>
      <c r="U9" s="21">
        <v>42836</v>
      </c>
      <c r="V9" s="17" t="s">
        <v>33</v>
      </c>
      <c r="W9" s="21">
        <v>1.28125</v>
      </c>
      <c r="X9" s="17" t="s">
        <v>489</v>
      </c>
      <c r="Y9" s="17" t="s">
        <v>21</v>
      </c>
      <c r="Z9" s="17">
        <v>949900</v>
      </c>
      <c r="AA9" s="17" t="s">
        <v>22</v>
      </c>
      <c r="AB9" s="17" t="s">
        <v>418</v>
      </c>
      <c r="AC9" s="17">
        <v>89</v>
      </c>
      <c r="AD9" s="21">
        <v>43503</v>
      </c>
      <c r="AE9" s="21">
        <v>45384</v>
      </c>
      <c r="AF9" s="17"/>
      <c r="AG9" s="21">
        <v>45749</v>
      </c>
      <c r="AH9" s="17">
        <v>14424240</v>
      </c>
      <c r="AI9" s="21">
        <v>42836</v>
      </c>
      <c r="AJ9" s="17">
        <v>4121</v>
      </c>
      <c r="AK9" s="17">
        <v>0.29749999999999999</v>
      </c>
      <c r="AL9" s="17">
        <v>1226</v>
      </c>
      <c r="AM9" s="17" t="b">
        <v>1</v>
      </c>
      <c r="AN9" s="17" t="b">
        <v>1</v>
      </c>
      <c r="AO9" s="21">
        <v>45388</v>
      </c>
      <c r="AP9" s="21">
        <v>45388</v>
      </c>
      <c r="AQ9" s="17" t="b">
        <v>0</v>
      </c>
      <c r="AR9" s="21">
        <v>45388</v>
      </c>
      <c r="AS9" s="21">
        <v>45388</v>
      </c>
      <c r="AT9" s="21">
        <v>42746</v>
      </c>
      <c r="AU9" s="17" t="b">
        <v>0</v>
      </c>
      <c r="AV9" s="21">
        <v>42927</v>
      </c>
      <c r="AW9" s="17" t="s">
        <v>27</v>
      </c>
      <c r="AX9" s="17" t="s">
        <v>27</v>
      </c>
      <c r="AY9" s="17" t="s">
        <v>414</v>
      </c>
      <c r="AZ9" s="17" t="s">
        <v>450</v>
      </c>
      <c r="BA9" s="21">
        <v>45388</v>
      </c>
      <c r="BB9" s="17">
        <v>0</v>
      </c>
      <c r="BC9" s="17"/>
      <c r="BD9" s="17" t="b">
        <v>0</v>
      </c>
      <c r="BE9" s="17" t="s">
        <v>1951</v>
      </c>
      <c r="BF9" s="21">
        <v>45388</v>
      </c>
      <c r="BG9" s="21">
        <v>45753</v>
      </c>
      <c r="BH9" s="17"/>
      <c r="BI9" s="21">
        <v>47254</v>
      </c>
      <c r="BJ9" s="17">
        <v>0</v>
      </c>
      <c r="BK9" s="17" t="s">
        <v>443</v>
      </c>
      <c r="BL9" s="17" t="s">
        <v>459</v>
      </c>
      <c r="BM9" s="17" t="b">
        <v>1</v>
      </c>
      <c r="BN9" s="17" t="b">
        <v>1</v>
      </c>
      <c r="BO9" s="17" t="b">
        <v>1</v>
      </c>
      <c r="BP9" s="17" t="b">
        <v>1</v>
      </c>
      <c r="BQ9" s="17" t="b">
        <v>1</v>
      </c>
      <c r="BR9" s="17" t="b">
        <v>1</v>
      </c>
      <c r="BS9" s="17" t="b">
        <v>1</v>
      </c>
      <c r="BT9" s="17" t="b">
        <v>1</v>
      </c>
      <c r="BU9" s="17" t="b">
        <v>0</v>
      </c>
      <c r="BV9" s="17">
        <v>0</v>
      </c>
      <c r="BW9" s="21">
        <v>42866</v>
      </c>
      <c r="BX9" s="17" t="s">
        <v>414</v>
      </c>
      <c r="BY9" s="17" t="s">
        <v>414</v>
      </c>
      <c r="BZ9" s="17">
        <v>0</v>
      </c>
      <c r="CA9" s="21">
        <v>45951</v>
      </c>
      <c r="CB9" s="17" t="s">
        <v>419</v>
      </c>
      <c r="CC9" s="17" t="s">
        <v>1952</v>
      </c>
      <c r="CD9" s="21"/>
      <c r="CE9" s="17"/>
      <c r="CF9" s="17" t="s">
        <v>490</v>
      </c>
      <c r="CG9" s="17" t="b">
        <v>0</v>
      </c>
      <c r="CH9" s="17" t="s">
        <v>425</v>
      </c>
      <c r="CI9" s="17">
        <v>0</v>
      </c>
      <c r="CJ9" s="21">
        <v>45846</v>
      </c>
      <c r="CK9" s="21">
        <v>45901</v>
      </c>
      <c r="CL9" s="17" t="s">
        <v>414</v>
      </c>
      <c r="CM9" s="21">
        <v>1</v>
      </c>
      <c r="CN9" s="21">
        <v>1</v>
      </c>
      <c r="CO9" s="21">
        <v>1</v>
      </c>
      <c r="CP9" s="17" t="b">
        <v>0</v>
      </c>
      <c r="CQ9" s="17" t="b">
        <v>1</v>
      </c>
      <c r="CR9" s="17" t="b">
        <v>0</v>
      </c>
      <c r="CS9">
        <v>7000</v>
      </c>
      <c r="CT9" t="s">
        <v>1912</v>
      </c>
      <c r="CU9">
        <v>5384.62</v>
      </c>
      <c r="CV9">
        <v>1615.38</v>
      </c>
      <c r="CW9" s="22"/>
    </row>
    <row r="10" spans="1:101" x14ac:dyDescent="0.25">
      <c r="A10" s="20">
        <v>38</v>
      </c>
      <c r="B10" s="17" t="s">
        <v>491</v>
      </c>
      <c r="C10" s="17" t="s">
        <v>492</v>
      </c>
      <c r="D10" s="17" t="s">
        <v>36</v>
      </c>
      <c r="E10" s="17" t="s">
        <v>493</v>
      </c>
      <c r="F10" s="17" t="s">
        <v>494</v>
      </c>
      <c r="G10" s="17" t="s">
        <v>414</v>
      </c>
      <c r="H10" s="17" t="s">
        <v>495</v>
      </c>
      <c r="I10" s="17" t="s">
        <v>432</v>
      </c>
      <c r="J10" s="17" t="s">
        <v>25</v>
      </c>
      <c r="K10" s="17" t="b">
        <v>0</v>
      </c>
      <c r="L10" s="17" t="s">
        <v>496</v>
      </c>
      <c r="M10" s="21">
        <v>34639</v>
      </c>
      <c r="N10" s="17" t="s">
        <v>414</v>
      </c>
      <c r="O10" s="17" t="s">
        <v>26</v>
      </c>
      <c r="P10" s="17" t="s">
        <v>18</v>
      </c>
      <c r="Q10" s="17">
        <v>1</v>
      </c>
      <c r="R10" s="17" t="s">
        <v>19</v>
      </c>
      <c r="S10" s="17">
        <v>2</v>
      </c>
      <c r="T10" s="17" t="s">
        <v>441</v>
      </c>
      <c r="U10" s="21">
        <v>42746</v>
      </c>
      <c r="V10" s="17" t="s">
        <v>33</v>
      </c>
      <c r="W10" s="21">
        <v>1.28125</v>
      </c>
      <c r="X10" s="17" t="s">
        <v>489</v>
      </c>
      <c r="Y10" s="17" t="s">
        <v>21</v>
      </c>
      <c r="Z10" s="17">
        <v>949900</v>
      </c>
      <c r="AA10" s="17" t="s">
        <v>22</v>
      </c>
      <c r="AB10" s="17" t="s">
        <v>418</v>
      </c>
      <c r="AC10" s="17">
        <v>39</v>
      </c>
      <c r="AD10" s="21">
        <v>43465</v>
      </c>
      <c r="AE10" s="21">
        <v>45403</v>
      </c>
      <c r="AF10" s="17"/>
      <c r="AG10" s="21">
        <v>45768</v>
      </c>
      <c r="AH10" s="17">
        <v>72182728</v>
      </c>
      <c r="AI10" s="21">
        <v>42836</v>
      </c>
      <c r="AJ10" s="17">
        <v>4121</v>
      </c>
      <c r="AK10" s="17">
        <v>0.29749999999999999</v>
      </c>
      <c r="AL10" s="17">
        <v>1226</v>
      </c>
      <c r="AM10" s="17" t="b">
        <v>1</v>
      </c>
      <c r="AN10" s="17" t="b">
        <v>1</v>
      </c>
      <c r="AO10" s="21">
        <v>45388</v>
      </c>
      <c r="AP10" s="21">
        <v>45388</v>
      </c>
      <c r="AQ10" s="17" t="b">
        <v>0</v>
      </c>
      <c r="AR10" s="21">
        <v>45388</v>
      </c>
      <c r="AS10" s="21">
        <v>45388</v>
      </c>
      <c r="AT10" s="21">
        <v>42746</v>
      </c>
      <c r="AU10" s="17" t="b">
        <v>0</v>
      </c>
      <c r="AV10" s="21">
        <v>42836</v>
      </c>
      <c r="AW10" s="17" t="s">
        <v>27</v>
      </c>
      <c r="AX10" s="17" t="s">
        <v>27</v>
      </c>
      <c r="AY10" s="17" t="s">
        <v>414</v>
      </c>
      <c r="AZ10" s="17" t="s">
        <v>450</v>
      </c>
      <c r="BA10" s="21">
        <v>45388</v>
      </c>
      <c r="BB10" s="17">
        <v>0</v>
      </c>
      <c r="BC10" s="17"/>
      <c r="BD10" s="17" t="b">
        <v>0</v>
      </c>
      <c r="BE10" s="17" t="s">
        <v>1953</v>
      </c>
      <c r="BF10" s="21">
        <v>45388</v>
      </c>
      <c r="BG10" s="21">
        <v>45753</v>
      </c>
      <c r="BH10" s="17"/>
      <c r="BI10" s="21">
        <v>47867</v>
      </c>
      <c r="BJ10" s="17">
        <v>0</v>
      </c>
      <c r="BK10" s="17" t="s">
        <v>443</v>
      </c>
      <c r="BL10" s="17" t="s">
        <v>443</v>
      </c>
      <c r="BM10" s="17" t="b">
        <v>1</v>
      </c>
      <c r="BN10" s="17" t="b">
        <v>0</v>
      </c>
      <c r="BO10" s="17" t="b">
        <v>1</v>
      </c>
      <c r="BP10" s="17" t="b">
        <v>1</v>
      </c>
      <c r="BQ10" s="17" t="b">
        <v>1</v>
      </c>
      <c r="BR10" s="17" t="b">
        <v>1</v>
      </c>
      <c r="BS10" s="17" t="b">
        <v>1</v>
      </c>
      <c r="BT10" s="17" t="b">
        <v>1</v>
      </c>
      <c r="BU10" s="17" t="b">
        <v>0</v>
      </c>
      <c r="BV10" s="17">
        <v>0</v>
      </c>
      <c r="BW10" s="21">
        <v>42777</v>
      </c>
      <c r="BX10" s="17" t="s">
        <v>414</v>
      </c>
      <c r="BY10" s="17" t="s">
        <v>414</v>
      </c>
      <c r="BZ10" s="17">
        <v>0</v>
      </c>
      <c r="CA10" s="21">
        <v>45951</v>
      </c>
      <c r="CB10" s="17" t="s">
        <v>419</v>
      </c>
      <c r="CC10" s="17" t="s">
        <v>1954</v>
      </c>
      <c r="CD10" s="21"/>
      <c r="CE10" s="17"/>
      <c r="CF10" s="17" t="s">
        <v>497</v>
      </c>
      <c r="CG10" s="17" t="b">
        <v>0</v>
      </c>
      <c r="CH10" s="17" t="s">
        <v>425</v>
      </c>
      <c r="CI10" s="17">
        <v>0</v>
      </c>
      <c r="CJ10" s="21">
        <v>45846</v>
      </c>
      <c r="CK10" s="21">
        <v>45901</v>
      </c>
      <c r="CL10" s="17" t="s">
        <v>414</v>
      </c>
      <c r="CM10" s="21">
        <v>1</v>
      </c>
      <c r="CN10" s="21">
        <v>1</v>
      </c>
      <c r="CO10" s="21">
        <v>1</v>
      </c>
      <c r="CP10" s="17" t="b">
        <v>0</v>
      </c>
      <c r="CQ10" s="17" t="b">
        <v>1</v>
      </c>
      <c r="CR10" s="17" t="b">
        <v>0</v>
      </c>
      <c r="CS10">
        <v>7000</v>
      </c>
      <c r="CT10" t="s">
        <v>1912</v>
      </c>
      <c r="CU10">
        <v>5384.62</v>
      </c>
      <c r="CV10">
        <v>1615.38</v>
      </c>
      <c r="CW10" s="22"/>
    </row>
    <row r="11" spans="1:101" x14ac:dyDescent="0.25">
      <c r="A11" s="20">
        <v>39</v>
      </c>
      <c r="B11" s="17" t="s">
        <v>498</v>
      </c>
      <c r="C11" s="17" t="s">
        <v>426</v>
      </c>
      <c r="D11" s="17" t="s">
        <v>37</v>
      </c>
      <c r="E11" s="17" t="s">
        <v>499</v>
      </c>
      <c r="F11" s="17" t="s">
        <v>500</v>
      </c>
      <c r="G11" s="17" t="s">
        <v>414</v>
      </c>
      <c r="H11" s="17" t="s">
        <v>501</v>
      </c>
      <c r="I11" s="17" t="s">
        <v>432</v>
      </c>
      <c r="J11" s="17" t="s">
        <v>25</v>
      </c>
      <c r="K11" s="17" t="b">
        <v>0</v>
      </c>
      <c r="L11" s="17" t="s">
        <v>502</v>
      </c>
      <c r="M11" s="21">
        <v>34604</v>
      </c>
      <c r="N11" s="17" t="s">
        <v>414</v>
      </c>
      <c r="O11" s="17" t="s">
        <v>26</v>
      </c>
      <c r="P11" s="17" t="s">
        <v>18</v>
      </c>
      <c r="Q11" s="17">
        <v>1</v>
      </c>
      <c r="R11" s="17" t="s">
        <v>19</v>
      </c>
      <c r="S11" s="17">
        <v>2</v>
      </c>
      <c r="T11" s="17" t="s">
        <v>441</v>
      </c>
      <c r="U11" s="21">
        <v>43141</v>
      </c>
      <c r="V11" s="17" t="s">
        <v>38</v>
      </c>
      <c r="W11" s="21">
        <v>1.2847222222222223</v>
      </c>
      <c r="X11" s="17" t="s">
        <v>503</v>
      </c>
      <c r="Y11" s="17" t="s">
        <v>21</v>
      </c>
      <c r="Z11" s="17">
        <v>949900</v>
      </c>
      <c r="AA11" s="17" t="s">
        <v>22</v>
      </c>
      <c r="AB11" s="17" t="s">
        <v>418</v>
      </c>
      <c r="AC11" s="17">
        <v>67</v>
      </c>
      <c r="AD11" s="21">
        <v>43488</v>
      </c>
      <c r="AE11" s="21">
        <v>45384</v>
      </c>
      <c r="AF11" s="17"/>
      <c r="AG11" s="21">
        <v>45749</v>
      </c>
      <c r="AH11" s="17">
        <v>74303338</v>
      </c>
      <c r="AI11" s="21">
        <v>43230</v>
      </c>
      <c r="AJ11" s="17">
        <v>4121</v>
      </c>
      <c r="AK11" s="17">
        <v>0.29749999999999999</v>
      </c>
      <c r="AL11" s="17">
        <v>1226</v>
      </c>
      <c r="AM11" s="17" t="b">
        <v>1</v>
      </c>
      <c r="AN11" s="17" t="b">
        <v>1</v>
      </c>
      <c r="AO11" s="21">
        <v>45388</v>
      </c>
      <c r="AP11" s="21">
        <v>45388</v>
      </c>
      <c r="AQ11" s="17" t="b">
        <v>0</v>
      </c>
      <c r="AR11" s="21">
        <v>45388</v>
      </c>
      <c r="AS11" s="21">
        <v>45388</v>
      </c>
      <c r="AT11" s="21">
        <v>43141</v>
      </c>
      <c r="AU11" s="17" t="b">
        <v>0</v>
      </c>
      <c r="AV11" s="21">
        <v>43230</v>
      </c>
      <c r="AW11" s="17" t="s">
        <v>27</v>
      </c>
      <c r="AX11" s="17" t="s">
        <v>27</v>
      </c>
      <c r="AY11" s="17" t="s">
        <v>414</v>
      </c>
      <c r="AZ11" s="17" t="s">
        <v>450</v>
      </c>
      <c r="BA11" s="21">
        <v>45388</v>
      </c>
      <c r="BB11" s="17">
        <v>0</v>
      </c>
      <c r="BC11" s="17"/>
      <c r="BD11" s="17" t="b">
        <v>0</v>
      </c>
      <c r="BE11" s="17" t="s">
        <v>1915</v>
      </c>
      <c r="BF11" s="21">
        <v>45388</v>
      </c>
      <c r="BG11" s="21">
        <v>45753</v>
      </c>
      <c r="BH11" s="17"/>
      <c r="BI11" s="21">
        <v>47617</v>
      </c>
      <c r="BJ11" s="17">
        <v>0</v>
      </c>
      <c r="BK11" s="17" t="s">
        <v>443</v>
      </c>
      <c r="BL11" s="17" t="s">
        <v>443</v>
      </c>
      <c r="BM11" s="17" t="b">
        <v>1</v>
      </c>
      <c r="BN11" s="17" t="b">
        <v>0</v>
      </c>
      <c r="BO11" s="17" t="b">
        <v>1</v>
      </c>
      <c r="BP11" s="17" t="b">
        <v>1</v>
      </c>
      <c r="BQ11" s="17" t="b">
        <v>1</v>
      </c>
      <c r="BR11" s="17" t="b">
        <v>1</v>
      </c>
      <c r="BS11" s="17" t="b">
        <v>1</v>
      </c>
      <c r="BT11" s="17" t="b">
        <v>1</v>
      </c>
      <c r="BU11" s="17" t="b">
        <v>0</v>
      </c>
      <c r="BV11" s="17">
        <v>0</v>
      </c>
      <c r="BW11" s="21">
        <v>43169</v>
      </c>
      <c r="BX11" s="17" t="s">
        <v>414</v>
      </c>
      <c r="BY11" s="17" t="s">
        <v>414</v>
      </c>
      <c r="BZ11" s="17">
        <v>0</v>
      </c>
      <c r="CA11" s="21">
        <v>45951</v>
      </c>
      <c r="CB11" s="17" t="s">
        <v>419</v>
      </c>
      <c r="CC11" s="17" t="s">
        <v>1955</v>
      </c>
      <c r="CD11" s="21"/>
      <c r="CE11" s="17"/>
      <c r="CF11" s="17" t="s">
        <v>504</v>
      </c>
      <c r="CG11" s="17" t="b">
        <v>0</v>
      </c>
      <c r="CH11" s="17" t="s">
        <v>425</v>
      </c>
      <c r="CI11" s="17">
        <v>0</v>
      </c>
      <c r="CJ11" s="21">
        <v>45851</v>
      </c>
      <c r="CK11" s="21">
        <v>45901</v>
      </c>
      <c r="CL11" s="17" t="s">
        <v>414</v>
      </c>
      <c r="CM11" s="21">
        <v>1</v>
      </c>
      <c r="CN11" s="21">
        <v>1</v>
      </c>
      <c r="CO11" s="21">
        <v>1</v>
      </c>
      <c r="CP11" s="17" t="b">
        <v>0</v>
      </c>
      <c r="CQ11" s="17" t="b">
        <v>1</v>
      </c>
      <c r="CR11" s="17" t="b">
        <v>0</v>
      </c>
      <c r="CS11">
        <v>7000</v>
      </c>
      <c r="CT11" t="s">
        <v>1912</v>
      </c>
      <c r="CU11">
        <v>5384.62</v>
      </c>
      <c r="CV11">
        <v>1615.38</v>
      </c>
      <c r="CW11" s="22"/>
    </row>
    <row r="12" spans="1:101" x14ac:dyDescent="0.25">
      <c r="A12" s="20">
        <v>40</v>
      </c>
      <c r="B12" s="17" t="s">
        <v>505</v>
      </c>
      <c r="C12" s="17" t="s">
        <v>506</v>
      </c>
      <c r="D12" s="17" t="s">
        <v>39</v>
      </c>
      <c r="E12" s="17" t="s">
        <v>507</v>
      </c>
      <c r="F12" s="17" t="s">
        <v>508</v>
      </c>
      <c r="G12" s="17" t="s">
        <v>414</v>
      </c>
      <c r="H12" s="17" t="s">
        <v>509</v>
      </c>
      <c r="I12" s="17" t="s">
        <v>432</v>
      </c>
      <c r="J12" s="17" t="s">
        <v>25</v>
      </c>
      <c r="K12" s="17" t="b">
        <v>0</v>
      </c>
      <c r="L12" s="17" t="s">
        <v>510</v>
      </c>
      <c r="M12" s="21">
        <v>35065</v>
      </c>
      <c r="N12" s="17" t="s">
        <v>414</v>
      </c>
      <c r="O12" s="17" t="s">
        <v>26</v>
      </c>
      <c r="P12" s="17" t="s">
        <v>18</v>
      </c>
      <c r="Q12" s="17">
        <v>1</v>
      </c>
      <c r="R12" s="17" t="s">
        <v>19</v>
      </c>
      <c r="S12" s="17">
        <v>2</v>
      </c>
      <c r="T12" s="17" t="s">
        <v>441</v>
      </c>
      <c r="U12" s="21">
        <v>42899</v>
      </c>
      <c r="V12" s="17" t="s">
        <v>38</v>
      </c>
      <c r="W12" s="21">
        <v>1.28125</v>
      </c>
      <c r="X12" s="17" t="s">
        <v>503</v>
      </c>
      <c r="Y12" s="17" t="s">
        <v>21</v>
      </c>
      <c r="Z12" s="17">
        <v>949900</v>
      </c>
      <c r="AA12" s="17" t="s">
        <v>22</v>
      </c>
      <c r="AB12" s="17" t="s">
        <v>418</v>
      </c>
      <c r="AC12" s="17">
        <v>57</v>
      </c>
      <c r="AD12" s="21">
        <v>43465</v>
      </c>
      <c r="AE12" s="21">
        <v>45384</v>
      </c>
      <c r="AF12" s="17"/>
      <c r="AG12" s="21">
        <v>45749</v>
      </c>
      <c r="AH12" s="17">
        <v>74596358</v>
      </c>
      <c r="AI12" s="21">
        <v>42991</v>
      </c>
      <c r="AJ12" s="17">
        <v>4121</v>
      </c>
      <c r="AK12" s="17">
        <v>0.29749999999999999</v>
      </c>
      <c r="AL12" s="17">
        <v>1226</v>
      </c>
      <c r="AM12" s="17" t="b">
        <v>1</v>
      </c>
      <c r="AN12" s="17" t="b">
        <v>1</v>
      </c>
      <c r="AO12" s="21">
        <v>45388</v>
      </c>
      <c r="AP12" s="21">
        <v>45388</v>
      </c>
      <c r="AQ12" s="17" t="b">
        <v>0</v>
      </c>
      <c r="AR12" s="21">
        <v>45388</v>
      </c>
      <c r="AS12" s="21">
        <v>45388</v>
      </c>
      <c r="AT12" s="21">
        <v>42899</v>
      </c>
      <c r="AU12" s="17" t="b">
        <v>0</v>
      </c>
      <c r="AV12" s="21">
        <v>42991</v>
      </c>
      <c r="AW12" s="17" t="s">
        <v>27</v>
      </c>
      <c r="AX12" s="17" t="s">
        <v>27</v>
      </c>
      <c r="AY12" s="17" t="s">
        <v>414</v>
      </c>
      <c r="AZ12" s="17" t="s">
        <v>450</v>
      </c>
      <c r="BA12" s="21">
        <v>45388</v>
      </c>
      <c r="BB12" s="17">
        <v>0</v>
      </c>
      <c r="BC12" s="17"/>
      <c r="BD12" s="17" t="b">
        <v>0</v>
      </c>
      <c r="BE12" s="17" t="s">
        <v>1956</v>
      </c>
      <c r="BF12" s="21">
        <v>45388</v>
      </c>
      <c r="BG12" s="21">
        <v>45753</v>
      </c>
      <c r="BH12" s="17"/>
      <c r="BI12" s="21">
        <v>47471</v>
      </c>
      <c r="BJ12" s="17">
        <v>0</v>
      </c>
      <c r="BK12" s="17" t="s">
        <v>443</v>
      </c>
      <c r="BL12" s="17" t="s">
        <v>443</v>
      </c>
      <c r="BM12" s="17" t="b">
        <v>1</v>
      </c>
      <c r="BN12" s="17" t="b">
        <v>0</v>
      </c>
      <c r="BO12" s="17" t="b">
        <v>1</v>
      </c>
      <c r="BP12" s="17" t="b">
        <v>1</v>
      </c>
      <c r="BQ12" s="17" t="b">
        <v>1</v>
      </c>
      <c r="BR12" s="17" t="b">
        <v>1</v>
      </c>
      <c r="BS12" s="17" t="b">
        <v>1</v>
      </c>
      <c r="BT12" s="17" t="b">
        <v>1</v>
      </c>
      <c r="BU12" s="17" t="b">
        <v>0</v>
      </c>
      <c r="BV12" s="17">
        <v>0</v>
      </c>
      <c r="BW12" s="21">
        <v>42929</v>
      </c>
      <c r="BX12" s="17" t="s">
        <v>414</v>
      </c>
      <c r="BY12" s="17" t="s">
        <v>414</v>
      </c>
      <c r="BZ12" s="17">
        <v>0</v>
      </c>
      <c r="CA12" s="21">
        <v>45951</v>
      </c>
      <c r="CB12" s="17" t="s">
        <v>419</v>
      </c>
      <c r="CC12" s="17" t="s">
        <v>1957</v>
      </c>
      <c r="CD12" s="21"/>
      <c r="CE12" s="17"/>
      <c r="CF12" s="17" t="s">
        <v>511</v>
      </c>
      <c r="CG12" s="17" t="b">
        <v>0</v>
      </c>
      <c r="CH12" s="17" t="s">
        <v>425</v>
      </c>
      <c r="CI12" s="17">
        <v>0</v>
      </c>
      <c r="CJ12" s="21">
        <v>45851</v>
      </c>
      <c r="CK12" s="21">
        <v>45901</v>
      </c>
      <c r="CL12" s="17" t="s">
        <v>414</v>
      </c>
      <c r="CM12" s="21">
        <v>1</v>
      </c>
      <c r="CN12" s="21">
        <v>1</v>
      </c>
      <c r="CO12" s="21">
        <v>1</v>
      </c>
      <c r="CP12" s="17" t="b">
        <v>0</v>
      </c>
      <c r="CQ12" s="17" t="b">
        <v>1</v>
      </c>
      <c r="CR12" s="17" t="b">
        <v>0</v>
      </c>
      <c r="CS12">
        <v>7000</v>
      </c>
      <c r="CT12" t="s">
        <v>1912</v>
      </c>
      <c r="CU12">
        <v>5384.62</v>
      </c>
      <c r="CV12">
        <v>1615.38</v>
      </c>
      <c r="CW12" s="22"/>
    </row>
    <row r="13" spans="1:101" x14ac:dyDescent="0.25">
      <c r="A13" s="20">
        <v>42</v>
      </c>
      <c r="B13" s="17" t="s">
        <v>514</v>
      </c>
      <c r="C13" s="17" t="s">
        <v>515</v>
      </c>
      <c r="D13" s="17" t="s">
        <v>40</v>
      </c>
      <c r="E13" s="17" t="s">
        <v>516</v>
      </c>
      <c r="F13" s="17" t="s">
        <v>517</v>
      </c>
      <c r="G13" s="17" t="s">
        <v>414</v>
      </c>
      <c r="H13" s="17" t="s">
        <v>512</v>
      </c>
      <c r="I13" s="17" t="s">
        <v>432</v>
      </c>
      <c r="J13" s="17" t="s">
        <v>16</v>
      </c>
      <c r="K13" s="17" t="b">
        <v>0</v>
      </c>
      <c r="L13" s="17" t="s">
        <v>518</v>
      </c>
      <c r="M13" s="21">
        <v>34425</v>
      </c>
      <c r="N13" s="17" t="s">
        <v>414</v>
      </c>
      <c r="O13" s="17" t="s">
        <v>17</v>
      </c>
      <c r="P13" s="17" t="s">
        <v>18</v>
      </c>
      <c r="Q13" s="17">
        <v>1</v>
      </c>
      <c r="R13" s="17" t="s">
        <v>19</v>
      </c>
      <c r="S13" s="17">
        <v>1</v>
      </c>
      <c r="T13" s="17" t="s">
        <v>422</v>
      </c>
      <c r="U13" s="21">
        <v>42759</v>
      </c>
      <c r="V13" s="17" t="s">
        <v>29</v>
      </c>
      <c r="W13" s="21">
        <v>1.5763888888888888</v>
      </c>
      <c r="X13" s="17" t="s">
        <v>519</v>
      </c>
      <c r="Y13" s="17" t="s">
        <v>21</v>
      </c>
      <c r="Z13" s="17">
        <v>949900</v>
      </c>
      <c r="AA13" s="17" t="s">
        <v>22</v>
      </c>
      <c r="AB13" s="17" t="s">
        <v>418</v>
      </c>
      <c r="AC13" s="17">
        <v>183</v>
      </c>
      <c r="AD13" s="21">
        <v>44913</v>
      </c>
      <c r="AE13" s="21">
        <v>45277</v>
      </c>
      <c r="AF13" s="17"/>
      <c r="AG13" s="21">
        <v>45643</v>
      </c>
      <c r="AH13" s="17">
        <v>74087046</v>
      </c>
      <c r="AI13" s="21">
        <v>42818</v>
      </c>
      <c r="AJ13" s="17">
        <v>4121</v>
      </c>
      <c r="AK13" s="17">
        <v>0.29749999999999999</v>
      </c>
      <c r="AL13" s="17">
        <v>1226</v>
      </c>
      <c r="AM13" s="17" t="b">
        <v>1</v>
      </c>
      <c r="AN13" s="17" t="b">
        <v>1</v>
      </c>
      <c r="AO13" s="21">
        <v>45388</v>
      </c>
      <c r="AP13" s="21">
        <v>45388</v>
      </c>
      <c r="AQ13" s="17" t="b">
        <v>0</v>
      </c>
      <c r="AR13" s="21">
        <v>45388</v>
      </c>
      <c r="AS13" s="21">
        <v>45388</v>
      </c>
      <c r="AT13" s="21">
        <v>42728</v>
      </c>
      <c r="AU13" s="17" t="b">
        <v>0</v>
      </c>
      <c r="AV13" s="21">
        <v>42849</v>
      </c>
      <c r="AW13" s="17" t="s">
        <v>41</v>
      </c>
      <c r="AX13" s="17" t="s">
        <v>41</v>
      </c>
      <c r="AY13" s="17" t="s">
        <v>41</v>
      </c>
      <c r="AZ13" s="17" t="s">
        <v>520</v>
      </c>
      <c r="BA13" s="21">
        <v>45388</v>
      </c>
      <c r="BB13" s="17">
        <v>0</v>
      </c>
      <c r="BC13" s="17"/>
      <c r="BD13" s="17" t="b">
        <v>0</v>
      </c>
      <c r="BE13" s="17" t="s">
        <v>1958</v>
      </c>
      <c r="BF13" s="21">
        <v>45388</v>
      </c>
      <c r="BG13" s="21">
        <v>45753</v>
      </c>
      <c r="BH13" s="17"/>
      <c r="BI13" s="21">
        <v>45877</v>
      </c>
      <c r="BJ13" s="17">
        <v>0</v>
      </c>
      <c r="BK13" s="17" t="s">
        <v>423</v>
      </c>
      <c r="BL13" s="17" t="s">
        <v>459</v>
      </c>
      <c r="BM13" s="17" t="b">
        <v>1</v>
      </c>
      <c r="BN13" s="17" t="b">
        <v>0</v>
      </c>
      <c r="BO13" s="17" t="b">
        <v>1</v>
      </c>
      <c r="BP13" s="17" t="b">
        <v>1</v>
      </c>
      <c r="BQ13" s="17" t="b">
        <v>1</v>
      </c>
      <c r="BR13" s="17" t="b">
        <v>1</v>
      </c>
      <c r="BS13" s="17" t="b">
        <v>1</v>
      </c>
      <c r="BT13" s="17" t="b">
        <v>1</v>
      </c>
      <c r="BU13" s="17" t="b">
        <v>0</v>
      </c>
      <c r="BV13" s="17">
        <v>0</v>
      </c>
      <c r="BW13" s="21">
        <v>42790</v>
      </c>
      <c r="BX13" s="17" t="s">
        <v>414</v>
      </c>
      <c r="BY13" s="17" t="s">
        <v>414</v>
      </c>
      <c r="BZ13" s="17">
        <v>0</v>
      </c>
      <c r="CA13" s="21">
        <v>45951</v>
      </c>
      <c r="CB13" s="17" t="s">
        <v>438</v>
      </c>
      <c r="CC13" s="17" t="s">
        <v>1959</v>
      </c>
      <c r="CD13" s="21"/>
      <c r="CE13" s="17"/>
      <c r="CF13" s="17" t="s">
        <v>521</v>
      </c>
      <c r="CG13" s="17" t="b">
        <v>0</v>
      </c>
      <c r="CH13" s="17" t="s">
        <v>425</v>
      </c>
      <c r="CI13" s="17">
        <v>537</v>
      </c>
      <c r="CJ13" s="21">
        <v>45853</v>
      </c>
      <c r="CK13" s="21">
        <v>45901</v>
      </c>
      <c r="CL13" s="17" t="s">
        <v>414</v>
      </c>
      <c r="CM13" s="21">
        <v>1</v>
      </c>
      <c r="CN13" s="21">
        <v>1</v>
      </c>
      <c r="CO13" s="21">
        <v>1</v>
      </c>
      <c r="CP13" s="17" t="b">
        <v>0</v>
      </c>
      <c r="CQ13" s="17" t="b">
        <v>1</v>
      </c>
      <c r="CR13" s="17" t="b">
        <v>0</v>
      </c>
      <c r="CS13">
        <v>7100</v>
      </c>
      <c r="CT13" t="s">
        <v>1913</v>
      </c>
      <c r="CU13">
        <v>5461.54</v>
      </c>
      <c r="CV13">
        <v>1638.46</v>
      </c>
      <c r="CW13" s="22"/>
    </row>
    <row r="14" spans="1:101" x14ac:dyDescent="0.25">
      <c r="A14" s="20">
        <v>46</v>
      </c>
      <c r="B14" s="17" t="s">
        <v>420</v>
      </c>
      <c r="C14" s="17" t="s">
        <v>522</v>
      </c>
      <c r="D14" s="17" t="s">
        <v>42</v>
      </c>
      <c r="E14" s="17" t="s">
        <v>523</v>
      </c>
      <c r="F14" s="17" t="s">
        <v>524</v>
      </c>
      <c r="G14" s="17" t="s">
        <v>414</v>
      </c>
      <c r="H14" s="17" t="s">
        <v>525</v>
      </c>
      <c r="I14" s="17" t="s">
        <v>432</v>
      </c>
      <c r="J14" s="17" t="s">
        <v>16</v>
      </c>
      <c r="K14" s="17" t="b">
        <v>0</v>
      </c>
      <c r="L14" s="17" t="s">
        <v>526</v>
      </c>
      <c r="M14" s="21">
        <v>29818</v>
      </c>
      <c r="N14" s="17" t="s">
        <v>414</v>
      </c>
      <c r="O14" s="17" t="s">
        <v>17</v>
      </c>
      <c r="P14" s="17" t="s">
        <v>18</v>
      </c>
      <c r="Q14" s="17">
        <v>1</v>
      </c>
      <c r="R14" s="17" t="s">
        <v>19</v>
      </c>
      <c r="S14" s="17">
        <v>1</v>
      </c>
      <c r="T14" s="17" t="s">
        <v>422</v>
      </c>
      <c r="U14" s="21">
        <v>43525</v>
      </c>
      <c r="V14" s="17" t="s">
        <v>29</v>
      </c>
      <c r="W14" s="21">
        <v>1.5833333333333335</v>
      </c>
      <c r="X14" s="17" t="s">
        <v>29</v>
      </c>
      <c r="Y14" s="17" t="s">
        <v>21</v>
      </c>
      <c r="Z14" s="17">
        <v>949900</v>
      </c>
      <c r="AA14" s="17" t="s">
        <v>22</v>
      </c>
      <c r="AB14" s="17" t="s">
        <v>418</v>
      </c>
      <c r="AC14" s="17">
        <v>180</v>
      </c>
      <c r="AD14" s="21">
        <v>44913</v>
      </c>
      <c r="AE14" s="21">
        <v>45277</v>
      </c>
      <c r="AF14" s="17"/>
      <c r="AG14" s="21">
        <v>45643</v>
      </c>
      <c r="AH14" s="17">
        <v>54891323</v>
      </c>
      <c r="AI14" s="21">
        <v>43647</v>
      </c>
      <c r="AJ14" s="17">
        <v>4121</v>
      </c>
      <c r="AK14" s="17">
        <v>0.29749999999999999</v>
      </c>
      <c r="AL14" s="17">
        <v>1226</v>
      </c>
      <c r="AM14" s="17" t="b">
        <v>1</v>
      </c>
      <c r="AN14" s="17" t="b">
        <v>1</v>
      </c>
      <c r="AO14" s="21">
        <v>45388</v>
      </c>
      <c r="AP14" s="21">
        <v>45388</v>
      </c>
      <c r="AQ14" s="17" t="b">
        <v>0</v>
      </c>
      <c r="AR14" s="21">
        <v>45388</v>
      </c>
      <c r="AS14" s="21">
        <v>45388</v>
      </c>
      <c r="AT14" s="21">
        <v>43556</v>
      </c>
      <c r="AU14" s="17" t="b">
        <v>0</v>
      </c>
      <c r="AV14" s="21">
        <v>43617</v>
      </c>
      <c r="AW14" s="17" t="s">
        <v>23</v>
      </c>
      <c r="AX14" s="17" t="s">
        <v>23</v>
      </c>
      <c r="AY14" s="17" t="s">
        <v>41</v>
      </c>
      <c r="AZ14" s="17" t="s">
        <v>520</v>
      </c>
      <c r="BA14" s="21">
        <v>45388</v>
      </c>
      <c r="BB14" s="17">
        <v>0</v>
      </c>
      <c r="BC14" s="17"/>
      <c r="BD14" s="17" t="b">
        <v>0</v>
      </c>
      <c r="BE14" s="17" t="s">
        <v>1960</v>
      </c>
      <c r="BF14" s="21">
        <v>45388</v>
      </c>
      <c r="BG14" s="21">
        <v>45753</v>
      </c>
      <c r="BH14" s="17"/>
      <c r="BI14" s="21">
        <v>47051</v>
      </c>
      <c r="BJ14" s="17">
        <v>0</v>
      </c>
      <c r="BK14" s="17" t="s">
        <v>418</v>
      </c>
      <c r="BL14" s="17" t="s">
        <v>459</v>
      </c>
      <c r="BM14" s="17" t="b">
        <v>1</v>
      </c>
      <c r="BN14" s="17" t="b">
        <v>0</v>
      </c>
      <c r="BO14" s="17" t="b">
        <v>1</v>
      </c>
      <c r="BP14" s="17" t="b">
        <v>1</v>
      </c>
      <c r="BQ14" s="17" t="b">
        <v>0</v>
      </c>
      <c r="BR14" s="17" t="b">
        <v>1</v>
      </c>
      <c r="BS14" s="17" t="b">
        <v>0</v>
      </c>
      <c r="BT14" s="17" t="b">
        <v>1</v>
      </c>
      <c r="BU14" s="17" t="b">
        <v>0</v>
      </c>
      <c r="BV14" s="17">
        <v>0</v>
      </c>
      <c r="BW14" s="21">
        <v>43556</v>
      </c>
      <c r="BX14" s="17" t="s">
        <v>414</v>
      </c>
      <c r="BY14" s="17" t="s">
        <v>414</v>
      </c>
      <c r="BZ14" s="17">
        <v>0</v>
      </c>
      <c r="CA14" s="21">
        <v>45951</v>
      </c>
      <c r="CB14" s="17" t="s">
        <v>438</v>
      </c>
      <c r="CC14" s="17" t="s">
        <v>1961</v>
      </c>
      <c r="CD14" s="21"/>
      <c r="CE14" s="17"/>
      <c r="CF14" s="17" t="s">
        <v>527</v>
      </c>
      <c r="CG14" s="17" t="b">
        <v>0</v>
      </c>
      <c r="CH14" s="17" t="s">
        <v>425</v>
      </c>
      <c r="CI14" s="17">
        <v>0</v>
      </c>
      <c r="CJ14" s="21">
        <v>45852</v>
      </c>
      <c r="CK14" s="21">
        <v>45901</v>
      </c>
      <c r="CL14" s="17" t="s">
        <v>414</v>
      </c>
      <c r="CM14" s="21">
        <v>1</v>
      </c>
      <c r="CN14" s="21">
        <v>1</v>
      </c>
      <c r="CO14" s="21">
        <v>1</v>
      </c>
      <c r="CP14" s="17" t="b">
        <v>0</v>
      </c>
      <c r="CQ14" s="17" t="b">
        <v>1</v>
      </c>
      <c r="CR14" s="17" t="b">
        <v>0</v>
      </c>
      <c r="CS14">
        <v>7100</v>
      </c>
      <c r="CT14" t="s">
        <v>1913</v>
      </c>
      <c r="CU14">
        <v>5461.54</v>
      </c>
      <c r="CV14">
        <v>1638.46</v>
      </c>
      <c r="CW14" s="22"/>
    </row>
    <row r="15" spans="1:101" x14ac:dyDescent="0.25">
      <c r="A15" s="20">
        <v>51</v>
      </c>
      <c r="B15" s="17" t="s">
        <v>531</v>
      </c>
      <c r="C15" s="17" t="s">
        <v>532</v>
      </c>
      <c r="D15" s="17" t="s">
        <v>43</v>
      </c>
      <c r="E15" s="17" t="s">
        <v>533</v>
      </c>
      <c r="F15" s="17" t="s">
        <v>534</v>
      </c>
      <c r="G15" s="17" t="s">
        <v>414</v>
      </c>
      <c r="H15" s="17" t="s">
        <v>535</v>
      </c>
      <c r="I15" s="17" t="s">
        <v>432</v>
      </c>
      <c r="J15" s="17" t="s">
        <v>16</v>
      </c>
      <c r="K15" s="17" t="b">
        <v>0</v>
      </c>
      <c r="L15" s="17" t="s">
        <v>536</v>
      </c>
      <c r="M15" s="21">
        <v>33930</v>
      </c>
      <c r="N15" s="17" t="s">
        <v>414</v>
      </c>
      <c r="O15" s="17" t="s">
        <v>17</v>
      </c>
      <c r="P15" s="17" t="s">
        <v>18</v>
      </c>
      <c r="Q15" s="17">
        <v>5</v>
      </c>
      <c r="R15" s="17" t="s">
        <v>44</v>
      </c>
      <c r="S15" s="17">
        <v>5</v>
      </c>
      <c r="T15" s="17" t="s">
        <v>537</v>
      </c>
      <c r="U15" s="21">
        <v>43516</v>
      </c>
      <c r="V15" s="17" t="s">
        <v>29</v>
      </c>
      <c r="W15" s="21">
        <v>1.2430555555555554</v>
      </c>
      <c r="X15" s="17" t="s">
        <v>29</v>
      </c>
      <c r="Y15" s="17" t="s">
        <v>45</v>
      </c>
      <c r="Z15" s="17">
        <v>34220</v>
      </c>
      <c r="AA15" s="17" t="s">
        <v>46</v>
      </c>
      <c r="AB15" s="17" t="s">
        <v>418</v>
      </c>
      <c r="AC15" s="17">
        <v>178</v>
      </c>
      <c r="AD15" s="21">
        <v>44913</v>
      </c>
      <c r="AE15" s="21">
        <v>45277</v>
      </c>
      <c r="AF15" s="17"/>
      <c r="AG15" s="21">
        <v>45643</v>
      </c>
      <c r="AH15" s="17">
        <v>74489701</v>
      </c>
      <c r="AI15" s="21">
        <v>43605</v>
      </c>
      <c r="AJ15" s="17">
        <v>4121</v>
      </c>
      <c r="AK15" s="17">
        <v>0.29749999999999999</v>
      </c>
      <c r="AL15" s="17">
        <v>1226</v>
      </c>
      <c r="AM15" s="17" t="b">
        <v>1</v>
      </c>
      <c r="AN15" s="17" t="b">
        <v>1</v>
      </c>
      <c r="AO15" s="21">
        <v>45388</v>
      </c>
      <c r="AP15" s="21">
        <v>45388</v>
      </c>
      <c r="AQ15" s="17" t="b">
        <v>0</v>
      </c>
      <c r="AR15" s="21">
        <v>45388</v>
      </c>
      <c r="AS15" s="21">
        <v>45388</v>
      </c>
      <c r="AT15" s="21">
        <v>43516</v>
      </c>
      <c r="AU15" s="17" t="b">
        <v>0</v>
      </c>
      <c r="AV15" s="21">
        <v>43605</v>
      </c>
      <c r="AW15" s="17" t="s">
        <v>41</v>
      </c>
      <c r="AX15" s="17" t="s">
        <v>41</v>
      </c>
      <c r="AY15" s="17" t="s">
        <v>41</v>
      </c>
      <c r="AZ15" s="17" t="s">
        <v>520</v>
      </c>
      <c r="BA15" s="21">
        <v>45388</v>
      </c>
      <c r="BB15" s="17">
        <v>0</v>
      </c>
      <c r="BC15" s="17"/>
      <c r="BD15" s="17" t="b">
        <v>0</v>
      </c>
      <c r="BE15" s="17" t="s">
        <v>1962</v>
      </c>
      <c r="BF15" s="21">
        <v>45388</v>
      </c>
      <c r="BG15" s="21">
        <v>45753</v>
      </c>
      <c r="BH15" s="17"/>
      <c r="BI15" s="21">
        <v>48170</v>
      </c>
      <c r="BJ15" s="17">
        <v>0</v>
      </c>
      <c r="BK15" s="17" t="s">
        <v>418</v>
      </c>
      <c r="BL15" s="17" t="s">
        <v>459</v>
      </c>
      <c r="BM15" s="17" t="b">
        <v>1</v>
      </c>
      <c r="BN15" s="17" t="b">
        <v>0</v>
      </c>
      <c r="BO15" s="17" t="b">
        <v>1</v>
      </c>
      <c r="BP15" s="17" t="b">
        <v>1</v>
      </c>
      <c r="BQ15" s="17" t="b">
        <v>0</v>
      </c>
      <c r="BR15" s="17" t="b">
        <v>1</v>
      </c>
      <c r="BS15" s="17" t="b">
        <v>1</v>
      </c>
      <c r="BT15" s="17" t="b">
        <v>1</v>
      </c>
      <c r="BU15" s="17" t="b">
        <v>0</v>
      </c>
      <c r="BV15" s="17">
        <v>0</v>
      </c>
      <c r="BW15" s="21">
        <v>43544</v>
      </c>
      <c r="BX15" s="17" t="s">
        <v>414</v>
      </c>
      <c r="BY15" s="17" t="s">
        <v>414</v>
      </c>
      <c r="BZ15" s="17">
        <v>0</v>
      </c>
      <c r="CA15" s="21">
        <v>45951</v>
      </c>
      <c r="CB15" s="17" t="s">
        <v>438</v>
      </c>
      <c r="CC15" s="17" t="s">
        <v>1963</v>
      </c>
      <c r="CD15" s="21">
        <v>45890</v>
      </c>
      <c r="CE15" s="17" t="s">
        <v>415</v>
      </c>
      <c r="CF15" s="17" t="s">
        <v>538</v>
      </c>
      <c r="CG15" s="17" t="b">
        <v>0</v>
      </c>
      <c r="CH15" s="17" t="s">
        <v>425</v>
      </c>
      <c r="CI15" s="17">
        <v>0</v>
      </c>
      <c r="CJ15" s="21">
        <v>45890</v>
      </c>
      <c r="CK15" s="21">
        <v>45901</v>
      </c>
      <c r="CL15" s="17" t="s">
        <v>414</v>
      </c>
      <c r="CM15" s="21">
        <v>1</v>
      </c>
      <c r="CN15" s="21">
        <v>1</v>
      </c>
      <c r="CO15" s="21">
        <v>1</v>
      </c>
      <c r="CP15" s="17" t="b">
        <v>0</v>
      </c>
      <c r="CQ15" s="17" t="b">
        <v>1</v>
      </c>
      <c r="CR15" s="17" t="b">
        <v>0</v>
      </c>
      <c r="CS15">
        <v>7300</v>
      </c>
      <c r="CT15" t="s">
        <v>1911</v>
      </c>
      <c r="CU15">
        <v>5615.38</v>
      </c>
      <c r="CV15">
        <v>1684.62</v>
      </c>
      <c r="CW15" s="22"/>
    </row>
    <row r="16" spans="1:101" x14ac:dyDescent="0.25">
      <c r="A16" s="20">
        <v>53</v>
      </c>
      <c r="B16" s="17" t="s">
        <v>426</v>
      </c>
      <c r="C16" s="17" t="s">
        <v>411</v>
      </c>
      <c r="D16" s="17" t="s">
        <v>47</v>
      </c>
      <c r="E16" s="17" t="s">
        <v>539</v>
      </c>
      <c r="F16" s="17" t="s">
        <v>540</v>
      </c>
      <c r="G16" s="17" t="s">
        <v>414</v>
      </c>
      <c r="H16" s="17" t="s">
        <v>512</v>
      </c>
      <c r="I16" s="17" t="s">
        <v>432</v>
      </c>
      <c r="J16" s="17" t="s">
        <v>16</v>
      </c>
      <c r="K16" s="17" t="b">
        <v>0</v>
      </c>
      <c r="L16" s="17" t="s">
        <v>541</v>
      </c>
      <c r="M16" s="21">
        <v>29742</v>
      </c>
      <c r="N16" s="17" t="s">
        <v>414</v>
      </c>
      <c r="O16" s="17" t="s">
        <v>17</v>
      </c>
      <c r="P16" s="17" t="s">
        <v>18</v>
      </c>
      <c r="Q16" s="17">
        <v>1</v>
      </c>
      <c r="R16" s="17" t="s">
        <v>19</v>
      </c>
      <c r="S16" s="17">
        <v>1</v>
      </c>
      <c r="T16" s="17" t="s">
        <v>422</v>
      </c>
      <c r="U16" s="21">
        <v>42936</v>
      </c>
      <c r="V16" s="17" t="s">
        <v>29</v>
      </c>
      <c r="W16" s="21">
        <v>1.5763888888888888</v>
      </c>
      <c r="X16" s="17" t="s">
        <v>513</v>
      </c>
      <c r="Y16" s="17" t="s">
        <v>21</v>
      </c>
      <c r="Z16" s="17">
        <v>949900</v>
      </c>
      <c r="AA16" s="17" t="s">
        <v>22</v>
      </c>
      <c r="AB16" s="17" t="s">
        <v>418</v>
      </c>
      <c r="AC16" s="17">
        <v>68</v>
      </c>
      <c r="AD16" s="21">
        <v>43488</v>
      </c>
      <c r="AE16" s="21">
        <v>45384</v>
      </c>
      <c r="AF16" s="17"/>
      <c r="AG16" s="21">
        <v>45749</v>
      </c>
      <c r="AH16" s="17">
        <v>74979112</v>
      </c>
      <c r="AI16" s="21">
        <v>43028</v>
      </c>
      <c r="AJ16" s="17">
        <v>4121</v>
      </c>
      <c r="AK16" s="17">
        <v>0.29749999999999999</v>
      </c>
      <c r="AL16" s="17">
        <v>1226</v>
      </c>
      <c r="AM16" s="17" t="b">
        <v>1</v>
      </c>
      <c r="AN16" s="17" t="b">
        <v>1</v>
      </c>
      <c r="AO16" s="21">
        <v>45388</v>
      </c>
      <c r="AP16" s="21">
        <v>45388</v>
      </c>
      <c r="AQ16" s="17" t="b">
        <v>0</v>
      </c>
      <c r="AR16" s="21">
        <v>45388</v>
      </c>
      <c r="AS16" s="21">
        <v>45388</v>
      </c>
      <c r="AT16" s="21">
        <v>42936</v>
      </c>
      <c r="AU16" s="17" t="b">
        <v>0</v>
      </c>
      <c r="AV16" s="21">
        <v>43028</v>
      </c>
      <c r="AW16" s="17" t="s">
        <v>41</v>
      </c>
      <c r="AX16" s="17" t="s">
        <v>41</v>
      </c>
      <c r="AY16" s="17" t="s">
        <v>41</v>
      </c>
      <c r="AZ16" s="17" t="s">
        <v>520</v>
      </c>
      <c r="BA16" s="21">
        <v>45388</v>
      </c>
      <c r="BB16" s="17">
        <v>0</v>
      </c>
      <c r="BC16" s="17"/>
      <c r="BD16" s="17" t="b">
        <v>0</v>
      </c>
      <c r="BE16" s="17" t="s">
        <v>1964</v>
      </c>
      <c r="BF16" s="21">
        <v>45388</v>
      </c>
      <c r="BG16" s="21">
        <v>45753</v>
      </c>
      <c r="BH16" s="17"/>
      <c r="BI16" s="21">
        <v>43906</v>
      </c>
      <c r="BJ16" s="17">
        <v>0</v>
      </c>
      <c r="BK16" s="17" t="s">
        <v>436</v>
      </c>
      <c r="BL16" s="17" t="s">
        <v>443</v>
      </c>
      <c r="BM16" s="17" t="b">
        <v>1</v>
      </c>
      <c r="BN16" s="17" t="b">
        <v>0</v>
      </c>
      <c r="BO16" s="17" t="b">
        <v>1</v>
      </c>
      <c r="BP16" s="17" t="b">
        <v>1</v>
      </c>
      <c r="BQ16" s="17" t="b">
        <v>1</v>
      </c>
      <c r="BR16" s="17" t="b">
        <v>1</v>
      </c>
      <c r="BS16" s="17" t="b">
        <v>1</v>
      </c>
      <c r="BT16" s="17" t="b">
        <v>1</v>
      </c>
      <c r="BU16" s="17" t="b">
        <v>1</v>
      </c>
      <c r="BV16" s="17">
        <v>0</v>
      </c>
      <c r="BW16" s="21">
        <v>42967</v>
      </c>
      <c r="BX16" s="17" t="s">
        <v>414</v>
      </c>
      <c r="BY16" s="17" t="s">
        <v>414</v>
      </c>
      <c r="BZ16" s="17">
        <v>0</v>
      </c>
      <c r="CA16" s="21">
        <v>45951</v>
      </c>
      <c r="CB16" s="17" t="s">
        <v>438</v>
      </c>
      <c r="CC16" s="17" t="s">
        <v>1965</v>
      </c>
      <c r="CD16" s="21"/>
      <c r="CE16" s="17"/>
      <c r="CF16" s="17" t="s">
        <v>542</v>
      </c>
      <c r="CG16" s="17" t="b">
        <v>0</v>
      </c>
      <c r="CH16" s="17" t="s">
        <v>425</v>
      </c>
      <c r="CI16" s="17">
        <v>0</v>
      </c>
      <c r="CJ16" s="21">
        <v>45844</v>
      </c>
      <c r="CK16" s="21">
        <v>45901</v>
      </c>
      <c r="CL16" s="17" t="s">
        <v>414</v>
      </c>
      <c r="CM16" s="21">
        <v>1</v>
      </c>
      <c r="CN16" s="21">
        <v>1</v>
      </c>
      <c r="CO16" s="21">
        <v>1</v>
      </c>
      <c r="CP16" s="17" t="b">
        <v>0</v>
      </c>
      <c r="CQ16" s="17" t="b">
        <v>1</v>
      </c>
      <c r="CR16" s="17" t="b">
        <v>0</v>
      </c>
      <c r="CS16">
        <v>7100</v>
      </c>
      <c r="CT16" t="s">
        <v>1913</v>
      </c>
      <c r="CU16">
        <v>5461.54</v>
      </c>
      <c r="CV16">
        <v>1638.46</v>
      </c>
      <c r="CW16" s="22"/>
    </row>
    <row r="17" spans="1:101" x14ac:dyDescent="0.25">
      <c r="A17" s="20">
        <v>54</v>
      </c>
      <c r="B17" s="17" t="s">
        <v>543</v>
      </c>
      <c r="C17" s="17" t="s">
        <v>544</v>
      </c>
      <c r="D17" s="17" t="s">
        <v>48</v>
      </c>
      <c r="E17" s="17" t="s">
        <v>545</v>
      </c>
      <c r="F17" s="17" t="s">
        <v>546</v>
      </c>
      <c r="G17" s="17" t="s">
        <v>414</v>
      </c>
      <c r="H17" s="17" t="s">
        <v>512</v>
      </c>
      <c r="I17" s="17" t="s">
        <v>432</v>
      </c>
      <c r="J17" s="17" t="s">
        <v>16</v>
      </c>
      <c r="K17" s="17" t="b">
        <v>0</v>
      </c>
      <c r="L17" s="17" t="s">
        <v>547</v>
      </c>
      <c r="M17" s="21">
        <v>26486</v>
      </c>
      <c r="N17" s="17" t="s">
        <v>414</v>
      </c>
      <c r="O17" s="17" t="s">
        <v>17</v>
      </c>
      <c r="P17" s="17" t="s">
        <v>18</v>
      </c>
      <c r="Q17" s="17">
        <v>1</v>
      </c>
      <c r="R17" s="17" t="s">
        <v>19</v>
      </c>
      <c r="S17" s="17">
        <v>1</v>
      </c>
      <c r="T17" s="17" t="s">
        <v>422</v>
      </c>
      <c r="U17" s="21">
        <v>43374</v>
      </c>
      <c r="V17" s="17" t="s">
        <v>29</v>
      </c>
      <c r="W17" s="21">
        <v>1.5763888888888888</v>
      </c>
      <c r="X17" s="17" t="s">
        <v>513</v>
      </c>
      <c r="Y17" s="17" t="s">
        <v>21</v>
      </c>
      <c r="Z17" s="17">
        <v>949900</v>
      </c>
      <c r="AA17" s="17" t="s">
        <v>22</v>
      </c>
      <c r="AB17" s="17" t="s">
        <v>418</v>
      </c>
      <c r="AC17" s="17">
        <v>200</v>
      </c>
      <c r="AD17" s="21">
        <v>45004</v>
      </c>
      <c r="AE17" s="21">
        <v>45384</v>
      </c>
      <c r="AF17" s="17"/>
      <c r="AG17" s="21">
        <v>45749</v>
      </c>
      <c r="AH17" s="17">
        <v>26124647</v>
      </c>
      <c r="AI17" s="21">
        <v>43374</v>
      </c>
      <c r="AJ17" s="17">
        <v>4121</v>
      </c>
      <c r="AK17" s="17">
        <v>0.29749999999999999</v>
      </c>
      <c r="AL17" s="17">
        <v>1226</v>
      </c>
      <c r="AM17" s="17" t="b">
        <v>1</v>
      </c>
      <c r="AN17" s="17" t="b">
        <v>1</v>
      </c>
      <c r="AO17" s="21">
        <v>45388</v>
      </c>
      <c r="AP17" s="21">
        <v>45388</v>
      </c>
      <c r="AQ17" s="17" t="b">
        <v>0</v>
      </c>
      <c r="AR17" s="21">
        <v>45388</v>
      </c>
      <c r="AS17" s="21">
        <v>45388</v>
      </c>
      <c r="AT17" s="21">
        <v>43282</v>
      </c>
      <c r="AU17" s="17" t="b">
        <v>0</v>
      </c>
      <c r="AV17" s="21">
        <v>43466</v>
      </c>
      <c r="AW17" s="17" t="s">
        <v>23</v>
      </c>
      <c r="AX17" s="17" t="s">
        <v>23</v>
      </c>
      <c r="AY17" s="17" t="s">
        <v>23</v>
      </c>
      <c r="AZ17" s="17" t="s">
        <v>520</v>
      </c>
      <c r="BA17" s="21">
        <v>45388</v>
      </c>
      <c r="BB17" s="17">
        <v>0</v>
      </c>
      <c r="BC17" s="17"/>
      <c r="BD17" s="17" t="b">
        <v>0</v>
      </c>
      <c r="BE17" s="17" t="s">
        <v>1918</v>
      </c>
      <c r="BF17" s="21">
        <v>45388</v>
      </c>
      <c r="BG17" s="21">
        <v>45753</v>
      </c>
      <c r="BH17" s="17"/>
      <c r="BI17" s="21">
        <v>45804</v>
      </c>
      <c r="BJ17" s="17">
        <v>0</v>
      </c>
      <c r="BK17" s="17" t="s">
        <v>443</v>
      </c>
      <c r="BL17" s="17" t="s">
        <v>443</v>
      </c>
      <c r="BM17" s="17" t="b">
        <v>1</v>
      </c>
      <c r="BN17" s="17" t="b">
        <v>0</v>
      </c>
      <c r="BO17" s="17" t="b">
        <v>1</v>
      </c>
      <c r="BP17" s="17" t="b">
        <v>1</v>
      </c>
      <c r="BQ17" s="17" t="b">
        <v>1</v>
      </c>
      <c r="BR17" s="17" t="b">
        <v>1</v>
      </c>
      <c r="BS17" s="17" t="b">
        <v>1</v>
      </c>
      <c r="BT17" s="17" t="b">
        <v>0</v>
      </c>
      <c r="BU17" s="17" t="b">
        <v>0</v>
      </c>
      <c r="BV17" s="17">
        <v>0</v>
      </c>
      <c r="BW17" s="21">
        <v>43405</v>
      </c>
      <c r="BX17" s="17" t="s">
        <v>414</v>
      </c>
      <c r="BY17" s="17" t="s">
        <v>414</v>
      </c>
      <c r="BZ17" s="17">
        <v>0</v>
      </c>
      <c r="CA17" s="21">
        <v>45951</v>
      </c>
      <c r="CB17" s="17" t="s">
        <v>438</v>
      </c>
      <c r="CC17" s="17" t="s">
        <v>1966</v>
      </c>
      <c r="CD17" s="21"/>
      <c r="CE17" s="17"/>
      <c r="CF17" s="17" t="s">
        <v>548</v>
      </c>
      <c r="CG17" s="17" t="b">
        <v>0</v>
      </c>
      <c r="CH17" s="17" t="s">
        <v>425</v>
      </c>
      <c r="CI17" s="17">
        <v>0</v>
      </c>
      <c r="CJ17" s="21">
        <v>45843</v>
      </c>
      <c r="CK17" s="21">
        <v>45901</v>
      </c>
      <c r="CL17" s="17" t="s">
        <v>414</v>
      </c>
      <c r="CM17" s="21">
        <v>1</v>
      </c>
      <c r="CN17" s="21">
        <v>1</v>
      </c>
      <c r="CO17" s="21">
        <v>1</v>
      </c>
      <c r="CP17" s="17" t="b">
        <v>0</v>
      </c>
      <c r="CQ17" s="17" t="b">
        <v>1</v>
      </c>
      <c r="CR17" s="17" t="b">
        <v>0</v>
      </c>
      <c r="CS17">
        <v>7100</v>
      </c>
      <c r="CT17" t="s">
        <v>1913</v>
      </c>
      <c r="CU17">
        <v>5461.54</v>
      </c>
      <c r="CV17">
        <v>1638.46</v>
      </c>
      <c r="CW17" s="22"/>
    </row>
    <row r="18" spans="1:101" x14ac:dyDescent="0.25">
      <c r="A18" s="20">
        <v>56</v>
      </c>
      <c r="B18" s="17" t="s">
        <v>411</v>
      </c>
      <c r="C18" s="17" t="s">
        <v>426</v>
      </c>
      <c r="D18" s="17" t="s">
        <v>49</v>
      </c>
      <c r="E18" s="17" t="s">
        <v>552</v>
      </c>
      <c r="F18" s="17" t="s">
        <v>553</v>
      </c>
      <c r="G18" s="17" t="s">
        <v>414</v>
      </c>
      <c r="H18" s="17" t="s">
        <v>512</v>
      </c>
      <c r="I18" s="17" t="s">
        <v>432</v>
      </c>
      <c r="J18" s="17" t="s">
        <v>16</v>
      </c>
      <c r="K18" s="17" t="b">
        <v>0</v>
      </c>
      <c r="L18" s="17" t="s">
        <v>554</v>
      </c>
      <c r="M18" s="21">
        <v>32128</v>
      </c>
      <c r="N18" s="17" t="s">
        <v>555</v>
      </c>
      <c r="O18" s="17" t="s">
        <v>17</v>
      </c>
      <c r="P18" s="17" t="s">
        <v>18</v>
      </c>
      <c r="Q18" s="17">
        <v>2</v>
      </c>
      <c r="R18" s="17" t="s">
        <v>50</v>
      </c>
      <c r="S18" s="17">
        <v>38</v>
      </c>
      <c r="T18" s="17" t="s">
        <v>556</v>
      </c>
      <c r="U18" s="21">
        <v>42683</v>
      </c>
      <c r="V18" s="17" t="s">
        <v>29</v>
      </c>
      <c r="W18" s="21">
        <v>1.5763888888888888</v>
      </c>
      <c r="X18" s="17" t="s">
        <v>513</v>
      </c>
      <c r="Y18" s="17" t="s">
        <v>21</v>
      </c>
      <c r="Z18" s="17">
        <v>949700</v>
      </c>
      <c r="AA18" s="17" t="s">
        <v>51</v>
      </c>
      <c r="AB18" s="17" t="s">
        <v>418</v>
      </c>
      <c r="AC18" s="17">
        <v>164</v>
      </c>
      <c r="AD18" s="21">
        <v>44873</v>
      </c>
      <c r="AE18" s="21">
        <v>45244</v>
      </c>
      <c r="AF18" s="17"/>
      <c r="AG18" s="21">
        <v>45610</v>
      </c>
      <c r="AH18" s="17">
        <v>49827435</v>
      </c>
      <c r="AI18" s="21">
        <v>44256</v>
      </c>
      <c r="AJ18" s="17">
        <v>4121</v>
      </c>
      <c r="AK18" s="17">
        <v>0.29749999999999999</v>
      </c>
      <c r="AL18" s="17">
        <v>1226</v>
      </c>
      <c r="AM18" s="17" t="b">
        <v>1</v>
      </c>
      <c r="AN18" s="17" t="b">
        <v>1</v>
      </c>
      <c r="AO18" s="21">
        <v>44333</v>
      </c>
      <c r="AP18" s="21">
        <v>44347</v>
      </c>
      <c r="AQ18" s="17" t="b">
        <v>0</v>
      </c>
      <c r="AR18" s="21">
        <v>45388</v>
      </c>
      <c r="AS18" s="21">
        <v>45388</v>
      </c>
      <c r="AT18" s="21">
        <v>44166</v>
      </c>
      <c r="AU18" s="17" t="b">
        <v>0</v>
      </c>
      <c r="AV18" s="21">
        <v>42775</v>
      </c>
      <c r="AW18" s="17" t="s">
        <v>23</v>
      </c>
      <c r="AX18" s="17" t="s">
        <v>23</v>
      </c>
      <c r="AY18" s="17" t="s">
        <v>414</v>
      </c>
      <c r="AZ18" s="17" t="s">
        <v>450</v>
      </c>
      <c r="BA18" s="21">
        <v>45388</v>
      </c>
      <c r="BB18" s="17">
        <v>0</v>
      </c>
      <c r="BC18" s="17"/>
      <c r="BD18" s="17" t="b">
        <v>0</v>
      </c>
      <c r="BE18" s="17" t="s">
        <v>1967</v>
      </c>
      <c r="BF18" s="21">
        <v>45388</v>
      </c>
      <c r="BG18" s="21">
        <v>45753</v>
      </c>
      <c r="BH18" s="17"/>
      <c r="BI18" s="21">
        <v>47254</v>
      </c>
      <c r="BJ18" s="17">
        <v>0</v>
      </c>
      <c r="BK18" s="17" t="s">
        <v>418</v>
      </c>
      <c r="BL18" s="17" t="s">
        <v>557</v>
      </c>
      <c r="BM18" s="17" t="b">
        <v>1</v>
      </c>
      <c r="BN18" s="17" t="b">
        <v>1</v>
      </c>
      <c r="BO18" s="17" t="b">
        <v>1</v>
      </c>
      <c r="BP18" s="17" t="b">
        <v>1</v>
      </c>
      <c r="BQ18" s="17" t="b">
        <v>1</v>
      </c>
      <c r="BR18" s="17" t="b">
        <v>1</v>
      </c>
      <c r="BS18" s="17" t="b">
        <v>1</v>
      </c>
      <c r="BT18" s="17" t="b">
        <v>1</v>
      </c>
      <c r="BU18" s="17" t="b">
        <v>1</v>
      </c>
      <c r="BV18" s="17">
        <v>0</v>
      </c>
      <c r="BW18" s="21">
        <v>42713</v>
      </c>
      <c r="BX18" s="17" t="s">
        <v>414</v>
      </c>
      <c r="BY18" s="17" t="s">
        <v>414</v>
      </c>
      <c r="BZ18" s="17">
        <v>0</v>
      </c>
      <c r="CA18" s="21">
        <v>45951</v>
      </c>
      <c r="CB18" s="17" t="s">
        <v>438</v>
      </c>
      <c r="CC18" s="17" t="s">
        <v>1968</v>
      </c>
      <c r="CD18" s="21"/>
      <c r="CE18" s="17"/>
      <c r="CF18" s="17" t="s">
        <v>558</v>
      </c>
      <c r="CG18" s="17" t="b">
        <v>0</v>
      </c>
      <c r="CH18" s="17" t="s">
        <v>425</v>
      </c>
      <c r="CI18" s="17">
        <v>0</v>
      </c>
      <c r="CJ18" s="21">
        <v>45852</v>
      </c>
      <c r="CK18" s="21">
        <v>45901</v>
      </c>
      <c r="CL18" s="17" t="s">
        <v>414</v>
      </c>
      <c r="CM18" s="21">
        <v>1</v>
      </c>
      <c r="CN18" s="21">
        <v>1</v>
      </c>
      <c r="CO18" s="21">
        <v>1</v>
      </c>
      <c r="CP18" s="17" t="b">
        <v>0</v>
      </c>
      <c r="CQ18" s="17" t="b">
        <v>1</v>
      </c>
      <c r="CR18" s="17" t="b">
        <v>0</v>
      </c>
      <c r="CS18">
        <v>7200</v>
      </c>
      <c r="CT18" t="s">
        <v>1914</v>
      </c>
      <c r="CU18">
        <v>5538.46</v>
      </c>
      <c r="CV18">
        <v>1661.54</v>
      </c>
      <c r="CW18" s="22"/>
    </row>
    <row r="19" spans="1:101" x14ac:dyDescent="0.25">
      <c r="A19" s="20">
        <v>57</v>
      </c>
      <c r="B19" s="17" t="s">
        <v>559</v>
      </c>
      <c r="C19" s="17" t="s">
        <v>530</v>
      </c>
      <c r="D19" s="17" t="s">
        <v>52</v>
      </c>
      <c r="E19" s="17" t="s">
        <v>560</v>
      </c>
      <c r="F19" s="17" t="s">
        <v>561</v>
      </c>
      <c r="G19" s="17" t="s">
        <v>414</v>
      </c>
      <c r="H19" s="17" t="s">
        <v>512</v>
      </c>
      <c r="I19" s="17" t="s">
        <v>432</v>
      </c>
      <c r="J19" s="17" t="s">
        <v>16</v>
      </c>
      <c r="K19" s="17" t="b">
        <v>0</v>
      </c>
      <c r="L19" s="17" t="s">
        <v>562</v>
      </c>
      <c r="M19" s="21">
        <v>24619</v>
      </c>
      <c r="N19" s="17" t="s">
        <v>414</v>
      </c>
      <c r="O19" s="17" t="s">
        <v>17</v>
      </c>
      <c r="P19" s="17" t="s">
        <v>18</v>
      </c>
      <c r="Q19" s="17">
        <v>1</v>
      </c>
      <c r="R19" s="17" t="s">
        <v>19</v>
      </c>
      <c r="S19" s="17">
        <v>1</v>
      </c>
      <c r="T19" s="17" t="s">
        <v>422</v>
      </c>
      <c r="U19" s="21">
        <v>42836</v>
      </c>
      <c r="V19" s="17" t="s">
        <v>29</v>
      </c>
      <c r="W19" s="21">
        <v>1.5763888888888888</v>
      </c>
      <c r="X19" s="17" t="s">
        <v>513</v>
      </c>
      <c r="Y19" s="17" t="s">
        <v>21</v>
      </c>
      <c r="Z19" s="17">
        <v>949900</v>
      </c>
      <c r="AA19" s="17" t="s">
        <v>22</v>
      </c>
      <c r="AB19" s="17" t="s">
        <v>418</v>
      </c>
      <c r="AC19" s="17">
        <v>79</v>
      </c>
      <c r="AD19" s="21">
        <v>43503</v>
      </c>
      <c r="AE19" s="21">
        <v>45384</v>
      </c>
      <c r="AF19" s="17"/>
      <c r="AG19" s="21">
        <v>45749</v>
      </c>
      <c r="AH19" s="17">
        <v>47739644</v>
      </c>
      <c r="AI19" s="21">
        <v>42836</v>
      </c>
      <c r="AJ19" s="17">
        <v>4121</v>
      </c>
      <c r="AK19" s="17">
        <v>0.29749999999999999</v>
      </c>
      <c r="AL19" s="17">
        <v>1226</v>
      </c>
      <c r="AM19" s="17" t="b">
        <v>0</v>
      </c>
      <c r="AN19" s="17" t="b">
        <v>1</v>
      </c>
      <c r="AO19" s="21">
        <v>45388</v>
      </c>
      <c r="AP19" s="21">
        <v>45388</v>
      </c>
      <c r="AQ19" s="17" t="b">
        <v>0</v>
      </c>
      <c r="AR19" s="21">
        <v>45388</v>
      </c>
      <c r="AS19" s="21">
        <v>45388</v>
      </c>
      <c r="AT19" s="21">
        <v>42746</v>
      </c>
      <c r="AU19" s="17" t="b">
        <v>0</v>
      </c>
      <c r="AV19" s="21">
        <v>42927</v>
      </c>
      <c r="AW19" s="17" t="s">
        <v>41</v>
      </c>
      <c r="AX19" s="17" t="s">
        <v>41</v>
      </c>
      <c r="AY19" s="17" t="s">
        <v>41</v>
      </c>
      <c r="AZ19" s="17" t="s">
        <v>520</v>
      </c>
      <c r="BA19" s="21">
        <v>45388</v>
      </c>
      <c r="BB19" s="17">
        <v>0</v>
      </c>
      <c r="BC19" s="17"/>
      <c r="BD19" s="17" t="b">
        <v>0</v>
      </c>
      <c r="BE19" s="17" t="s">
        <v>1951</v>
      </c>
      <c r="BF19" s="21">
        <v>45388</v>
      </c>
      <c r="BG19" s="21">
        <v>45753</v>
      </c>
      <c r="BH19" s="17"/>
      <c r="BI19" s="21">
        <v>47357</v>
      </c>
      <c r="BJ19" s="17">
        <v>0</v>
      </c>
      <c r="BK19" s="17" t="s">
        <v>436</v>
      </c>
      <c r="BL19" s="17" t="s">
        <v>443</v>
      </c>
      <c r="BM19" s="17" t="b">
        <v>1</v>
      </c>
      <c r="BN19" s="17" t="b">
        <v>0</v>
      </c>
      <c r="BO19" s="17" t="b">
        <v>1</v>
      </c>
      <c r="BP19" s="17" t="b">
        <v>1</v>
      </c>
      <c r="BQ19" s="17" t="b">
        <v>0</v>
      </c>
      <c r="BR19" s="17" t="b">
        <v>1</v>
      </c>
      <c r="BS19" s="17" t="b">
        <v>0</v>
      </c>
      <c r="BT19" s="17" t="b">
        <v>0</v>
      </c>
      <c r="BU19" s="17" t="b">
        <v>0</v>
      </c>
      <c r="BV19" s="17">
        <v>0</v>
      </c>
      <c r="BW19" s="21">
        <v>42866</v>
      </c>
      <c r="BX19" s="17" t="s">
        <v>414</v>
      </c>
      <c r="BY19" s="17" t="s">
        <v>414</v>
      </c>
      <c r="BZ19" s="17">
        <v>0</v>
      </c>
      <c r="CA19" s="21">
        <v>45951</v>
      </c>
      <c r="CB19" s="17" t="s">
        <v>438</v>
      </c>
      <c r="CC19" s="17" t="s">
        <v>1969</v>
      </c>
      <c r="CD19" s="21"/>
      <c r="CE19" s="17"/>
      <c r="CF19" s="17" t="s">
        <v>563</v>
      </c>
      <c r="CG19" s="17" t="b">
        <v>0</v>
      </c>
      <c r="CH19" s="17" t="s">
        <v>425</v>
      </c>
      <c r="CI19" s="17">
        <v>0</v>
      </c>
      <c r="CJ19" s="21">
        <v>45845</v>
      </c>
      <c r="CK19" s="21">
        <v>45901</v>
      </c>
      <c r="CL19" s="17" t="s">
        <v>414</v>
      </c>
      <c r="CM19" s="21">
        <v>1</v>
      </c>
      <c r="CN19" s="21">
        <v>1</v>
      </c>
      <c r="CO19" s="21">
        <v>1</v>
      </c>
      <c r="CP19" s="17" t="b">
        <v>0</v>
      </c>
      <c r="CQ19" s="17" t="b">
        <v>1</v>
      </c>
      <c r="CR19" s="17" t="b">
        <v>0</v>
      </c>
      <c r="CS19">
        <v>7100</v>
      </c>
      <c r="CT19" t="s">
        <v>1913</v>
      </c>
      <c r="CU19">
        <v>5461.54</v>
      </c>
      <c r="CV19">
        <v>1638.46</v>
      </c>
      <c r="CW19" s="22"/>
    </row>
    <row r="20" spans="1:101" x14ac:dyDescent="0.25">
      <c r="A20" s="20">
        <v>81</v>
      </c>
      <c r="B20" s="17" t="s">
        <v>569</v>
      </c>
      <c r="C20" s="17" t="s">
        <v>426</v>
      </c>
      <c r="D20" s="17" t="s">
        <v>53</v>
      </c>
      <c r="E20" s="17" t="s">
        <v>573</v>
      </c>
      <c r="F20" s="17" t="s">
        <v>574</v>
      </c>
      <c r="G20" s="17" t="s">
        <v>414</v>
      </c>
      <c r="H20" s="17" t="s">
        <v>575</v>
      </c>
      <c r="I20" s="17" t="s">
        <v>432</v>
      </c>
      <c r="J20" s="17" t="s">
        <v>16</v>
      </c>
      <c r="K20" s="17" t="b">
        <v>0</v>
      </c>
      <c r="L20" s="17" t="s">
        <v>576</v>
      </c>
      <c r="M20" s="21">
        <v>33390</v>
      </c>
      <c r="N20" s="17" t="s">
        <v>414</v>
      </c>
      <c r="O20" s="17" t="s">
        <v>17</v>
      </c>
      <c r="P20" s="17" t="s">
        <v>18</v>
      </c>
      <c r="Q20" s="17">
        <v>4</v>
      </c>
      <c r="R20" s="17" t="s">
        <v>54</v>
      </c>
      <c r="S20" s="17">
        <v>4</v>
      </c>
      <c r="T20" s="17" t="s">
        <v>577</v>
      </c>
      <c r="U20" s="21">
        <v>42759</v>
      </c>
      <c r="V20" s="17" t="s">
        <v>20</v>
      </c>
      <c r="W20" s="21">
        <v>1.2847222222222223</v>
      </c>
      <c r="X20" s="17" t="s">
        <v>578</v>
      </c>
      <c r="Y20" s="17" t="s">
        <v>21</v>
      </c>
      <c r="Z20" s="17">
        <v>203100</v>
      </c>
      <c r="AA20" s="17" t="s">
        <v>55</v>
      </c>
      <c r="AB20" s="17" t="s">
        <v>418</v>
      </c>
      <c r="AC20" s="17">
        <v>94</v>
      </c>
      <c r="AD20" s="21">
        <v>43503</v>
      </c>
      <c r="AE20" s="21">
        <v>45077</v>
      </c>
      <c r="AF20" s="17"/>
      <c r="AG20" s="21">
        <v>45443</v>
      </c>
      <c r="AH20" s="17">
        <v>61994752</v>
      </c>
      <c r="AI20" s="21">
        <v>42818</v>
      </c>
      <c r="AJ20" s="17">
        <v>4115</v>
      </c>
      <c r="AK20" s="17">
        <v>0.29749999999999999</v>
      </c>
      <c r="AL20" s="17">
        <v>1224.21</v>
      </c>
      <c r="AM20" s="17" t="b">
        <v>1</v>
      </c>
      <c r="AN20" s="17" t="b">
        <v>1</v>
      </c>
      <c r="AO20" s="21">
        <v>45388</v>
      </c>
      <c r="AP20" s="21">
        <v>45388</v>
      </c>
      <c r="AQ20" s="17" t="b">
        <v>0</v>
      </c>
      <c r="AR20" s="21">
        <v>45388</v>
      </c>
      <c r="AS20" s="21">
        <v>45388</v>
      </c>
      <c r="AT20" s="21">
        <v>42728</v>
      </c>
      <c r="AU20" s="17" t="b">
        <v>0</v>
      </c>
      <c r="AV20" s="21">
        <v>42849</v>
      </c>
      <c r="AW20" s="17" t="s">
        <v>41</v>
      </c>
      <c r="AX20" s="17" t="s">
        <v>23</v>
      </c>
      <c r="AY20" s="17" t="s">
        <v>414</v>
      </c>
      <c r="AZ20" s="17" t="s">
        <v>414</v>
      </c>
      <c r="BA20" s="21">
        <v>45388</v>
      </c>
      <c r="BB20" s="17">
        <v>0</v>
      </c>
      <c r="BC20" s="17"/>
      <c r="BD20" s="17" t="b">
        <v>0</v>
      </c>
      <c r="BE20" s="17" t="s">
        <v>1958</v>
      </c>
      <c r="BF20" s="21">
        <v>45388</v>
      </c>
      <c r="BG20" s="21">
        <v>45753</v>
      </c>
      <c r="BH20" s="17"/>
      <c r="BI20" s="21">
        <v>45779</v>
      </c>
      <c r="BJ20" s="17">
        <v>0</v>
      </c>
      <c r="BK20" s="17" t="s">
        <v>418</v>
      </c>
      <c r="BL20" s="17" t="s">
        <v>459</v>
      </c>
      <c r="BM20" s="17" t="b">
        <v>1</v>
      </c>
      <c r="BN20" s="17" t="b">
        <v>1</v>
      </c>
      <c r="BO20" s="17" t="b">
        <v>1</v>
      </c>
      <c r="BP20" s="17" t="b">
        <v>1</v>
      </c>
      <c r="BQ20" s="17" t="b">
        <v>1</v>
      </c>
      <c r="BR20" s="17" t="b">
        <v>1</v>
      </c>
      <c r="BS20" s="17" t="b">
        <v>1</v>
      </c>
      <c r="BT20" s="17" t="b">
        <v>1</v>
      </c>
      <c r="BU20" s="17" t="b">
        <v>0</v>
      </c>
      <c r="BV20" s="17">
        <v>0</v>
      </c>
      <c r="BW20" s="21">
        <v>42790</v>
      </c>
      <c r="BX20" s="17" t="s">
        <v>414</v>
      </c>
      <c r="BY20" s="17" t="s">
        <v>414</v>
      </c>
      <c r="BZ20" s="17">
        <v>0</v>
      </c>
      <c r="CA20" s="21">
        <v>45951</v>
      </c>
      <c r="CB20" s="17" t="s">
        <v>438</v>
      </c>
      <c r="CC20" s="17" t="s">
        <v>1942</v>
      </c>
      <c r="CD20" s="21"/>
      <c r="CE20" s="17"/>
      <c r="CF20" s="17" t="s">
        <v>579</v>
      </c>
      <c r="CG20" s="17" t="b">
        <v>0</v>
      </c>
      <c r="CH20" s="17" t="s">
        <v>425</v>
      </c>
      <c r="CI20" s="17">
        <v>523</v>
      </c>
      <c r="CJ20" s="21">
        <v>45844</v>
      </c>
      <c r="CK20" s="21">
        <v>45901</v>
      </c>
      <c r="CL20" s="17" t="s">
        <v>414</v>
      </c>
      <c r="CM20" s="21">
        <v>1</v>
      </c>
      <c r="CN20" s="21">
        <v>1</v>
      </c>
      <c r="CO20" s="21">
        <v>1</v>
      </c>
      <c r="CP20" s="17" t="b">
        <v>0</v>
      </c>
      <c r="CQ20" s="17" t="b">
        <v>1</v>
      </c>
      <c r="CR20" s="17" t="b">
        <v>0</v>
      </c>
      <c r="CS20">
        <v>7300</v>
      </c>
      <c r="CT20" t="s">
        <v>1911</v>
      </c>
      <c r="CU20">
        <v>5615.38</v>
      </c>
      <c r="CV20">
        <v>1684.62</v>
      </c>
      <c r="CW20" s="22"/>
    </row>
    <row r="21" spans="1:101" x14ac:dyDescent="0.25">
      <c r="A21" s="20">
        <v>82</v>
      </c>
      <c r="B21" s="17" t="s">
        <v>426</v>
      </c>
      <c r="C21" s="17" t="s">
        <v>580</v>
      </c>
      <c r="D21" s="17" t="s">
        <v>56</v>
      </c>
      <c r="E21" s="17" t="s">
        <v>581</v>
      </c>
      <c r="F21" s="17" t="s">
        <v>582</v>
      </c>
      <c r="G21" s="17" t="s">
        <v>414</v>
      </c>
      <c r="H21" s="17" t="s">
        <v>583</v>
      </c>
      <c r="I21" s="17" t="s">
        <v>432</v>
      </c>
      <c r="J21" s="17" t="s">
        <v>16</v>
      </c>
      <c r="K21" s="17" t="b">
        <v>0</v>
      </c>
      <c r="L21" s="17" t="s">
        <v>584</v>
      </c>
      <c r="M21" s="21">
        <v>32921</v>
      </c>
      <c r="N21" s="17" t="s">
        <v>414</v>
      </c>
      <c r="O21" s="17" t="s">
        <v>17</v>
      </c>
      <c r="P21" s="17" t="s">
        <v>18</v>
      </c>
      <c r="Q21" s="17">
        <v>4</v>
      </c>
      <c r="R21" s="17" t="s">
        <v>54</v>
      </c>
      <c r="S21" s="17">
        <v>4</v>
      </c>
      <c r="T21" s="17" t="s">
        <v>577</v>
      </c>
      <c r="U21" s="21">
        <v>45365</v>
      </c>
      <c r="V21" s="17" t="s">
        <v>31</v>
      </c>
      <c r="W21" s="21">
        <v>1.2847222222222223</v>
      </c>
      <c r="X21" s="17" t="s">
        <v>585</v>
      </c>
      <c r="Y21" s="17" t="s">
        <v>21</v>
      </c>
      <c r="Z21" s="17">
        <v>203100</v>
      </c>
      <c r="AA21" s="17" t="s">
        <v>55</v>
      </c>
      <c r="AB21" s="17" t="s">
        <v>418</v>
      </c>
      <c r="AC21" s="17">
        <v>201</v>
      </c>
      <c r="AD21" s="21">
        <v>45004</v>
      </c>
      <c r="AE21" s="21">
        <v>45004</v>
      </c>
      <c r="AF21" s="17"/>
      <c r="AG21" s="21">
        <v>45370</v>
      </c>
      <c r="AH21" s="17">
        <v>68285244</v>
      </c>
      <c r="AI21" s="21">
        <v>42818</v>
      </c>
      <c r="AJ21" s="17">
        <v>4115</v>
      </c>
      <c r="AK21" s="17">
        <v>0.29749999999999999</v>
      </c>
      <c r="AL21" s="17">
        <v>1224.21</v>
      </c>
      <c r="AM21" s="17" t="b">
        <v>0</v>
      </c>
      <c r="AN21" s="17" t="b">
        <v>1</v>
      </c>
      <c r="AO21" s="21">
        <v>45365</v>
      </c>
      <c r="AP21" s="21">
        <v>45365</v>
      </c>
      <c r="AQ21" s="17" t="b">
        <v>0</v>
      </c>
      <c r="AR21" s="21">
        <v>45365</v>
      </c>
      <c r="AS21" s="21">
        <v>45365</v>
      </c>
      <c r="AT21" s="21">
        <v>42728</v>
      </c>
      <c r="AU21" s="17" t="b">
        <v>0</v>
      </c>
      <c r="AV21" s="21">
        <v>45457</v>
      </c>
      <c r="AW21" s="17" t="s">
        <v>23</v>
      </c>
      <c r="AX21" s="17" t="s">
        <v>41</v>
      </c>
      <c r="AY21" s="17" t="s">
        <v>23</v>
      </c>
      <c r="AZ21" s="17" t="s">
        <v>414</v>
      </c>
      <c r="BA21" s="21">
        <v>45365</v>
      </c>
      <c r="BB21" s="17">
        <v>0</v>
      </c>
      <c r="BC21" s="17"/>
      <c r="BD21" s="17" t="b">
        <v>0</v>
      </c>
      <c r="BE21" s="17" t="s">
        <v>1970</v>
      </c>
      <c r="BF21" s="21">
        <v>45365</v>
      </c>
      <c r="BG21" s="21">
        <v>45730</v>
      </c>
      <c r="BH21" s="17"/>
      <c r="BI21" s="21">
        <v>46927</v>
      </c>
      <c r="BJ21" s="17">
        <v>0</v>
      </c>
      <c r="BK21" s="17" t="s">
        <v>436</v>
      </c>
      <c r="BL21" s="17" t="s">
        <v>459</v>
      </c>
      <c r="BM21" s="17" t="b">
        <v>1</v>
      </c>
      <c r="BN21" s="17" t="b">
        <v>1</v>
      </c>
      <c r="BO21" s="17" t="b">
        <v>1</v>
      </c>
      <c r="BP21" s="17" t="b">
        <v>1</v>
      </c>
      <c r="BQ21" s="17" t="b">
        <v>0</v>
      </c>
      <c r="BR21" s="17" t="b">
        <v>1</v>
      </c>
      <c r="BS21" s="17" t="b">
        <v>0</v>
      </c>
      <c r="BT21" s="17" t="b">
        <v>1</v>
      </c>
      <c r="BU21" s="17" t="b">
        <v>0</v>
      </c>
      <c r="BV21" s="17">
        <v>0</v>
      </c>
      <c r="BW21" s="21">
        <v>45396</v>
      </c>
      <c r="BX21" s="17" t="s">
        <v>414</v>
      </c>
      <c r="BY21" s="17" t="s">
        <v>414</v>
      </c>
      <c r="BZ21" s="17">
        <v>0</v>
      </c>
      <c r="CA21" s="21">
        <v>45951</v>
      </c>
      <c r="CB21" s="17" t="s">
        <v>438</v>
      </c>
      <c r="CC21" s="17" t="s">
        <v>1971</v>
      </c>
      <c r="CD21" s="21"/>
      <c r="CE21" s="17"/>
      <c r="CF21" s="17" t="s">
        <v>586</v>
      </c>
      <c r="CG21" s="17" t="b">
        <v>0</v>
      </c>
      <c r="CH21" s="17" t="s">
        <v>425</v>
      </c>
      <c r="CI21" s="17">
        <v>523</v>
      </c>
      <c r="CJ21" s="21">
        <v>45840</v>
      </c>
      <c r="CK21" s="21">
        <v>45901</v>
      </c>
      <c r="CL21" s="17" t="s">
        <v>414</v>
      </c>
      <c r="CM21" s="21">
        <v>1</v>
      </c>
      <c r="CN21" s="21">
        <v>1</v>
      </c>
      <c r="CO21" s="21">
        <v>1</v>
      </c>
      <c r="CP21" s="17" t="b">
        <v>0</v>
      </c>
      <c r="CQ21" s="17" t="b">
        <v>1</v>
      </c>
      <c r="CR21" s="17" t="b">
        <v>0</v>
      </c>
      <c r="CS21">
        <v>7300</v>
      </c>
      <c r="CT21" t="s">
        <v>1911</v>
      </c>
      <c r="CU21">
        <v>5615.38</v>
      </c>
      <c r="CV21">
        <v>1684.62</v>
      </c>
      <c r="CW21" s="22"/>
    </row>
    <row r="22" spans="1:101" x14ac:dyDescent="0.25">
      <c r="A22" s="20">
        <v>83</v>
      </c>
      <c r="B22" s="17" t="s">
        <v>587</v>
      </c>
      <c r="C22" s="17" t="s">
        <v>588</v>
      </c>
      <c r="D22" s="17" t="s">
        <v>57</v>
      </c>
      <c r="E22" s="17" t="s">
        <v>589</v>
      </c>
      <c r="F22" s="17" t="s">
        <v>590</v>
      </c>
      <c r="G22" s="17" t="s">
        <v>414</v>
      </c>
      <c r="H22" s="17" t="s">
        <v>421</v>
      </c>
      <c r="I22" s="17" t="s">
        <v>432</v>
      </c>
      <c r="J22" s="17" t="s">
        <v>16</v>
      </c>
      <c r="K22" s="17" t="b">
        <v>0</v>
      </c>
      <c r="L22" s="17" t="s">
        <v>591</v>
      </c>
      <c r="M22" s="21">
        <v>34213</v>
      </c>
      <c r="N22" s="17" t="s">
        <v>414</v>
      </c>
      <c r="O22" s="17" t="s">
        <v>17</v>
      </c>
      <c r="P22" s="17" t="s">
        <v>18</v>
      </c>
      <c r="Q22" s="17">
        <v>4</v>
      </c>
      <c r="R22" s="17" t="s">
        <v>54</v>
      </c>
      <c r="S22" s="17">
        <v>4</v>
      </c>
      <c r="T22" s="17" t="s">
        <v>577</v>
      </c>
      <c r="U22" s="21">
        <v>43435</v>
      </c>
      <c r="V22" s="17" t="s">
        <v>58</v>
      </c>
      <c r="W22" s="21">
        <v>1.2395833333333335</v>
      </c>
      <c r="X22" s="17" t="s">
        <v>592</v>
      </c>
      <c r="Y22" s="17" t="s">
        <v>21</v>
      </c>
      <c r="Z22" s="17">
        <v>203100</v>
      </c>
      <c r="AA22" s="17" t="s">
        <v>55</v>
      </c>
      <c r="AB22" s="17" t="s">
        <v>418</v>
      </c>
      <c r="AC22" s="17">
        <v>109</v>
      </c>
      <c r="AD22" s="21">
        <v>43716</v>
      </c>
      <c r="AE22" s="21">
        <v>45077</v>
      </c>
      <c r="AF22" s="17"/>
      <c r="AG22" s="21">
        <v>45443</v>
      </c>
      <c r="AH22" s="17">
        <v>48381887</v>
      </c>
      <c r="AI22" s="21">
        <v>43435</v>
      </c>
      <c r="AJ22" s="17">
        <v>4115</v>
      </c>
      <c r="AK22" s="17">
        <v>0.29749999999999999</v>
      </c>
      <c r="AL22" s="17">
        <v>1224.21</v>
      </c>
      <c r="AM22" s="17" t="b">
        <v>1</v>
      </c>
      <c r="AN22" s="17" t="b">
        <v>1</v>
      </c>
      <c r="AO22" s="21">
        <v>45388</v>
      </c>
      <c r="AP22" s="21">
        <v>45388</v>
      </c>
      <c r="AQ22" s="17" t="b">
        <v>0</v>
      </c>
      <c r="AR22" s="21">
        <v>45388</v>
      </c>
      <c r="AS22" s="21">
        <v>45388</v>
      </c>
      <c r="AT22" s="21">
        <v>43344</v>
      </c>
      <c r="AU22" s="17" t="b">
        <v>0</v>
      </c>
      <c r="AV22" s="21">
        <v>43525</v>
      </c>
      <c r="AW22" s="17" t="s">
        <v>41</v>
      </c>
      <c r="AX22" s="17" t="s">
        <v>23</v>
      </c>
      <c r="AY22" s="17" t="s">
        <v>41</v>
      </c>
      <c r="AZ22" s="17" t="s">
        <v>414</v>
      </c>
      <c r="BA22" s="21">
        <v>45388</v>
      </c>
      <c r="BB22" s="17">
        <v>0</v>
      </c>
      <c r="BC22" s="17"/>
      <c r="BD22" s="17" t="b">
        <v>0</v>
      </c>
      <c r="BE22" s="17" t="s">
        <v>1972</v>
      </c>
      <c r="BF22" s="21">
        <v>45388</v>
      </c>
      <c r="BG22" s="21">
        <v>45753</v>
      </c>
      <c r="BH22" s="17"/>
      <c r="BI22" s="21">
        <v>46645</v>
      </c>
      <c r="BJ22" s="17">
        <v>0</v>
      </c>
      <c r="BK22" s="17" t="s">
        <v>418</v>
      </c>
      <c r="BL22" s="17" t="s">
        <v>443</v>
      </c>
      <c r="BM22" s="17" t="b">
        <v>1</v>
      </c>
      <c r="BN22" s="17" t="b">
        <v>0</v>
      </c>
      <c r="BO22" s="17" t="b">
        <v>1</v>
      </c>
      <c r="BP22" s="17" t="b">
        <v>1</v>
      </c>
      <c r="BQ22" s="17" t="b">
        <v>1</v>
      </c>
      <c r="BR22" s="17" t="b">
        <v>1</v>
      </c>
      <c r="BS22" s="17" t="b">
        <v>1</v>
      </c>
      <c r="BT22" s="17" t="b">
        <v>0</v>
      </c>
      <c r="BU22" s="17" t="b">
        <v>0</v>
      </c>
      <c r="BV22" s="17">
        <v>0</v>
      </c>
      <c r="BW22" s="21">
        <v>43466</v>
      </c>
      <c r="BX22" s="17" t="s">
        <v>414</v>
      </c>
      <c r="BY22" s="17" t="s">
        <v>414</v>
      </c>
      <c r="BZ22" s="17">
        <v>0</v>
      </c>
      <c r="CA22" s="21">
        <v>45951</v>
      </c>
      <c r="CB22" s="17" t="s">
        <v>438</v>
      </c>
      <c r="CC22" s="17" t="s">
        <v>1973</v>
      </c>
      <c r="CD22" s="21"/>
      <c r="CE22" s="17"/>
      <c r="CF22" s="17" t="s">
        <v>593</v>
      </c>
      <c r="CG22" s="17" t="b">
        <v>0</v>
      </c>
      <c r="CH22" s="17" t="s">
        <v>425</v>
      </c>
      <c r="CI22" s="17">
        <v>523</v>
      </c>
      <c r="CJ22" s="21">
        <v>45853</v>
      </c>
      <c r="CK22" s="21">
        <v>45901</v>
      </c>
      <c r="CL22" s="17" t="s">
        <v>414</v>
      </c>
      <c r="CM22" s="21">
        <v>1</v>
      </c>
      <c r="CN22" s="21">
        <v>1</v>
      </c>
      <c r="CO22" s="21">
        <v>1</v>
      </c>
      <c r="CP22" s="17" t="b">
        <v>0</v>
      </c>
      <c r="CQ22" s="17" t="b">
        <v>1</v>
      </c>
      <c r="CR22" s="17" t="b">
        <v>0</v>
      </c>
      <c r="CS22">
        <v>7300</v>
      </c>
      <c r="CT22" t="s">
        <v>1911</v>
      </c>
      <c r="CU22">
        <v>5615.38</v>
      </c>
      <c r="CV22">
        <v>1684.62</v>
      </c>
      <c r="CW22" s="22"/>
    </row>
    <row r="23" spans="1:101" x14ac:dyDescent="0.25">
      <c r="A23" s="20">
        <v>84</v>
      </c>
      <c r="B23" s="17" t="s">
        <v>594</v>
      </c>
      <c r="C23" s="17" t="s">
        <v>595</v>
      </c>
      <c r="D23" s="17" t="s">
        <v>59</v>
      </c>
      <c r="E23" s="17" t="s">
        <v>596</v>
      </c>
      <c r="F23" s="17" t="s">
        <v>597</v>
      </c>
      <c r="G23" s="17" t="s">
        <v>414</v>
      </c>
      <c r="H23" s="17" t="s">
        <v>598</v>
      </c>
      <c r="I23" s="17" t="s">
        <v>432</v>
      </c>
      <c r="J23" s="17" t="s">
        <v>16</v>
      </c>
      <c r="K23" s="17" t="b">
        <v>0</v>
      </c>
      <c r="L23" s="17" t="s">
        <v>599</v>
      </c>
      <c r="M23" s="21">
        <v>35275</v>
      </c>
      <c r="N23" s="17" t="s">
        <v>414</v>
      </c>
      <c r="O23" s="17" t="s">
        <v>17</v>
      </c>
      <c r="P23" s="17" t="s">
        <v>18</v>
      </c>
      <c r="Q23" s="17">
        <v>4</v>
      </c>
      <c r="R23" s="17" t="s">
        <v>54</v>
      </c>
      <c r="S23" s="17">
        <v>4</v>
      </c>
      <c r="T23" s="17" t="s">
        <v>577</v>
      </c>
      <c r="U23" s="21">
        <v>42520</v>
      </c>
      <c r="V23" s="17" t="s">
        <v>20</v>
      </c>
      <c r="W23" s="21">
        <v>1.7895833333333333</v>
      </c>
      <c r="X23" s="17" t="s">
        <v>600</v>
      </c>
      <c r="Y23" s="17" t="s">
        <v>21</v>
      </c>
      <c r="Z23" s="17">
        <v>203100</v>
      </c>
      <c r="AA23" s="17" t="s">
        <v>55</v>
      </c>
      <c r="AB23" s="17" t="s">
        <v>418</v>
      </c>
      <c r="AC23" s="17">
        <v>165</v>
      </c>
      <c r="AD23" s="21">
        <v>44873</v>
      </c>
      <c r="AE23" s="21">
        <v>45244</v>
      </c>
      <c r="AF23" s="17"/>
      <c r="AG23" s="21">
        <v>45610</v>
      </c>
      <c r="AH23" s="17">
        <v>69995792</v>
      </c>
      <c r="AI23" s="21">
        <v>42603</v>
      </c>
      <c r="AJ23" s="17">
        <v>4115</v>
      </c>
      <c r="AK23" s="17">
        <v>0.29749999999999999</v>
      </c>
      <c r="AL23" s="17">
        <v>1224.21</v>
      </c>
      <c r="AM23" s="17" t="b">
        <v>0</v>
      </c>
      <c r="AN23" s="17" t="b">
        <v>1</v>
      </c>
      <c r="AO23" s="21">
        <v>45388</v>
      </c>
      <c r="AP23" s="21">
        <v>45388</v>
      </c>
      <c r="AQ23" s="17" t="b">
        <v>0</v>
      </c>
      <c r="AR23" s="21">
        <v>45388</v>
      </c>
      <c r="AS23" s="21">
        <v>45388</v>
      </c>
      <c r="AT23" s="21">
        <v>42511</v>
      </c>
      <c r="AU23" s="17" t="b">
        <v>0</v>
      </c>
      <c r="AV23" s="21">
        <v>42612</v>
      </c>
      <c r="AW23" s="17" t="s">
        <v>41</v>
      </c>
      <c r="AX23" s="17" t="s">
        <v>23</v>
      </c>
      <c r="AY23" s="17" t="s">
        <v>41</v>
      </c>
      <c r="AZ23" s="17" t="s">
        <v>414</v>
      </c>
      <c r="BA23" s="21">
        <v>45388</v>
      </c>
      <c r="BB23" s="17">
        <v>0</v>
      </c>
      <c r="BC23" s="17"/>
      <c r="BD23" s="17" t="b">
        <v>0</v>
      </c>
      <c r="BE23" s="17" t="s">
        <v>1974</v>
      </c>
      <c r="BF23" s="21">
        <v>45388</v>
      </c>
      <c r="BG23" s="21">
        <v>45753</v>
      </c>
      <c r="BH23" s="17"/>
      <c r="BI23" s="21">
        <v>46700</v>
      </c>
      <c r="BJ23" s="17">
        <v>0</v>
      </c>
      <c r="BK23" s="17" t="s">
        <v>443</v>
      </c>
      <c r="BL23" s="17" t="s">
        <v>459</v>
      </c>
      <c r="BM23" s="17" t="b">
        <v>1</v>
      </c>
      <c r="BN23" s="17" t="b">
        <v>0</v>
      </c>
      <c r="BO23" s="17" t="b">
        <v>1</v>
      </c>
      <c r="BP23" s="17" t="b">
        <v>1</v>
      </c>
      <c r="BQ23" s="17" t="b">
        <v>0</v>
      </c>
      <c r="BR23" s="17" t="b">
        <v>1</v>
      </c>
      <c r="BS23" s="17" t="b">
        <v>0</v>
      </c>
      <c r="BT23" s="17" t="b">
        <v>1</v>
      </c>
      <c r="BU23" s="17" t="b">
        <v>0</v>
      </c>
      <c r="BV23" s="17">
        <v>0</v>
      </c>
      <c r="BW23" s="21">
        <v>42551</v>
      </c>
      <c r="BX23" s="17" t="s">
        <v>414</v>
      </c>
      <c r="BY23" s="17" t="s">
        <v>414</v>
      </c>
      <c r="BZ23" s="17">
        <v>0</v>
      </c>
      <c r="CA23" s="21">
        <v>45951</v>
      </c>
      <c r="CB23" s="17" t="s">
        <v>438</v>
      </c>
      <c r="CC23" s="17" t="s">
        <v>1975</v>
      </c>
      <c r="CD23" s="21"/>
      <c r="CE23" s="17"/>
      <c r="CF23" s="17" t="s">
        <v>601</v>
      </c>
      <c r="CG23" s="17" t="b">
        <v>0</v>
      </c>
      <c r="CH23" s="17" t="s">
        <v>425</v>
      </c>
      <c r="CI23" s="17">
        <v>523</v>
      </c>
      <c r="CJ23" s="21">
        <v>45843</v>
      </c>
      <c r="CK23" s="21">
        <v>45901</v>
      </c>
      <c r="CL23" s="17" t="s">
        <v>414</v>
      </c>
      <c r="CM23" s="21">
        <v>1</v>
      </c>
      <c r="CN23" s="21">
        <v>1</v>
      </c>
      <c r="CO23" s="21">
        <v>1</v>
      </c>
      <c r="CP23" s="17" t="b">
        <v>0</v>
      </c>
      <c r="CQ23" s="17" t="b">
        <v>1</v>
      </c>
      <c r="CR23" s="17" t="b">
        <v>0</v>
      </c>
      <c r="CS23">
        <v>7300</v>
      </c>
      <c r="CT23" t="s">
        <v>1911</v>
      </c>
      <c r="CU23">
        <v>5615.38</v>
      </c>
      <c r="CV23">
        <v>1684.62</v>
      </c>
      <c r="CW23" s="22"/>
    </row>
    <row r="24" spans="1:101" x14ac:dyDescent="0.25">
      <c r="A24" s="20">
        <v>86</v>
      </c>
      <c r="B24" s="17" t="s">
        <v>602</v>
      </c>
      <c r="C24" s="17" t="s">
        <v>603</v>
      </c>
      <c r="D24" s="17" t="s">
        <v>60</v>
      </c>
      <c r="E24" s="17" t="s">
        <v>604</v>
      </c>
      <c r="F24" s="17" t="s">
        <v>605</v>
      </c>
      <c r="G24" s="17" t="s">
        <v>414</v>
      </c>
      <c r="H24" s="17" t="s">
        <v>606</v>
      </c>
      <c r="I24" s="17" t="s">
        <v>432</v>
      </c>
      <c r="J24" s="17" t="s">
        <v>16</v>
      </c>
      <c r="K24" s="17" t="b">
        <v>0</v>
      </c>
      <c r="L24" s="17" t="s">
        <v>607</v>
      </c>
      <c r="M24" s="21">
        <v>34075</v>
      </c>
      <c r="N24" s="17" t="s">
        <v>414</v>
      </c>
      <c r="O24" s="17" t="s">
        <v>17</v>
      </c>
      <c r="P24" s="17" t="s">
        <v>18</v>
      </c>
      <c r="Q24" s="17">
        <v>5</v>
      </c>
      <c r="R24" s="17" t="s">
        <v>44</v>
      </c>
      <c r="S24" s="17">
        <v>5</v>
      </c>
      <c r="T24" s="17" t="s">
        <v>537</v>
      </c>
      <c r="U24" s="21">
        <v>42936</v>
      </c>
      <c r="V24" s="17" t="s">
        <v>61</v>
      </c>
      <c r="W24" s="21">
        <v>1.2777777777777777</v>
      </c>
      <c r="X24" s="17" t="s">
        <v>608</v>
      </c>
      <c r="Y24" s="17" t="s">
        <v>21</v>
      </c>
      <c r="Z24" s="17">
        <v>219433</v>
      </c>
      <c r="AA24" s="17" t="s">
        <v>62</v>
      </c>
      <c r="AB24" s="17" t="s">
        <v>418</v>
      </c>
      <c r="AC24" s="17">
        <v>70</v>
      </c>
      <c r="AD24" s="21">
        <v>43488</v>
      </c>
      <c r="AE24" s="21">
        <v>45159</v>
      </c>
      <c r="AF24" s="17"/>
      <c r="AG24" s="21">
        <v>45525</v>
      </c>
      <c r="AH24" s="17">
        <v>74634179</v>
      </c>
      <c r="AI24" s="21">
        <v>43028</v>
      </c>
      <c r="AJ24" s="17">
        <v>4115</v>
      </c>
      <c r="AK24" s="17">
        <v>0.29749999999999999</v>
      </c>
      <c r="AL24" s="17">
        <v>1224.21</v>
      </c>
      <c r="AM24" s="17" t="b">
        <v>1</v>
      </c>
      <c r="AN24" s="17" t="b">
        <v>1</v>
      </c>
      <c r="AO24" s="21">
        <v>45388</v>
      </c>
      <c r="AP24" s="21">
        <v>45388</v>
      </c>
      <c r="AQ24" s="17" t="b">
        <v>0</v>
      </c>
      <c r="AR24" s="21">
        <v>45388</v>
      </c>
      <c r="AS24" s="21">
        <v>45388</v>
      </c>
      <c r="AT24" s="21">
        <v>42936</v>
      </c>
      <c r="AU24" s="17" t="b">
        <v>0</v>
      </c>
      <c r="AV24" s="21">
        <v>43028</v>
      </c>
      <c r="AW24" s="17" t="s">
        <v>23</v>
      </c>
      <c r="AX24" s="17" t="s">
        <v>41</v>
      </c>
      <c r="AY24" s="17" t="s">
        <v>23</v>
      </c>
      <c r="AZ24" s="17" t="s">
        <v>414</v>
      </c>
      <c r="BA24" s="21">
        <v>45388</v>
      </c>
      <c r="BB24" s="17">
        <v>0</v>
      </c>
      <c r="BC24" s="17"/>
      <c r="BD24" s="17" t="b">
        <v>0</v>
      </c>
      <c r="BE24" s="17" t="s">
        <v>1964</v>
      </c>
      <c r="BF24" s="21">
        <v>45388</v>
      </c>
      <c r="BG24" s="21">
        <v>45753</v>
      </c>
      <c r="BH24" s="17"/>
      <c r="BI24" s="21">
        <v>48141</v>
      </c>
      <c r="BJ24" s="17">
        <v>0</v>
      </c>
      <c r="BK24" s="17" t="s">
        <v>418</v>
      </c>
      <c r="BL24" s="17" t="s">
        <v>459</v>
      </c>
      <c r="BM24" s="17" t="b">
        <v>1</v>
      </c>
      <c r="BN24" s="17" t="b">
        <v>1</v>
      </c>
      <c r="BO24" s="17" t="b">
        <v>1</v>
      </c>
      <c r="BP24" s="17" t="b">
        <v>1</v>
      </c>
      <c r="BQ24" s="17" t="b">
        <v>1</v>
      </c>
      <c r="BR24" s="17" t="b">
        <v>1</v>
      </c>
      <c r="BS24" s="17" t="b">
        <v>0</v>
      </c>
      <c r="BT24" s="17" t="b">
        <v>1</v>
      </c>
      <c r="BU24" s="17" t="b">
        <v>0</v>
      </c>
      <c r="BV24" s="17">
        <v>0</v>
      </c>
      <c r="BW24" s="21">
        <v>42967</v>
      </c>
      <c r="BX24" s="17" t="s">
        <v>414</v>
      </c>
      <c r="BY24" s="17" t="s">
        <v>414</v>
      </c>
      <c r="BZ24" s="17">
        <v>0</v>
      </c>
      <c r="CA24" s="21">
        <v>45951</v>
      </c>
      <c r="CB24" s="17" t="s">
        <v>438</v>
      </c>
      <c r="CC24" s="17" t="s">
        <v>1976</v>
      </c>
      <c r="CD24" s="21"/>
      <c r="CE24" s="17"/>
      <c r="CF24" s="17" t="s">
        <v>609</v>
      </c>
      <c r="CG24" s="17" t="b">
        <v>0</v>
      </c>
      <c r="CH24" s="17" t="s">
        <v>610</v>
      </c>
      <c r="CI24" s="17">
        <v>0</v>
      </c>
      <c r="CJ24" s="21">
        <v>45851</v>
      </c>
      <c r="CK24" s="21">
        <v>45902</v>
      </c>
      <c r="CL24" s="17" t="s">
        <v>414</v>
      </c>
      <c r="CM24" s="21">
        <v>1</v>
      </c>
      <c r="CN24" s="21">
        <v>1</v>
      </c>
      <c r="CO24" s="21">
        <v>1</v>
      </c>
      <c r="CP24" s="17" t="b">
        <v>0</v>
      </c>
      <c r="CQ24" s="17" t="b">
        <v>1</v>
      </c>
      <c r="CR24" s="17" t="b">
        <v>0</v>
      </c>
      <c r="CS24">
        <v>7300</v>
      </c>
      <c r="CT24" t="s">
        <v>1911</v>
      </c>
      <c r="CU24">
        <v>5615.38</v>
      </c>
      <c r="CV24">
        <v>1684.62</v>
      </c>
      <c r="CW24" s="22"/>
    </row>
    <row r="25" spans="1:101" x14ac:dyDescent="0.25">
      <c r="A25" s="20">
        <v>88</v>
      </c>
      <c r="B25" s="17" t="s">
        <v>420</v>
      </c>
      <c r="C25" s="17" t="s">
        <v>611</v>
      </c>
      <c r="D25" s="17" t="s">
        <v>63</v>
      </c>
      <c r="E25" s="17" t="s">
        <v>612</v>
      </c>
      <c r="F25" s="17" t="s">
        <v>613</v>
      </c>
      <c r="G25" s="17" t="s">
        <v>414</v>
      </c>
      <c r="H25" s="17" t="s">
        <v>614</v>
      </c>
      <c r="I25" s="17" t="s">
        <v>432</v>
      </c>
      <c r="J25" s="17" t="s">
        <v>16</v>
      </c>
      <c r="K25" s="17" t="b">
        <v>0</v>
      </c>
      <c r="L25" s="17" t="s">
        <v>615</v>
      </c>
      <c r="M25" s="21">
        <v>34909</v>
      </c>
      <c r="N25" s="17" t="s">
        <v>414</v>
      </c>
      <c r="O25" s="17" t="s">
        <v>17</v>
      </c>
      <c r="P25" s="17" t="s">
        <v>18</v>
      </c>
      <c r="Q25" s="17">
        <v>6</v>
      </c>
      <c r="R25" s="17" t="s">
        <v>64</v>
      </c>
      <c r="S25" s="17">
        <v>19</v>
      </c>
      <c r="T25" s="17" t="s">
        <v>616</v>
      </c>
      <c r="U25" s="21">
        <v>41640</v>
      </c>
      <c r="V25" s="17" t="s">
        <v>20</v>
      </c>
      <c r="W25" s="21">
        <v>1.286111111111111</v>
      </c>
      <c r="X25" s="17" t="s">
        <v>617</v>
      </c>
      <c r="Y25" s="17" t="s">
        <v>45</v>
      </c>
      <c r="Z25" s="17">
        <v>110666</v>
      </c>
      <c r="AA25" s="17" t="s">
        <v>65</v>
      </c>
      <c r="AB25" s="17" t="s">
        <v>418</v>
      </c>
      <c r="AC25" s="17">
        <v>35</v>
      </c>
      <c r="AD25" s="21">
        <v>42898</v>
      </c>
      <c r="AE25" s="21">
        <v>45384</v>
      </c>
      <c r="AF25" s="17"/>
      <c r="AG25" s="21">
        <v>45749</v>
      </c>
      <c r="AH25" s="17">
        <v>70495551</v>
      </c>
      <c r="AI25" s="21">
        <v>41730</v>
      </c>
      <c r="AJ25" s="17">
        <v>4110</v>
      </c>
      <c r="AK25" s="17">
        <v>0.29749999999999999</v>
      </c>
      <c r="AL25" s="17">
        <v>1222.73</v>
      </c>
      <c r="AM25" s="17" t="b">
        <v>0</v>
      </c>
      <c r="AN25" s="17" t="b">
        <v>1</v>
      </c>
      <c r="AO25" s="21">
        <v>45490</v>
      </c>
      <c r="AP25" s="21">
        <v>45490</v>
      </c>
      <c r="AQ25" s="17" t="b">
        <v>0</v>
      </c>
      <c r="AR25" s="21">
        <v>45490</v>
      </c>
      <c r="AS25" s="21">
        <v>45490</v>
      </c>
      <c r="AT25" s="21">
        <v>41640</v>
      </c>
      <c r="AU25" s="17" t="b">
        <v>0</v>
      </c>
      <c r="AV25" s="21">
        <v>41730</v>
      </c>
      <c r="AW25" s="17" t="s">
        <v>27</v>
      </c>
      <c r="AX25" s="17" t="s">
        <v>27</v>
      </c>
      <c r="AY25" s="17" t="s">
        <v>414</v>
      </c>
      <c r="AZ25" s="17" t="s">
        <v>450</v>
      </c>
      <c r="BA25" s="21">
        <v>45490</v>
      </c>
      <c r="BB25" s="17">
        <v>0</v>
      </c>
      <c r="BC25" s="17"/>
      <c r="BD25" s="17" t="b">
        <v>0</v>
      </c>
      <c r="BE25" s="17" t="s">
        <v>1977</v>
      </c>
      <c r="BF25" s="21">
        <v>45490</v>
      </c>
      <c r="BG25" s="21">
        <v>45855</v>
      </c>
      <c r="BH25" s="17"/>
      <c r="BI25" s="21">
        <v>0</v>
      </c>
      <c r="BJ25" s="17">
        <v>0</v>
      </c>
      <c r="BK25" s="17" t="s">
        <v>443</v>
      </c>
      <c r="BL25" s="17" t="s">
        <v>443</v>
      </c>
      <c r="BM25" s="17" t="b">
        <v>1</v>
      </c>
      <c r="BN25" s="17" t="b">
        <v>1</v>
      </c>
      <c r="BO25" s="17" t="b">
        <v>1</v>
      </c>
      <c r="BP25" s="17" t="b">
        <v>1</v>
      </c>
      <c r="BQ25" s="17" t="b">
        <v>1</v>
      </c>
      <c r="BR25" s="17" t="b">
        <v>0</v>
      </c>
      <c r="BS25" s="17" t="b">
        <v>0</v>
      </c>
      <c r="BT25" s="17" t="b">
        <v>1</v>
      </c>
      <c r="BU25" s="17" t="b">
        <v>0</v>
      </c>
      <c r="BV25" s="17">
        <v>0</v>
      </c>
      <c r="BW25" s="21">
        <v>41671</v>
      </c>
      <c r="BX25" s="17" t="s">
        <v>414</v>
      </c>
      <c r="BY25" s="17" t="s">
        <v>414</v>
      </c>
      <c r="BZ25" s="17">
        <v>0</v>
      </c>
      <c r="CA25" s="21">
        <v>45959</v>
      </c>
      <c r="CB25" s="17" t="s">
        <v>419</v>
      </c>
      <c r="CC25" s="17" t="s">
        <v>1978</v>
      </c>
      <c r="CD25" s="21"/>
      <c r="CE25" s="17"/>
      <c r="CF25" s="17" t="s">
        <v>618</v>
      </c>
      <c r="CG25" s="17" t="b">
        <v>0</v>
      </c>
      <c r="CH25" s="17" t="s">
        <v>425</v>
      </c>
      <c r="CI25" s="17">
        <v>546</v>
      </c>
      <c r="CJ25" s="21">
        <v>1</v>
      </c>
      <c r="CK25" s="21">
        <v>45963</v>
      </c>
      <c r="CL25" s="17" t="s">
        <v>414</v>
      </c>
      <c r="CM25" s="21">
        <v>1</v>
      </c>
      <c r="CN25" s="21">
        <v>1</v>
      </c>
      <c r="CO25" s="21">
        <v>1</v>
      </c>
      <c r="CP25" s="17" t="b">
        <v>0</v>
      </c>
      <c r="CQ25" s="17" t="b">
        <v>0</v>
      </c>
      <c r="CR25" s="17" t="b">
        <v>0</v>
      </c>
      <c r="CS25">
        <v>8500</v>
      </c>
      <c r="CT25" t="s">
        <v>1979</v>
      </c>
      <c r="CU25">
        <v>6538.46</v>
      </c>
      <c r="CV25">
        <v>1961.54</v>
      </c>
      <c r="CW25" s="22"/>
    </row>
    <row r="26" spans="1:101" x14ac:dyDescent="0.25">
      <c r="A26" s="20">
        <v>91</v>
      </c>
      <c r="B26" s="17" t="s">
        <v>620</v>
      </c>
      <c r="C26" s="17" t="s">
        <v>621</v>
      </c>
      <c r="D26" s="17" t="s">
        <v>66</v>
      </c>
      <c r="E26" s="17" t="s">
        <v>622</v>
      </c>
      <c r="F26" s="17" t="s">
        <v>623</v>
      </c>
      <c r="G26" s="17" t="s">
        <v>414</v>
      </c>
      <c r="H26" s="17" t="s">
        <v>624</v>
      </c>
      <c r="I26" s="17" t="s">
        <v>432</v>
      </c>
      <c r="J26" s="17" t="s">
        <v>16</v>
      </c>
      <c r="K26" s="17" t="b">
        <v>0</v>
      </c>
      <c r="L26" s="17" t="s">
        <v>625</v>
      </c>
      <c r="M26" s="21">
        <v>25600</v>
      </c>
      <c r="N26" s="17" t="s">
        <v>414</v>
      </c>
      <c r="O26" s="17" t="s">
        <v>17</v>
      </c>
      <c r="P26" s="17" t="s">
        <v>18</v>
      </c>
      <c r="Q26" s="17">
        <v>1</v>
      </c>
      <c r="R26" s="17" t="s">
        <v>19</v>
      </c>
      <c r="S26" s="17">
        <v>7</v>
      </c>
      <c r="T26" s="17" t="s">
        <v>140</v>
      </c>
      <c r="U26" s="21">
        <v>43133</v>
      </c>
      <c r="V26" s="17" t="s">
        <v>33</v>
      </c>
      <c r="W26" s="21">
        <v>1.2777777777777777</v>
      </c>
      <c r="X26" s="17" t="s">
        <v>626</v>
      </c>
      <c r="Y26" s="17" t="s">
        <v>21</v>
      </c>
      <c r="Z26" s="17">
        <v>949900</v>
      </c>
      <c r="AA26" s="17" t="s">
        <v>22</v>
      </c>
      <c r="AB26" s="17" t="s">
        <v>418</v>
      </c>
      <c r="AC26" s="17">
        <v>48</v>
      </c>
      <c r="AD26" s="21">
        <v>43465</v>
      </c>
      <c r="AE26" s="21">
        <v>45384</v>
      </c>
      <c r="AF26" s="17"/>
      <c r="AG26" s="21">
        <v>45749</v>
      </c>
      <c r="AH26" s="17">
        <v>65516906</v>
      </c>
      <c r="AI26" s="21">
        <v>43222</v>
      </c>
      <c r="AJ26" s="17">
        <v>4121</v>
      </c>
      <c r="AK26" s="17">
        <v>0.29749999999999999</v>
      </c>
      <c r="AL26" s="17">
        <v>1226</v>
      </c>
      <c r="AM26" s="17" t="b">
        <v>1</v>
      </c>
      <c r="AN26" s="17" t="b">
        <v>1</v>
      </c>
      <c r="AO26" s="21">
        <v>45449</v>
      </c>
      <c r="AP26" s="21">
        <v>45449</v>
      </c>
      <c r="AQ26" s="17" t="b">
        <v>0</v>
      </c>
      <c r="AR26" s="21">
        <v>45449</v>
      </c>
      <c r="AS26" s="21">
        <v>45449</v>
      </c>
      <c r="AT26" s="21">
        <v>43133</v>
      </c>
      <c r="AU26" s="17" t="b">
        <v>0</v>
      </c>
      <c r="AV26" s="21">
        <v>43222</v>
      </c>
      <c r="AW26" s="17" t="s">
        <v>23</v>
      </c>
      <c r="AX26" s="17" t="s">
        <v>23</v>
      </c>
      <c r="AY26" s="17" t="s">
        <v>23</v>
      </c>
      <c r="AZ26" s="17" t="s">
        <v>450</v>
      </c>
      <c r="BA26" s="21">
        <v>45449</v>
      </c>
      <c r="BB26" s="17">
        <v>0</v>
      </c>
      <c r="BC26" s="17"/>
      <c r="BD26" s="17" t="b">
        <v>0</v>
      </c>
      <c r="BE26" s="17" t="s">
        <v>1980</v>
      </c>
      <c r="BF26" s="21">
        <v>45449</v>
      </c>
      <c r="BG26" s="21">
        <v>45814</v>
      </c>
      <c r="BH26" s="17"/>
      <c r="BI26" s="21">
        <v>47079</v>
      </c>
      <c r="BJ26" s="17">
        <v>0</v>
      </c>
      <c r="BK26" s="17" t="s">
        <v>418</v>
      </c>
      <c r="BL26" s="17" t="s">
        <v>557</v>
      </c>
      <c r="BM26" s="17" t="b">
        <v>1</v>
      </c>
      <c r="BN26" s="17" t="b">
        <v>1</v>
      </c>
      <c r="BO26" s="17" t="b">
        <v>1</v>
      </c>
      <c r="BP26" s="17" t="b">
        <v>1</v>
      </c>
      <c r="BQ26" s="17" t="b">
        <v>1</v>
      </c>
      <c r="BR26" s="17" t="b">
        <v>1</v>
      </c>
      <c r="BS26" s="17" t="b">
        <v>1</v>
      </c>
      <c r="BT26" s="17" t="b">
        <v>1</v>
      </c>
      <c r="BU26" s="17" t="b">
        <v>0</v>
      </c>
      <c r="BV26" s="17">
        <v>0</v>
      </c>
      <c r="BW26" s="21">
        <v>43161</v>
      </c>
      <c r="BX26" s="17" t="s">
        <v>414</v>
      </c>
      <c r="BY26" s="17" t="s">
        <v>414</v>
      </c>
      <c r="BZ26" s="17">
        <v>0</v>
      </c>
      <c r="CA26" s="21">
        <v>45951</v>
      </c>
      <c r="CB26" s="17" t="s">
        <v>438</v>
      </c>
      <c r="CC26" s="17" t="s">
        <v>1981</v>
      </c>
      <c r="CD26" s="21"/>
      <c r="CE26" s="17"/>
      <c r="CF26" s="17" t="s">
        <v>627</v>
      </c>
      <c r="CG26" s="17" t="b">
        <v>0</v>
      </c>
      <c r="CH26" s="17" t="s">
        <v>425</v>
      </c>
      <c r="CI26" s="17">
        <v>0</v>
      </c>
      <c r="CJ26" s="21">
        <v>45850</v>
      </c>
      <c r="CK26" s="21">
        <v>45902</v>
      </c>
      <c r="CL26" s="17" t="s">
        <v>414</v>
      </c>
      <c r="CM26" s="21">
        <v>1</v>
      </c>
      <c r="CN26" s="21">
        <v>1</v>
      </c>
      <c r="CO26" s="21">
        <v>1</v>
      </c>
      <c r="CP26" s="17" t="b">
        <v>0</v>
      </c>
      <c r="CQ26" s="17" t="b">
        <v>1</v>
      </c>
      <c r="CR26" s="17" t="b">
        <v>0</v>
      </c>
      <c r="CS26">
        <v>7000</v>
      </c>
      <c r="CT26" t="s">
        <v>1912</v>
      </c>
      <c r="CU26">
        <v>5384.62</v>
      </c>
      <c r="CV26">
        <v>1615.38</v>
      </c>
      <c r="CW26" s="22"/>
    </row>
    <row r="27" spans="1:101" x14ac:dyDescent="0.25">
      <c r="A27" s="20">
        <v>99</v>
      </c>
      <c r="B27" s="17" t="s">
        <v>426</v>
      </c>
      <c r="C27" s="17" t="s">
        <v>515</v>
      </c>
      <c r="D27" s="17" t="s">
        <v>67</v>
      </c>
      <c r="E27" s="17" t="s">
        <v>628</v>
      </c>
      <c r="F27" s="17" t="s">
        <v>629</v>
      </c>
      <c r="G27" s="17" t="s">
        <v>414</v>
      </c>
      <c r="H27" s="17" t="s">
        <v>512</v>
      </c>
      <c r="I27" s="17" t="s">
        <v>432</v>
      </c>
      <c r="J27" s="17" t="s">
        <v>16</v>
      </c>
      <c r="K27" s="17" t="b">
        <v>0</v>
      </c>
      <c r="L27" s="17" t="s">
        <v>630</v>
      </c>
      <c r="M27" s="21">
        <v>32713</v>
      </c>
      <c r="N27" s="17" t="s">
        <v>414</v>
      </c>
      <c r="O27" s="17" t="s">
        <v>17</v>
      </c>
      <c r="P27" s="17" t="s">
        <v>18</v>
      </c>
      <c r="Q27" s="17">
        <v>1</v>
      </c>
      <c r="R27" s="17" t="s">
        <v>19</v>
      </c>
      <c r="S27" s="17">
        <v>1</v>
      </c>
      <c r="T27" s="17" t="s">
        <v>422</v>
      </c>
      <c r="U27" s="21">
        <v>43778</v>
      </c>
      <c r="V27" s="17" t="s">
        <v>29</v>
      </c>
      <c r="W27" s="21">
        <v>1.5763888888888888</v>
      </c>
      <c r="X27" s="17" t="s">
        <v>513</v>
      </c>
      <c r="Y27" s="17" t="s">
        <v>21</v>
      </c>
      <c r="Z27" s="17">
        <v>949900</v>
      </c>
      <c r="AA27" s="17" t="s">
        <v>22</v>
      </c>
      <c r="AB27" s="17" t="s">
        <v>418</v>
      </c>
      <c r="AC27" s="17">
        <v>179</v>
      </c>
      <c r="AD27" s="21">
        <v>44913</v>
      </c>
      <c r="AE27" s="21">
        <v>45277</v>
      </c>
      <c r="AF27" s="17"/>
      <c r="AG27" s="21">
        <v>45643</v>
      </c>
      <c r="AH27" s="17">
        <v>62300903</v>
      </c>
      <c r="AI27" s="21">
        <v>43831</v>
      </c>
      <c r="AJ27" s="17">
        <v>4121</v>
      </c>
      <c r="AK27" s="17">
        <v>0.29749999999999999</v>
      </c>
      <c r="AL27" s="17">
        <v>1226</v>
      </c>
      <c r="AM27" s="17" t="b">
        <v>1</v>
      </c>
      <c r="AN27" s="17" t="b">
        <v>1</v>
      </c>
      <c r="AO27" s="21">
        <v>45449</v>
      </c>
      <c r="AP27" s="21">
        <v>45449</v>
      </c>
      <c r="AQ27" s="17" t="b">
        <v>0</v>
      </c>
      <c r="AR27" s="21">
        <v>45449</v>
      </c>
      <c r="AS27" s="21">
        <v>45449</v>
      </c>
      <c r="AT27" s="21">
        <v>43739</v>
      </c>
      <c r="AU27" s="17" t="b">
        <v>0</v>
      </c>
      <c r="AV27" s="21">
        <v>43870</v>
      </c>
      <c r="AW27" s="17" t="s">
        <v>41</v>
      </c>
      <c r="AX27" s="17" t="s">
        <v>41</v>
      </c>
      <c r="AY27" s="17" t="s">
        <v>41</v>
      </c>
      <c r="AZ27" s="17" t="s">
        <v>520</v>
      </c>
      <c r="BA27" s="21">
        <v>45449</v>
      </c>
      <c r="BB27" s="17">
        <v>0</v>
      </c>
      <c r="BC27" s="17"/>
      <c r="BD27" s="17" t="b">
        <v>0</v>
      </c>
      <c r="BE27" s="17" t="s">
        <v>1982</v>
      </c>
      <c r="BF27" s="21">
        <v>45449</v>
      </c>
      <c r="BG27" s="21">
        <v>45814</v>
      </c>
      <c r="BH27" s="17"/>
      <c r="BI27" s="21">
        <v>45449</v>
      </c>
      <c r="BJ27" s="17">
        <v>0</v>
      </c>
      <c r="BK27" s="17" t="s">
        <v>418</v>
      </c>
      <c r="BL27" s="17" t="s">
        <v>459</v>
      </c>
      <c r="BM27" s="17" t="b">
        <v>1</v>
      </c>
      <c r="BN27" s="17" t="b">
        <v>0</v>
      </c>
      <c r="BO27" s="17" t="b">
        <v>0</v>
      </c>
      <c r="BP27" s="17" t="b">
        <v>1</v>
      </c>
      <c r="BQ27" s="17" t="b">
        <v>1</v>
      </c>
      <c r="BR27" s="17" t="b">
        <v>1</v>
      </c>
      <c r="BS27" s="17" t="b">
        <v>0</v>
      </c>
      <c r="BT27" s="17" t="b">
        <v>0</v>
      </c>
      <c r="BU27" s="17" t="b">
        <v>0</v>
      </c>
      <c r="BV27" s="17">
        <v>0</v>
      </c>
      <c r="BW27" s="21">
        <v>43808</v>
      </c>
      <c r="BX27" s="17" t="s">
        <v>414</v>
      </c>
      <c r="BY27" s="17" t="s">
        <v>414</v>
      </c>
      <c r="BZ27" s="17">
        <v>0</v>
      </c>
      <c r="CA27" s="21">
        <v>45951</v>
      </c>
      <c r="CB27" s="17" t="s">
        <v>438</v>
      </c>
      <c r="CC27" s="17" t="s">
        <v>1983</v>
      </c>
      <c r="CD27" s="21"/>
      <c r="CE27" s="17"/>
      <c r="CF27" s="17" t="s">
        <v>521</v>
      </c>
      <c r="CG27" s="17" t="b">
        <v>0</v>
      </c>
      <c r="CH27" s="17" t="s">
        <v>414</v>
      </c>
      <c r="CI27" s="17">
        <v>0</v>
      </c>
      <c r="CJ27" s="21">
        <v>45852</v>
      </c>
      <c r="CK27" s="21">
        <v>45902</v>
      </c>
      <c r="CL27" s="17" t="s">
        <v>414</v>
      </c>
      <c r="CM27" s="21">
        <v>1</v>
      </c>
      <c r="CN27" s="21">
        <v>1</v>
      </c>
      <c r="CO27" s="21">
        <v>1</v>
      </c>
      <c r="CP27" s="17" t="b">
        <v>0</v>
      </c>
      <c r="CQ27" s="17" t="b">
        <v>1</v>
      </c>
      <c r="CR27" s="17" t="b">
        <v>0</v>
      </c>
      <c r="CS27">
        <v>7100</v>
      </c>
      <c r="CT27" t="s">
        <v>1913</v>
      </c>
      <c r="CU27">
        <v>5461.54</v>
      </c>
      <c r="CV27">
        <v>1638.46</v>
      </c>
      <c r="CW27" s="22"/>
    </row>
    <row r="28" spans="1:101" x14ac:dyDescent="0.25">
      <c r="A28" s="20">
        <v>114</v>
      </c>
      <c r="B28" s="17" t="s">
        <v>427</v>
      </c>
      <c r="C28" s="17" t="s">
        <v>460</v>
      </c>
      <c r="D28" s="17" t="s">
        <v>68</v>
      </c>
      <c r="E28" s="17" t="s">
        <v>632</v>
      </c>
      <c r="F28" s="17" t="s">
        <v>633</v>
      </c>
      <c r="G28" s="17" t="s">
        <v>414</v>
      </c>
      <c r="H28" s="17" t="s">
        <v>421</v>
      </c>
      <c r="I28" s="17" t="s">
        <v>432</v>
      </c>
      <c r="J28" s="17" t="s">
        <v>16</v>
      </c>
      <c r="K28" s="17" t="b">
        <v>0</v>
      </c>
      <c r="L28" s="17" t="s">
        <v>634</v>
      </c>
      <c r="M28" s="21">
        <v>35138</v>
      </c>
      <c r="N28" s="17" t="s">
        <v>414</v>
      </c>
      <c r="O28" s="17" t="s">
        <v>17</v>
      </c>
      <c r="P28" s="17" t="s">
        <v>18</v>
      </c>
      <c r="Q28" s="17">
        <v>1</v>
      </c>
      <c r="R28" s="17" t="s">
        <v>19</v>
      </c>
      <c r="S28" s="17">
        <v>8</v>
      </c>
      <c r="T28" s="17" t="s">
        <v>416</v>
      </c>
      <c r="U28" s="21">
        <v>43272</v>
      </c>
      <c r="V28" s="17" t="s">
        <v>58</v>
      </c>
      <c r="W28" s="21">
        <v>1.2361111111111112</v>
      </c>
      <c r="X28" s="17" t="s">
        <v>635</v>
      </c>
      <c r="Y28" s="17" t="s">
        <v>21</v>
      </c>
      <c r="Z28" s="17">
        <v>834000</v>
      </c>
      <c r="AA28" s="17" t="s">
        <v>69</v>
      </c>
      <c r="AB28" s="17" t="s">
        <v>418</v>
      </c>
      <c r="AC28" s="17">
        <v>166</v>
      </c>
      <c r="AD28" s="21">
        <v>44873</v>
      </c>
      <c r="AE28" s="21">
        <v>45244</v>
      </c>
      <c r="AF28" s="17"/>
      <c r="AG28" s="21">
        <v>45610</v>
      </c>
      <c r="AH28" s="17">
        <v>70495541</v>
      </c>
      <c r="AI28" s="21">
        <v>43364</v>
      </c>
      <c r="AJ28" s="17">
        <v>4110</v>
      </c>
      <c r="AK28" s="17">
        <v>0.29749999999999999</v>
      </c>
      <c r="AL28" s="17">
        <v>1222.73</v>
      </c>
      <c r="AM28" s="17" t="b">
        <v>1</v>
      </c>
      <c r="AN28" s="17" t="b">
        <v>1</v>
      </c>
      <c r="AO28" s="21">
        <v>45388</v>
      </c>
      <c r="AP28" s="21">
        <v>45388</v>
      </c>
      <c r="AQ28" s="17" t="b">
        <v>0</v>
      </c>
      <c r="AR28" s="21">
        <v>45388</v>
      </c>
      <c r="AS28" s="21">
        <v>45388</v>
      </c>
      <c r="AT28" s="21">
        <v>43272</v>
      </c>
      <c r="AU28" s="17" t="b">
        <v>0</v>
      </c>
      <c r="AV28" s="21">
        <v>43364</v>
      </c>
      <c r="AW28" s="17" t="s">
        <v>23</v>
      </c>
      <c r="AX28" s="17" t="s">
        <v>41</v>
      </c>
      <c r="AY28" s="17" t="s">
        <v>101</v>
      </c>
      <c r="AZ28" s="17" t="s">
        <v>414</v>
      </c>
      <c r="BA28" s="21">
        <v>45388</v>
      </c>
      <c r="BB28" s="17">
        <v>0</v>
      </c>
      <c r="BC28" s="17"/>
      <c r="BD28" s="17" t="b">
        <v>0</v>
      </c>
      <c r="BE28" s="17" t="s">
        <v>1984</v>
      </c>
      <c r="BF28" s="21">
        <v>45388</v>
      </c>
      <c r="BG28" s="21">
        <v>45753</v>
      </c>
      <c r="BH28" s="17"/>
      <c r="BI28" s="21">
        <v>47370</v>
      </c>
      <c r="BJ28" s="17">
        <v>0</v>
      </c>
      <c r="BK28" s="17" t="s">
        <v>418</v>
      </c>
      <c r="BL28" s="17" t="s">
        <v>418</v>
      </c>
      <c r="BM28" s="17" t="b">
        <v>1</v>
      </c>
      <c r="BN28" s="17" t="b">
        <v>1</v>
      </c>
      <c r="BO28" s="17" t="b">
        <v>1</v>
      </c>
      <c r="BP28" s="17" t="b">
        <v>1</v>
      </c>
      <c r="BQ28" s="17" t="b">
        <v>1</v>
      </c>
      <c r="BR28" s="17" t="b">
        <v>1</v>
      </c>
      <c r="BS28" s="17" t="b">
        <v>1</v>
      </c>
      <c r="BT28" s="17" t="b">
        <v>1</v>
      </c>
      <c r="BU28" s="17" t="b">
        <v>0</v>
      </c>
      <c r="BV28" s="17">
        <v>0</v>
      </c>
      <c r="BW28" s="21">
        <v>43302</v>
      </c>
      <c r="BX28" s="17" t="s">
        <v>414</v>
      </c>
      <c r="BY28" s="17" t="s">
        <v>414</v>
      </c>
      <c r="BZ28" s="17">
        <v>0</v>
      </c>
      <c r="CA28" s="21">
        <v>45951</v>
      </c>
      <c r="CB28" s="17" t="s">
        <v>438</v>
      </c>
      <c r="CC28" s="17" t="s">
        <v>1985</v>
      </c>
      <c r="CD28" s="21"/>
      <c r="CE28" s="17"/>
      <c r="CF28" s="17" t="s">
        <v>636</v>
      </c>
      <c r="CG28" s="17" t="b">
        <v>0</v>
      </c>
      <c r="CH28" s="17" t="s">
        <v>425</v>
      </c>
      <c r="CI28" s="17">
        <v>0</v>
      </c>
      <c r="CJ28" s="21">
        <v>45853</v>
      </c>
      <c r="CK28" s="21">
        <v>45902</v>
      </c>
      <c r="CL28" s="17" t="s">
        <v>414</v>
      </c>
      <c r="CM28" s="21">
        <v>1</v>
      </c>
      <c r="CN28" s="21">
        <v>1</v>
      </c>
      <c r="CO28" s="21">
        <v>1</v>
      </c>
      <c r="CP28" s="17" t="b">
        <v>0</v>
      </c>
      <c r="CQ28" s="17" t="b">
        <v>1</v>
      </c>
      <c r="CR28" s="17" t="b">
        <v>0</v>
      </c>
      <c r="CS28">
        <v>7500</v>
      </c>
      <c r="CT28" t="s">
        <v>1916</v>
      </c>
      <c r="CU28">
        <v>5769.23</v>
      </c>
      <c r="CV28">
        <v>1730.77</v>
      </c>
      <c r="CW28" s="22"/>
    </row>
    <row r="29" spans="1:101" x14ac:dyDescent="0.25">
      <c r="A29" s="20">
        <v>117</v>
      </c>
      <c r="B29" s="17" t="s">
        <v>620</v>
      </c>
      <c r="C29" s="17" t="s">
        <v>550</v>
      </c>
      <c r="D29" s="17" t="s">
        <v>70</v>
      </c>
      <c r="E29" s="17" t="s">
        <v>638</v>
      </c>
      <c r="F29" s="17" t="s">
        <v>639</v>
      </c>
      <c r="G29" s="17" t="s">
        <v>414</v>
      </c>
      <c r="H29" s="17" t="s">
        <v>640</v>
      </c>
      <c r="I29" s="17" t="s">
        <v>432</v>
      </c>
      <c r="J29" s="17" t="s">
        <v>16</v>
      </c>
      <c r="K29" s="17" t="b">
        <v>0</v>
      </c>
      <c r="L29" s="17" t="s">
        <v>641</v>
      </c>
      <c r="M29" s="21">
        <v>35751</v>
      </c>
      <c r="N29" s="17" t="s">
        <v>642</v>
      </c>
      <c r="O29" s="17" t="s">
        <v>17</v>
      </c>
      <c r="P29" s="17" t="s">
        <v>18</v>
      </c>
      <c r="Q29" s="17">
        <v>2</v>
      </c>
      <c r="R29" s="17" t="s">
        <v>50</v>
      </c>
      <c r="S29" s="17">
        <v>42</v>
      </c>
      <c r="T29" s="17" t="s">
        <v>643</v>
      </c>
      <c r="U29" s="21">
        <v>42985</v>
      </c>
      <c r="V29" s="17" t="s">
        <v>20</v>
      </c>
      <c r="W29" s="21">
        <v>1.2847222222222223</v>
      </c>
      <c r="X29" s="17" t="s">
        <v>644</v>
      </c>
      <c r="Y29" s="17" t="s">
        <v>21</v>
      </c>
      <c r="Z29" s="17">
        <v>834000</v>
      </c>
      <c r="AA29" s="17" t="s">
        <v>69</v>
      </c>
      <c r="AB29" s="17" t="s">
        <v>443</v>
      </c>
      <c r="AC29" s="17">
        <v>0</v>
      </c>
      <c r="AD29" s="21">
        <v>1</v>
      </c>
      <c r="AE29" s="21">
        <v>2</v>
      </c>
      <c r="AF29" s="17"/>
      <c r="AG29" s="21">
        <v>368</v>
      </c>
      <c r="AH29" s="17">
        <v>78101658</v>
      </c>
      <c r="AI29" s="21">
        <v>44473</v>
      </c>
      <c r="AJ29" s="17">
        <v>4115</v>
      </c>
      <c r="AK29" s="17">
        <v>0.29749999999999999</v>
      </c>
      <c r="AL29" s="17">
        <v>1224.21</v>
      </c>
      <c r="AM29" s="17" t="b">
        <v>1</v>
      </c>
      <c r="AN29" s="17" t="b">
        <v>1</v>
      </c>
      <c r="AO29" s="21">
        <v>44550</v>
      </c>
      <c r="AP29" s="21">
        <v>44556</v>
      </c>
      <c r="AQ29" s="17" t="b">
        <v>0</v>
      </c>
      <c r="AR29" s="21">
        <v>45477</v>
      </c>
      <c r="AS29" s="21">
        <v>45477</v>
      </c>
      <c r="AT29" s="21">
        <v>44381</v>
      </c>
      <c r="AU29" s="17" t="b">
        <v>0</v>
      </c>
      <c r="AV29" s="21">
        <v>43076</v>
      </c>
      <c r="AW29" s="17" t="s">
        <v>41</v>
      </c>
      <c r="AX29" s="17" t="s">
        <v>23</v>
      </c>
      <c r="AY29" s="17" t="s">
        <v>41</v>
      </c>
      <c r="AZ29" s="17" t="s">
        <v>414</v>
      </c>
      <c r="BA29" s="21">
        <v>45477</v>
      </c>
      <c r="BB29" s="17">
        <v>0</v>
      </c>
      <c r="BC29" s="17"/>
      <c r="BD29" s="17" t="b">
        <v>0</v>
      </c>
      <c r="BE29" s="17" t="s">
        <v>1986</v>
      </c>
      <c r="BF29" s="21">
        <v>45477</v>
      </c>
      <c r="BG29" s="21">
        <v>45842</v>
      </c>
      <c r="BH29" s="17"/>
      <c r="BI29" s="21">
        <v>32874</v>
      </c>
      <c r="BJ29" s="17">
        <v>0</v>
      </c>
      <c r="BK29" s="17" t="s">
        <v>443</v>
      </c>
      <c r="BL29" s="17" t="s">
        <v>557</v>
      </c>
      <c r="BM29" s="17" t="b">
        <v>1</v>
      </c>
      <c r="BN29" s="17" t="b">
        <v>1</v>
      </c>
      <c r="BO29" s="17" t="b">
        <v>1</v>
      </c>
      <c r="BP29" s="17" t="b">
        <v>1</v>
      </c>
      <c r="BQ29" s="17" t="b">
        <v>1</v>
      </c>
      <c r="BR29" s="17" t="b">
        <v>0</v>
      </c>
      <c r="BS29" s="17" t="b">
        <v>1</v>
      </c>
      <c r="BT29" s="17" t="b">
        <v>1</v>
      </c>
      <c r="BU29" s="17" t="b">
        <v>1</v>
      </c>
      <c r="BV29" s="17">
        <v>0</v>
      </c>
      <c r="BW29" s="21">
        <v>43015</v>
      </c>
      <c r="BX29" s="17" t="s">
        <v>414</v>
      </c>
      <c r="BY29" s="17" t="s">
        <v>414</v>
      </c>
      <c r="BZ29" s="17">
        <v>0</v>
      </c>
      <c r="CA29" s="21">
        <v>45951</v>
      </c>
      <c r="CB29" s="17" t="s">
        <v>438</v>
      </c>
      <c r="CC29" s="17" t="s">
        <v>1987</v>
      </c>
      <c r="CD29" s="21"/>
      <c r="CE29" s="17"/>
      <c r="CF29" s="17" t="s">
        <v>645</v>
      </c>
      <c r="CG29" s="17" t="b">
        <v>0</v>
      </c>
      <c r="CH29" s="17" t="s">
        <v>425</v>
      </c>
      <c r="CI29" s="17">
        <v>0</v>
      </c>
      <c r="CJ29" s="21">
        <v>45853</v>
      </c>
      <c r="CK29" s="21">
        <v>45902</v>
      </c>
      <c r="CL29" s="17" t="s">
        <v>414</v>
      </c>
      <c r="CM29" s="21">
        <v>1</v>
      </c>
      <c r="CN29" s="21">
        <v>1</v>
      </c>
      <c r="CO29" s="21">
        <v>1</v>
      </c>
      <c r="CP29" s="17" t="b">
        <v>0</v>
      </c>
      <c r="CQ29" s="17" t="b">
        <v>1</v>
      </c>
      <c r="CR29" s="17" t="b">
        <v>0</v>
      </c>
      <c r="CS29">
        <v>7400</v>
      </c>
      <c r="CT29" t="s">
        <v>1917</v>
      </c>
      <c r="CU29">
        <v>5692.31</v>
      </c>
      <c r="CV29">
        <v>1707.69</v>
      </c>
      <c r="CW29" s="22"/>
    </row>
    <row r="30" spans="1:101" x14ac:dyDescent="0.25">
      <c r="A30" s="20">
        <v>118</v>
      </c>
      <c r="B30" s="17" t="s">
        <v>646</v>
      </c>
      <c r="C30" s="17" t="s">
        <v>620</v>
      </c>
      <c r="D30" s="17" t="s">
        <v>71</v>
      </c>
      <c r="E30" s="17" t="s">
        <v>647</v>
      </c>
      <c r="F30" s="17" t="s">
        <v>648</v>
      </c>
      <c r="G30" s="17" t="s">
        <v>414</v>
      </c>
      <c r="H30" s="17" t="s">
        <v>606</v>
      </c>
      <c r="I30" s="17" t="s">
        <v>432</v>
      </c>
      <c r="J30" s="17" t="s">
        <v>16</v>
      </c>
      <c r="K30" s="17" t="b">
        <v>0</v>
      </c>
      <c r="L30" s="17" t="s">
        <v>649</v>
      </c>
      <c r="M30" s="21">
        <v>34352</v>
      </c>
      <c r="N30" s="17" t="s">
        <v>414</v>
      </c>
      <c r="O30" s="17" t="s">
        <v>17</v>
      </c>
      <c r="P30" s="17" t="s">
        <v>18</v>
      </c>
      <c r="Q30" s="17">
        <v>1</v>
      </c>
      <c r="R30" s="17" t="s">
        <v>19</v>
      </c>
      <c r="S30" s="17">
        <v>9</v>
      </c>
      <c r="T30" s="17" t="s">
        <v>434</v>
      </c>
      <c r="U30" s="21">
        <v>43101</v>
      </c>
      <c r="V30" s="17" t="s">
        <v>61</v>
      </c>
      <c r="W30" s="21">
        <v>1.28125</v>
      </c>
      <c r="X30" s="17" t="s">
        <v>650</v>
      </c>
      <c r="Y30" s="17" t="s">
        <v>21</v>
      </c>
      <c r="Z30" s="17">
        <v>949900</v>
      </c>
      <c r="AA30" s="17" t="s">
        <v>22</v>
      </c>
      <c r="AB30" s="17" t="s">
        <v>418</v>
      </c>
      <c r="AC30" s="17">
        <v>95</v>
      </c>
      <c r="AD30" s="21">
        <v>43884</v>
      </c>
      <c r="AE30" s="21">
        <v>45077</v>
      </c>
      <c r="AF30" s="17"/>
      <c r="AG30" s="21">
        <v>45443</v>
      </c>
      <c r="AH30" s="17">
        <v>51173455</v>
      </c>
      <c r="AI30" s="21">
        <v>43191</v>
      </c>
      <c r="AJ30" s="17">
        <v>4115</v>
      </c>
      <c r="AK30" s="17">
        <v>0.29749999999999999</v>
      </c>
      <c r="AL30" s="17">
        <v>1224.21</v>
      </c>
      <c r="AM30" s="17" t="b">
        <v>1</v>
      </c>
      <c r="AN30" s="17" t="b">
        <v>1</v>
      </c>
      <c r="AO30" s="21">
        <v>45477</v>
      </c>
      <c r="AP30" s="21">
        <v>45477</v>
      </c>
      <c r="AQ30" s="17" t="b">
        <v>0</v>
      </c>
      <c r="AR30" s="21">
        <v>45477</v>
      </c>
      <c r="AS30" s="21">
        <v>45477</v>
      </c>
      <c r="AT30" s="21">
        <v>43101</v>
      </c>
      <c r="AU30" s="17" t="b">
        <v>0</v>
      </c>
      <c r="AV30" s="21">
        <v>43191</v>
      </c>
      <c r="AW30" s="17" t="s">
        <v>23</v>
      </c>
      <c r="AX30" s="17" t="s">
        <v>41</v>
      </c>
      <c r="AY30" s="17" t="s">
        <v>41</v>
      </c>
      <c r="AZ30" s="17" t="s">
        <v>414</v>
      </c>
      <c r="BA30" s="21">
        <v>45477</v>
      </c>
      <c r="BB30" s="17">
        <v>0</v>
      </c>
      <c r="BC30" s="17"/>
      <c r="BD30" s="17" t="b">
        <v>0</v>
      </c>
      <c r="BE30" s="17" t="s">
        <v>1988</v>
      </c>
      <c r="BF30" s="21">
        <v>45477</v>
      </c>
      <c r="BG30" s="21">
        <v>45842</v>
      </c>
      <c r="BH30" s="17"/>
      <c r="BI30" s="21">
        <v>47759</v>
      </c>
      <c r="BJ30" s="17">
        <v>0</v>
      </c>
      <c r="BK30" s="17" t="s">
        <v>418</v>
      </c>
      <c r="BL30" s="17" t="s">
        <v>459</v>
      </c>
      <c r="BM30" s="17" t="b">
        <v>1</v>
      </c>
      <c r="BN30" s="17" t="b">
        <v>0</v>
      </c>
      <c r="BO30" s="17" t="b">
        <v>1</v>
      </c>
      <c r="BP30" s="17" t="b">
        <v>1</v>
      </c>
      <c r="BQ30" s="17" t="b">
        <v>1</v>
      </c>
      <c r="BR30" s="17" t="b">
        <v>1</v>
      </c>
      <c r="BS30" s="17" t="b">
        <v>1</v>
      </c>
      <c r="BT30" s="17" t="b">
        <v>1</v>
      </c>
      <c r="BU30" s="17" t="b">
        <v>0</v>
      </c>
      <c r="BV30" s="17">
        <v>0</v>
      </c>
      <c r="BW30" s="21">
        <v>43132</v>
      </c>
      <c r="BX30" s="17" t="s">
        <v>414</v>
      </c>
      <c r="BY30" s="17" t="s">
        <v>414</v>
      </c>
      <c r="BZ30" s="17">
        <v>0</v>
      </c>
      <c r="CA30" s="21">
        <v>45951</v>
      </c>
      <c r="CB30" s="17" t="s">
        <v>438</v>
      </c>
      <c r="CC30" s="17" t="s">
        <v>1989</v>
      </c>
      <c r="CD30" s="21"/>
      <c r="CE30" s="17"/>
      <c r="CF30" s="17" t="s">
        <v>651</v>
      </c>
      <c r="CG30" s="17" t="b">
        <v>0</v>
      </c>
      <c r="CH30" s="17" t="s">
        <v>652</v>
      </c>
      <c r="CI30" s="17">
        <v>0</v>
      </c>
      <c r="CJ30" s="21">
        <v>45839</v>
      </c>
      <c r="CK30" s="21">
        <v>45902</v>
      </c>
      <c r="CL30" s="17" t="s">
        <v>414</v>
      </c>
      <c r="CM30" s="21">
        <v>1</v>
      </c>
      <c r="CN30" s="21">
        <v>1</v>
      </c>
      <c r="CO30" s="21">
        <v>1</v>
      </c>
      <c r="CP30" s="17" t="b">
        <v>0</v>
      </c>
      <c r="CQ30" s="17" t="b">
        <v>1</v>
      </c>
      <c r="CR30" s="17" t="b">
        <v>0</v>
      </c>
      <c r="CS30">
        <v>7300</v>
      </c>
      <c r="CT30" t="s">
        <v>1911</v>
      </c>
      <c r="CU30">
        <v>5615.38</v>
      </c>
      <c r="CV30">
        <v>1684.62</v>
      </c>
      <c r="CW30" s="22"/>
    </row>
    <row r="31" spans="1:101" x14ac:dyDescent="0.25">
      <c r="A31" s="20">
        <v>120</v>
      </c>
      <c r="B31" s="17" t="s">
        <v>653</v>
      </c>
      <c r="C31" s="17" t="s">
        <v>570</v>
      </c>
      <c r="D31" s="17" t="s">
        <v>72</v>
      </c>
      <c r="E31" s="17" t="s">
        <v>654</v>
      </c>
      <c r="F31" s="17" t="s">
        <v>655</v>
      </c>
      <c r="G31" s="17" t="s">
        <v>414</v>
      </c>
      <c r="H31" s="17" t="s">
        <v>421</v>
      </c>
      <c r="I31" s="17" t="s">
        <v>432</v>
      </c>
      <c r="J31" s="17" t="s">
        <v>16</v>
      </c>
      <c r="K31" s="17" t="b">
        <v>0</v>
      </c>
      <c r="L31" s="17" t="s">
        <v>656</v>
      </c>
      <c r="M31" s="21">
        <v>35760</v>
      </c>
      <c r="N31" s="17" t="s">
        <v>414</v>
      </c>
      <c r="O31" s="17" t="s">
        <v>17</v>
      </c>
      <c r="P31" s="17" t="s">
        <v>18</v>
      </c>
      <c r="Q31" s="17">
        <v>1</v>
      </c>
      <c r="R31" s="17" t="s">
        <v>19</v>
      </c>
      <c r="S31" s="17">
        <v>10</v>
      </c>
      <c r="T31" s="17" t="s">
        <v>657</v>
      </c>
      <c r="U31" s="21">
        <v>43212</v>
      </c>
      <c r="V31" s="17" t="s">
        <v>61</v>
      </c>
      <c r="W31" s="21">
        <v>1.6180555555555554</v>
      </c>
      <c r="X31" s="17" t="s">
        <v>658</v>
      </c>
      <c r="Y31" s="17" t="s">
        <v>21</v>
      </c>
      <c r="Z31" s="17">
        <v>949900</v>
      </c>
      <c r="AA31" s="17" t="s">
        <v>22</v>
      </c>
      <c r="AB31" s="17" t="s">
        <v>418</v>
      </c>
      <c r="AC31" s="17">
        <v>167</v>
      </c>
      <c r="AD31" s="21">
        <v>44873</v>
      </c>
      <c r="AE31" s="21">
        <v>45244</v>
      </c>
      <c r="AF31" s="17"/>
      <c r="AG31" s="21">
        <v>45610</v>
      </c>
      <c r="AH31" s="17">
        <v>76309678</v>
      </c>
      <c r="AI31" s="21">
        <v>43344</v>
      </c>
      <c r="AJ31" s="17">
        <v>4115</v>
      </c>
      <c r="AK31" s="17">
        <v>0.29749999999999999</v>
      </c>
      <c r="AL31" s="17">
        <v>1224.21</v>
      </c>
      <c r="AM31" s="17" t="b">
        <v>1</v>
      </c>
      <c r="AN31" s="17" t="b">
        <v>1</v>
      </c>
      <c r="AO31" s="21">
        <v>45398</v>
      </c>
      <c r="AP31" s="21">
        <v>45398</v>
      </c>
      <c r="AQ31" s="17" t="b">
        <v>0</v>
      </c>
      <c r="AR31" s="21">
        <v>45398</v>
      </c>
      <c r="AS31" s="21">
        <v>45398</v>
      </c>
      <c r="AT31" s="21">
        <v>43252</v>
      </c>
      <c r="AU31" s="17" t="b">
        <v>0</v>
      </c>
      <c r="AV31" s="21">
        <v>43303</v>
      </c>
      <c r="AW31" s="17" t="s">
        <v>23</v>
      </c>
      <c r="AX31" s="17" t="s">
        <v>41</v>
      </c>
      <c r="AY31" s="17" t="s">
        <v>414</v>
      </c>
      <c r="AZ31" s="17" t="s">
        <v>414</v>
      </c>
      <c r="BA31" s="21">
        <v>45398</v>
      </c>
      <c r="BB31" s="17">
        <v>0</v>
      </c>
      <c r="BC31" s="17"/>
      <c r="BD31" s="17" t="b">
        <v>0</v>
      </c>
      <c r="BE31" s="17" t="s">
        <v>1990</v>
      </c>
      <c r="BF31" s="21">
        <v>45398</v>
      </c>
      <c r="BG31" s="21">
        <v>45763</v>
      </c>
      <c r="BH31" s="17"/>
      <c r="BI31" s="21">
        <v>47871</v>
      </c>
      <c r="BJ31" s="17">
        <v>0</v>
      </c>
      <c r="BK31" s="17" t="s">
        <v>443</v>
      </c>
      <c r="BL31" s="17" t="s">
        <v>443</v>
      </c>
      <c r="BM31" s="17" t="b">
        <v>1</v>
      </c>
      <c r="BN31" s="17" t="b">
        <v>0</v>
      </c>
      <c r="BO31" s="17" t="b">
        <v>0</v>
      </c>
      <c r="BP31" s="17" t="b">
        <v>1</v>
      </c>
      <c r="BQ31" s="17" t="b">
        <v>0</v>
      </c>
      <c r="BR31" s="17" t="b">
        <v>1</v>
      </c>
      <c r="BS31" s="17" t="b">
        <v>0</v>
      </c>
      <c r="BT31" s="17" t="b">
        <v>1</v>
      </c>
      <c r="BU31" s="17" t="b">
        <v>0</v>
      </c>
      <c r="BV31" s="17">
        <v>0</v>
      </c>
      <c r="BW31" s="21">
        <v>43242</v>
      </c>
      <c r="BX31" s="17" t="s">
        <v>414</v>
      </c>
      <c r="BY31" s="17" t="s">
        <v>414</v>
      </c>
      <c r="BZ31" s="17">
        <v>0</v>
      </c>
      <c r="CA31" s="21">
        <v>45951</v>
      </c>
      <c r="CB31" s="17" t="s">
        <v>438</v>
      </c>
      <c r="CC31" s="17" t="s">
        <v>1991</v>
      </c>
      <c r="CD31" s="21"/>
      <c r="CE31" s="17"/>
      <c r="CF31" s="17" t="s">
        <v>659</v>
      </c>
      <c r="CG31" s="17" t="b">
        <v>0</v>
      </c>
      <c r="CH31" s="17" t="s">
        <v>425</v>
      </c>
      <c r="CI31" s="17">
        <v>0</v>
      </c>
      <c r="CJ31" s="21">
        <v>45843</v>
      </c>
      <c r="CK31" s="21">
        <v>1</v>
      </c>
      <c r="CL31" s="17" t="s">
        <v>414</v>
      </c>
      <c r="CM31" s="21">
        <v>1</v>
      </c>
      <c r="CN31" s="21">
        <v>1</v>
      </c>
      <c r="CO31" s="21">
        <v>1</v>
      </c>
      <c r="CP31" s="17" t="b">
        <v>0</v>
      </c>
      <c r="CQ31" s="17" t="b">
        <v>1</v>
      </c>
      <c r="CR31" s="17" t="b">
        <v>0</v>
      </c>
      <c r="CS31">
        <v>7300</v>
      </c>
      <c r="CT31" t="s">
        <v>1911</v>
      </c>
      <c r="CU31">
        <v>5615.38</v>
      </c>
      <c r="CV31">
        <v>1684.62</v>
      </c>
      <c r="CW31" s="22"/>
    </row>
    <row r="32" spans="1:101" x14ac:dyDescent="0.25">
      <c r="A32" s="20">
        <v>122</v>
      </c>
      <c r="B32" s="17" t="s">
        <v>662</v>
      </c>
      <c r="C32" s="17" t="s">
        <v>620</v>
      </c>
      <c r="D32" s="17" t="s">
        <v>73</v>
      </c>
      <c r="E32" s="17" t="s">
        <v>663</v>
      </c>
      <c r="F32" s="17" t="s">
        <v>664</v>
      </c>
      <c r="G32" s="17" t="s">
        <v>414</v>
      </c>
      <c r="H32" s="17" t="s">
        <v>421</v>
      </c>
      <c r="I32" s="17" t="s">
        <v>432</v>
      </c>
      <c r="J32" s="17" t="s">
        <v>16</v>
      </c>
      <c r="K32" s="17" t="b">
        <v>0</v>
      </c>
      <c r="L32" s="17" t="s">
        <v>665</v>
      </c>
      <c r="M32" s="21">
        <v>35186</v>
      </c>
      <c r="N32" s="17" t="s">
        <v>666</v>
      </c>
      <c r="O32" s="17" t="s">
        <v>17</v>
      </c>
      <c r="P32" s="17" t="s">
        <v>18</v>
      </c>
      <c r="Q32" s="17">
        <v>1</v>
      </c>
      <c r="R32" s="17" t="s">
        <v>19</v>
      </c>
      <c r="S32" s="17">
        <v>9</v>
      </c>
      <c r="T32" s="17" t="s">
        <v>434</v>
      </c>
      <c r="U32" s="21">
        <v>43291</v>
      </c>
      <c r="V32" s="17" t="s">
        <v>58</v>
      </c>
      <c r="W32" s="21">
        <v>1.5763888888888888</v>
      </c>
      <c r="X32" s="17" t="s">
        <v>58</v>
      </c>
      <c r="Y32" s="17" t="s">
        <v>21</v>
      </c>
      <c r="Z32" s="17">
        <v>0</v>
      </c>
      <c r="AA32" s="17" t="s">
        <v>414</v>
      </c>
      <c r="AB32" s="17" t="s">
        <v>418</v>
      </c>
      <c r="AC32" s="17">
        <v>168</v>
      </c>
      <c r="AD32" s="21">
        <v>44873</v>
      </c>
      <c r="AE32" s="21">
        <v>45244</v>
      </c>
      <c r="AF32" s="17"/>
      <c r="AG32" s="21">
        <v>45610</v>
      </c>
      <c r="AH32" s="17">
        <v>77709285</v>
      </c>
      <c r="AI32" s="21">
        <v>44033</v>
      </c>
      <c r="AJ32" s="17">
        <v>4115</v>
      </c>
      <c r="AK32" s="17">
        <v>0.29749999999999999</v>
      </c>
      <c r="AL32" s="17">
        <v>1224.21</v>
      </c>
      <c r="AM32" s="17" t="b">
        <v>1</v>
      </c>
      <c r="AN32" s="17" t="b">
        <v>1</v>
      </c>
      <c r="AO32" s="21">
        <v>45371</v>
      </c>
      <c r="AP32" s="21">
        <v>45371</v>
      </c>
      <c r="AQ32" s="17" t="b">
        <v>0</v>
      </c>
      <c r="AR32" s="21">
        <v>45371</v>
      </c>
      <c r="AS32" s="21">
        <v>45371</v>
      </c>
      <c r="AT32" s="21">
        <v>43942</v>
      </c>
      <c r="AU32" s="17" t="b">
        <v>0</v>
      </c>
      <c r="AV32" s="21">
        <v>43383</v>
      </c>
      <c r="AW32" s="17" t="s">
        <v>41</v>
      </c>
      <c r="AX32" s="17" t="s">
        <v>23</v>
      </c>
      <c r="AY32" s="17" t="s">
        <v>414</v>
      </c>
      <c r="AZ32" s="17" t="s">
        <v>414</v>
      </c>
      <c r="BA32" s="21">
        <v>45371</v>
      </c>
      <c r="BB32" s="17">
        <v>0</v>
      </c>
      <c r="BC32" s="17"/>
      <c r="BD32" s="17" t="b">
        <v>0</v>
      </c>
      <c r="BE32" s="17" t="s">
        <v>1992</v>
      </c>
      <c r="BF32" s="21">
        <v>45371</v>
      </c>
      <c r="BG32" s="21">
        <v>45736</v>
      </c>
      <c r="BH32" s="17"/>
      <c r="BI32" s="21">
        <v>46294</v>
      </c>
      <c r="BJ32" s="17">
        <v>0</v>
      </c>
      <c r="BK32" s="17" t="s">
        <v>418</v>
      </c>
      <c r="BL32" s="17" t="s">
        <v>418</v>
      </c>
      <c r="BM32" s="17" t="b">
        <v>1</v>
      </c>
      <c r="BN32" s="17" t="b">
        <v>1</v>
      </c>
      <c r="BO32" s="17" t="b">
        <v>1</v>
      </c>
      <c r="BP32" s="17" t="b">
        <v>1</v>
      </c>
      <c r="BQ32" s="17" t="b">
        <v>1</v>
      </c>
      <c r="BR32" s="17" t="b">
        <v>1</v>
      </c>
      <c r="BS32" s="17" t="b">
        <v>1</v>
      </c>
      <c r="BT32" s="17" t="b">
        <v>1</v>
      </c>
      <c r="BU32" s="17" t="b">
        <v>0</v>
      </c>
      <c r="BV32" s="17">
        <v>0</v>
      </c>
      <c r="BW32" s="21">
        <v>43322</v>
      </c>
      <c r="BX32" s="17" t="s">
        <v>414</v>
      </c>
      <c r="BY32" s="17" t="s">
        <v>414</v>
      </c>
      <c r="BZ32" s="17">
        <v>0</v>
      </c>
      <c r="CA32" s="21">
        <v>45951</v>
      </c>
      <c r="CB32" s="17" t="s">
        <v>438</v>
      </c>
      <c r="CC32" s="17" t="s">
        <v>1993</v>
      </c>
      <c r="CD32" s="21"/>
      <c r="CE32" s="17"/>
      <c r="CF32" s="17" t="s">
        <v>667</v>
      </c>
      <c r="CG32" s="17" t="b">
        <v>0</v>
      </c>
      <c r="CH32" s="17" t="s">
        <v>425</v>
      </c>
      <c r="CI32" s="17">
        <v>0</v>
      </c>
      <c r="CJ32" s="21">
        <v>45840</v>
      </c>
      <c r="CK32" s="21">
        <v>45902</v>
      </c>
      <c r="CL32" s="17" t="s">
        <v>414</v>
      </c>
      <c r="CM32" s="21">
        <v>1</v>
      </c>
      <c r="CN32" s="21">
        <v>1</v>
      </c>
      <c r="CO32" s="21">
        <v>1</v>
      </c>
      <c r="CP32" s="17" t="b">
        <v>0</v>
      </c>
      <c r="CQ32" s="17" t="b">
        <v>1</v>
      </c>
      <c r="CR32" s="17" t="b">
        <v>0</v>
      </c>
      <c r="CS32">
        <v>7300</v>
      </c>
      <c r="CT32" t="s">
        <v>1911</v>
      </c>
      <c r="CU32">
        <v>5615.38</v>
      </c>
      <c r="CV32">
        <v>1684.62</v>
      </c>
      <c r="CW32" s="22"/>
    </row>
    <row r="33" spans="1:101" x14ac:dyDescent="0.25">
      <c r="A33" s="20">
        <v>125</v>
      </c>
      <c r="B33" s="17" t="s">
        <v>669</v>
      </c>
      <c r="C33" s="17" t="s">
        <v>670</v>
      </c>
      <c r="D33" s="17" t="s">
        <v>74</v>
      </c>
      <c r="E33" s="17" t="s">
        <v>671</v>
      </c>
      <c r="F33" s="17" t="s">
        <v>672</v>
      </c>
      <c r="G33" s="17" t="s">
        <v>414</v>
      </c>
      <c r="H33" s="17" t="s">
        <v>673</v>
      </c>
      <c r="I33" s="17" t="s">
        <v>432</v>
      </c>
      <c r="J33" s="17" t="s">
        <v>16</v>
      </c>
      <c r="K33" s="17" t="b">
        <v>0</v>
      </c>
      <c r="L33" s="17" t="s">
        <v>674</v>
      </c>
      <c r="M33" s="21">
        <v>31291</v>
      </c>
      <c r="N33" s="17" t="s">
        <v>414</v>
      </c>
      <c r="O33" s="17" t="s">
        <v>17</v>
      </c>
      <c r="P33" s="17" t="s">
        <v>18</v>
      </c>
      <c r="Q33" s="17">
        <v>1</v>
      </c>
      <c r="R33" s="17" t="s">
        <v>19</v>
      </c>
      <c r="S33" s="17">
        <v>9</v>
      </c>
      <c r="T33" s="17" t="s">
        <v>434</v>
      </c>
      <c r="U33" s="21">
        <v>43252</v>
      </c>
      <c r="V33" s="17" t="s">
        <v>58</v>
      </c>
      <c r="W33" s="21">
        <v>1.9201388888888888</v>
      </c>
      <c r="X33" s="17" t="s">
        <v>58</v>
      </c>
      <c r="Y33" s="17" t="s">
        <v>21</v>
      </c>
      <c r="Z33" s="17">
        <v>949900</v>
      </c>
      <c r="AA33" s="17" t="s">
        <v>22</v>
      </c>
      <c r="AB33" s="17" t="s">
        <v>418</v>
      </c>
      <c r="AC33" s="17">
        <v>169</v>
      </c>
      <c r="AD33" s="21">
        <v>44873</v>
      </c>
      <c r="AE33" s="21">
        <v>45244</v>
      </c>
      <c r="AF33" s="17"/>
      <c r="AG33" s="21">
        <v>45610</v>
      </c>
      <c r="AH33" s="17">
        <v>56665344</v>
      </c>
      <c r="AI33" s="21">
        <v>43344</v>
      </c>
      <c r="AJ33" s="17">
        <v>4121</v>
      </c>
      <c r="AK33" s="17">
        <v>0.29749999999999999</v>
      </c>
      <c r="AL33" s="17">
        <v>1226</v>
      </c>
      <c r="AM33" s="17" t="b">
        <v>1</v>
      </c>
      <c r="AN33" s="17" t="b">
        <v>1</v>
      </c>
      <c r="AO33" s="21">
        <v>45371</v>
      </c>
      <c r="AP33" s="21">
        <v>45371</v>
      </c>
      <c r="AQ33" s="17" t="b">
        <v>0</v>
      </c>
      <c r="AR33" s="21">
        <v>45371</v>
      </c>
      <c r="AS33" s="21">
        <v>45371</v>
      </c>
      <c r="AT33" s="21">
        <v>43252</v>
      </c>
      <c r="AU33" s="17" t="b">
        <v>0</v>
      </c>
      <c r="AV33" s="21">
        <v>43344</v>
      </c>
      <c r="AW33" s="17" t="s">
        <v>41</v>
      </c>
      <c r="AX33" s="17" t="s">
        <v>23</v>
      </c>
      <c r="AY33" s="17" t="s">
        <v>41</v>
      </c>
      <c r="AZ33" s="17" t="s">
        <v>414</v>
      </c>
      <c r="BA33" s="21">
        <v>45371</v>
      </c>
      <c r="BB33" s="17">
        <v>0</v>
      </c>
      <c r="BC33" s="17"/>
      <c r="BD33" s="17" t="b">
        <v>0</v>
      </c>
      <c r="BE33" s="17" t="s">
        <v>1994</v>
      </c>
      <c r="BF33" s="21">
        <v>45371</v>
      </c>
      <c r="BG33" s="21">
        <v>45736</v>
      </c>
      <c r="BH33" s="17"/>
      <c r="BI33" s="21">
        <v>47133</v>
      </c>
      <c r="BJ33" s="17">
        <v>0</v>
      </c>
      <c r="BK33" s="17" t="s">
        <v>418</v>
      </c>
      <c r="BL33" s="17" t="s">
        <v>418</v>
      </c>
      <c r="BM33" s="17" t="b">
        <v>1</v>
      </c>
      <c r="BN33" s="17" t="b">
        <v>0</v>
      </c>
      <c r="BO33" s="17" t="b">
        <v>1</v>
      </c>
      <c r="BP33" s="17" t="b">
        <v>1</v>
      </c>
      <c r="BQ33" s="17" t="b">
        <v>1</v>
      </c>
      <c r="BR33" s="17" t="b">
        <v>1</v>
      </c>
      <c r="BS33" s="17" t="b">
        <v>0</v>
      </c>
      <c r="BT33" s="17" t="b">
        <v>1</v>
      </c>
      <c r="BU33" s="17" t="b">
        <v>0</v>
      </c>
      <c r="BV33" s="17">
        <v>0</v>
      </c>
      <c r="BW33" s="21">
        <v>43282</v>
      </c>
      <c r="BX33" s="17" t="s">
        <v>414</v>
      </c>
      <c r="BY33" s="17" t="s">
        <v>414</v>
      </c>
      <c r="BZ33" s="17">
        <v>0</v>
      </c>
      <c r="CA33" s="21">
        <v>45951</v>
      </c>
      <c r="CB33" s="17" t="s">
        <v>438</v>
      </c>
      <c r="CC33" s="17" t="s">
        <v>1995</v>
      </c>
      <c r="CD33" s="21"/>
      <c r="CE33" s="17"/>
      <c r="CF33" s="17" t="s">
        <v>675</v>
      </c>
      <c r="CG33" s="17" t="b">
        <v>0</v>
      </c>
      <c r="CH33" s="17" t="s">
        <v>425</v>
      </c>
      <c r="CI33" s="17">
        <v>0</v>
      </c>
      <c r="CJ33" s="21">
        <v>45845</v>
      </c>
      <c r="CK33" s="21">
        <v>45902</v>
      </c>
      <c r="CL33" s="17" t="s">
        <v>414</v>
      </c>
      <c r="CM33" s="21">
        <v>1</v>
      </c>
      <c r="CN33" s="21">
        <v>1</v>
      </c>
      <c r="CO33" s="21">
        <v>1</v>
      </c>
      <c r="CP33" s="17" t="b">
        <v>0</v>
      </c>
      <c r="CQ33" s="17" t="b">
        <v>1</v>
      </c>
      <c r="CR33" s="17" t="b">
        <v>0</v>
      </c>
      <c r="CS33">
        <v>7300</v>
      </c>
      <c r="CT33" t="s">
        <v>1911</v>
      </c>
      <c r="CU33">
        <v>5615.38</v>
      </c>
      <c r="CV33">
        <v>1684.62</v>
      </c>
      <c r="CW33" s="22"/>
    </row>
    <row r="34" spans="1:101" x14ac:dyDescent="0.25">
      <c r="A34" s="20">
        <v>134</v>
      </c>
      <c r="B34" s="17" t="s">
        <v>678</v>
      </c>
      <c r="C34" s="17" t="s">
        <v>620</v>
      </c>
      <c r="D34" s="17" t="s">
        <v>75</v>
      </c>
      <c r="E34" s="17" t="s">
        <v>679</v>
      </c>
      <c r="F34" s="17" t="s">
        <v>680</v>
      </c>
      <c r="G34" s="17" t="s">
        <v>414</v>
      </c>
      <c r="H34" s="17" t="s">
        <v>624</v>
      </c>
      <c r="I34" s="17" t="s">
        <v>432</v>
      </c>
      <c r="J34" s="17" t="s">
        <v>25</v>
      </c>
      <c r="K34" s="17" t="b">
        <v>0</v>
      </c>
      <c r="L34" s="17" t="s">
        <v>681</v>
      </c>
      <c r="M34" s="21">
        <v>36434</v>
      </c>
      <c r="N34" s="17" t="s">
        <v>414</v>
      </c>
      <c r="O34" s="17" t="s">
        <v>26</v>
      </c>
      <c r="P34" s="17" t="s">
        <v>18</v>
      </c>
      <c r="Q34" s="17">
        <v>1</v>
      </c>
      <c r="R34" s="17" t="s">
        <v>19</v>
      </c>
      <c r="S34" s="17">
        <v>2</v>
      </c>
      <c r="T34" s="17" t="s">
        <v>441</v>
      </c>
      <c r="U34" s="21">
        <v>43344</v>
      </c>
      <c r="V34" s="17" t="s">
        <v>20</v>
      </c>
      <c r="W34" s="21">
        <v>1.2847222222222223</v>
      </c>
      <c r="X34" s="17" t="s">
        <v>682</v>
      </c>
      <c r="Y34" s="17" t="s">
        <v>21</v>
      </c>
      <c r="Z34" s="17">
        <v>949900</v>
      </c>
      <c r="AA34" s="17" t="s">
        <v>22</v>
      </c>
      <c r="AB34" s="17" t="s">
        <v>418</v>
      </c>
      <c r="AC34" s="17">
        <v>102</v>
      </c>
      <c r="AD34" s="21">
        <v>43549</v>
      </c>
      <c r="AE34" s="21">
        <v>45384</v>
      </c>
      <c r="AF34" s="17"/>
      <c r="AG34" s="21">
        <v>45749</v>
      </c>
      <c r="AH34" s="17">
        <v>65516974</v>
      </c>
      <c r="AI34" s="21">
        <v>43435</v>
      </c>
      <c r="AJ34" s="17">
        <v>4121</v>
      </c>
      <c r="AK34" s="17">
        <v>0.29749999999999999</v>
      </c>
      <c r="AL34" s="17">
        <v>1226</v>
      </c>
      <c r="AM34" s="17" t="b">
        <v>1</v>
      </c>
      <c r="AN34" s="17" t="b">
        <v>1</v>
      </c>
      <c r="AO34" s="21">
        <v>45398</v>
      </c>
      <c r="AP34" s="21">
        <v>45398</v>
      </c>
      <c r="AQ34" s="17" t="b">
        <v>0</v>
      </c>
      <c r="AR34" s="21">
        <v>45398</v>
      </c>
      <c r="AS34" s="21">
        <v>45398</v>
      </c>
      <c r="AT34" s="21">
        <v>43344</v>
      </c>
      <c r="AU34" s="17" t="b">
        <v>0</v>
      </c>
      <c r="AV34" s="21">
        <v>43435</v>
      </c>
      <c r="AW34" s="17" t="s">
        <v>27</v>
      </c>
      <c r="AX34" s="17" t="s">
        <v>27</v>
      </c>
      <c r="AY34" s="17" t="s">
        <v>414</v>
      </c>
      <c r="AZ34" s="17" t="s">
        <v>450</v>
      </c>
      <c r="BA34" s="21">
        <v>45398</v>
      </c>
      <c r="BB34" s="17">
        <v>0</v>
      </c>
      <c r="BC34" s="17"/>
      <c r="BD34" s="17" t="b">
        <v>0</v>
      </c>
      <c r="BE34" s="17" t="s">
        <v>1996</v>
      </c>
      <c r="BF34" s="21">
        <v>45398</v>
      </c>
      <c r="BG34" s="21">
        <v>45763</v>
      </c>
      <c r="BH34" s="17"/>
      <c r="BI34" s="21">
        <v>47365</v>
      </c>
      <c r="BJ34" s="17">
        <v>0</v>
      </c>
      <c r="BK34" s="17" t="s">
        <v>443</v>
      </c>
      <c r="BL34" s="17" t="s">
        <v>443</v>
      </c>
      <c r="BM34" s="17" t="b">
        <v>1</v>
      </c>
      <c r="BN34" s="17" t="b">
        <v>0</v>
      </c>
      <c r="BO34" s="17" t="b">
        <v>1</v>
      </c>
      <c r="BP34" s="17" t="b">
        <v>0</v>
      </c>
      <c r="BQ34" s="17" t="b">
        <v>1</v>
      </c>
      <c r="BR34" s="17" t="b">
        <v>1</v>
      </c>
      <c r="BS34" s="17" t="b">
        <v>0</v>
      </c>
      <c r="BT34" s="17" t="b">
        <v>1</v>
      </c>
      <c r="BU34" s="17" t="b">
        <v>0</v>
      </c>
      <c r="BV34" s="17">
        <v>0</v>
      </c>
      <c r="BW34" s="21">
        <v>43374</v>
      </c>
      <c r="BX34" s="17" t="s">
        <v>414</v>
      </c>
      <c r="BY34" s="17" t="s">
        <v>414</v>
      </c>
      <c r="BZ34" s="17">
        <v>0</v>
      </c>
      <c r="CA34" s="21">
        <v>45951</v>
      </c>
      <c r="CB34" s="17" t="s">
        <v>419</v>
      </c>
      <c r="CC34" s="17" t="s">
        <v>1997</v>
      </c>
      <c r="CD34" s="21"/>
      <c r="CE34" s="17"/>
      <c r="CF34" s="17" t="s">
        <v>683</v>
      </c>
      <c r="CG34" s="17" t="b">
        <v>0</v>
      </c>
      <c r="CH34" s="17" t="s">
        <v>425</v>
      </c>
      <c r="CI34" s="17">
        <v>0</v>
      </c>
      <c r="CJ34" s="21">
        <v>45851</v>
      </c>
      <c r="CK34" s="21">
        <v>45902</v>
      </c>
      <c r="CL34" s="17" t="s">
        <v>414</v>
      </c>
      <c r="CM34" s="21">
        <v>1</v>
      </c>
      <c r="CN34" s="21">
        <v>1</v>
      </c>
      <c r="CO34" s="21">
        <v>1</v>
      </c>
      <c r="CP34" s="17" t="b">
        <v>0</v>
      </c>
      <c r="CQ34" s="17" t="b">
        <v>1</v>
      </c>
      <c r="CR34" s="17" t="b">
        <v>0</v>
      </c>
      <c r="CS34">
        <v>7000</v>
      </c>
      <c r="CT34" t="s">
        <v>1912</v>
      </c>
      <c r="CU34">
        <v>5384.62</v>
      </c>
      <c r="CV34">
        <v>1615.38</v>
      </c>
      <c r="CW34" s="22"/>
    </row>
    <row r="35" spans="1:101" x14ac:dyDescent="0.25">
      <c r="A35" s="20">
        <v>144</v>
      </c>
      <c r="B35" s="17" t="s">
        <v>684</v>
      </c>
      <c r="C35" s="17" t="s">
        <v>427</v>
      </c>
      <c r="D35" s="17" t="s">
        <v>76</v>
      </c>
      <c r="E35" s="17" t="s">
        <v>685</v>
      </c>
      <c r="F35" s="17" t="s">
        <v>686</v>
      </c>
      <c r="G35" s="17" t="s">
        <v>414</v>
      </c>
      <c r="H35" s="17" t="s">
        <v>687</v>
      </c>
      <c r="I35" s="17" t="s">
        <v>432</v>
      </c>
      <c r="J35" s="17" t="s">
        <v>25</v>
      </c>
      <c r="K35" s="17" t="b">
        <v>0</v>
      </c>
      <c r="L35" s="17" t="s">
        <v>688</v>
      </c>
      <c r="M35" s="21">
        <v>29305</v>
      </c>
      <c r="N35" s="17" t="s">
        <v>414</v>
      </c>
      <c r="O35" s="17" t="s">
        <v>26</v>
      </c>
      <c r="P35" s="17" t="s">
        <v>18</v>
      </c>
      <c r="Q35" s="17">
        <v>1</v>
      </c>
      <c r="R35" s="17" t="s">
        <v>19</v>
      </c>
      <c r="S35" s="17">
        <v>2</v>
      </c>
      <c r="T35" s="17" t="s">
        <v>441</v>
      </c>
      <c r="U35" s="21">
        <v>43252</v>
      </c>
      <c r="V35" s="17" t="s">
        <v>61</v>
      </c>
      <c r="W35" s="21">
        <v>1.28125</v>
      </c>
      <c r="X35" s="17" t="s">
        <v>689</v>
      </c>
      <c r="Y35" s="17" t="s">
        <v>21</v>
      </c>
      <c r="Z35" s="17">
        <v>949900</v>
      </c>
      <c r="AA35" s="17" t="s">
        <v>22</v>
      </c>
      <c r="AB35" s="17" t="s">
        <v>418</v>
      </c>
      <c r="AC35" s="17">
        <v>103</v>
      </c>
      <c r="AD35" s="21">
        <v>43549</v>
      </c>
      <c r="AE35" s="21">
        <v>45384</v>
      </c>
      <c r="AF35" s="17"/>
      <c r="AG35" s="21">
        <v>45749</v>
      </c>
      <c r="AH35" s="17">
        <v>52394998</v>
      </c>
      <c r="AI35" s="21">
        <v>43364</v>
      </c>
      <c r="AJ35" s="17">
        <v>4121</v>
      </c>
      <c r="AK35" s="17">
        <v>0.29749999999999999</v>
      </c>
      <c r="AL35" s="17">
        <v>1226</v>
      </c>
      <c r="AM35" s="17" t="b">
        <v>1</v>
      </c>
      <c r="AN35" s="17" t="b">
        <v>1</v>
      </c>
      <c r="AO35" s="21">
        <v>45376</v>
      </c>
      <c r="AP35" s="21">
        <v>45376</v>
      </c>
      <c r="AQ35" s="17" t="b">
        <v>0</v>
      </c>
      <c r="AR35" s="21">
        <v>45376</v>
      </c>
      <c r="AS35" s="21">
        <v>45376</v>
      </c>
      <c r="AT35" s="21">
        <v>43272</v>
      </c>
      <c r="AU35" s="17" t="b">
        <v>0</v>
      </c>
      <c r="AV35" s="21">
        <v>43344</v>
      </c>
      <c r="AW35" s="17" t="s">
        <v>27</v>
      </c>
      <c r="AX35" s="17" t="s">
        <v>27</v>
      </c>
      <c r="AY35" s="17" t="s">
        <v>414</v>
      </c>
      <c r="AZ35" s="17" t="s">
        <v>450</v>
      </c>
      <c r="BA35" s="21">
        <v>45376</v>
      </c>
      <c r="BB35" s="17">
        <v>0</v>
      </c>
      <c r="BC35" s="17"/>
      <c r="BD35" s="17" t="b">
        <v>0</v>
      </c>
      <c r="BE35" s="17" t="s">
        <v>1994</v>
      </c>
      <c r="BF35" s="21">
        <v>45376</v>
      </c>
      <c r="BG35" s="21">
        <v>45741</v>
      </c>
      <c r="BH35" s="17"/>
      <c r="BI35" s="21">
        <v>48192</v>
      </c>
      <c r="BJ35" s="17">
        <v>0</v>
      </c>
      <c r="BK35" s="17" t="s">
        <v>443</v>
      </c>
      <c r="BL35" s="17" t="s">
        <v>418</v>
      </c>
      <c r="BM35" s="17" t="b">
        <v>1</v>
      </c>
      <c r="BN35" s="17" t="b">
        <v>1</v>
      </c>
      <c r="BO35" s="17" t="b">
        <v>1</v>
      </c>
      <c r="BP35" s="17" t="b">
        <v>1</v>
      </c>
      <c r="BQ35" s="17" t="b">
        <v>0</v>
      </c>
      <c r="BR35" s="17" t="b">
        <v>1</v>
      </c>
      <c r="BS35" s="17" t="b">
        <v>1</v>
      </c>
      <c r="BT35" s="17" t="b">
        <v>1</v>
      </c>
      <c r="BU35" s="17" t="b">
        <v>0</v>
      </c>
      <c r="BV35" s="17">
        <v>0</v>
      </c>
      <c r="BW35" s="21">
        <v>43282</v>
      </c>
      <c r="BX35" s="17" t="s">
        <v>414</v>
      </c>
      <c r="BY35" s="17" t="s">
        <v>414</v>
      </c>
      <c r="BZ35" s="17">
        <v>0</v>
      </c>
      <c r="CA35" s="21">
        <v>45951</v>
      </c>
      <c r="CB35" s="17" t="s">
        <v>419</v>
      </c>
      <c r="CC35" s="17" t="s">
        <v>1998</v>
      </c>
      <c r="CD35" s="21"/>
      <c r="CE35" s="17"/>
      <c r="CF35" s="17" t="s">
        <v>690</v>
      </c>
      <c r="CG35" s="17" t="b">
        <v>0</v>
      </c>
      <c r="CH35" s="17" t="s">
        <v>425</v>
      </c>
      <c r="CI35" s="17">
        <v>0</v>
      </c>
      <c r="CJ35" s="21">
        <v>45851</v>
      </c>
      <c r="CK35" s="21">
        <v>45902</v>
      </c>
      <c r="CL35" s="17" t="s">
        <v>414</v>
      </c>
      <c r="CM35" s="21">
        <v>1</v>
      </c>
      <c r="CN35" s="21">
        <v>1</v>
      </c>
      <c r="CO35" s="21">
        <v>1</v>
      </c>
      <c r="CP35" s="17" t="b">
        <v>0</v>
      </c>
      <c r="CQ35" s="17" t="b">
        <v>1</v>
      </c>
      <c r="CR35" s="17" t="b">
        <v>0</v>
      </c>
      <c r="CS35">
        <v>7000</v>
      </c>
      <c r="CT35" t="s">
        <v>1912</v>
      </c>
      <c r="CU35">
        <v>5384.62</v>
      </c>
      <c r="CV35">
        <v>1615.38</v>
      </c>
      <c r="CW35" s="22"/>
    </row>
    <row r="36" spans="1:101" x14ac:dyDescent="0.25">
      <c r="A36" s="20">
        <v>146</v>
      </c>
      <c r="B36" s="17" t="s">
        <v>691</v>
      </c>
      <c r="C36" s="17" t="s">
        <v>426</v>
      </c>
      <c r="D36" s="17" t="s">
        <v>77</v>
      </c>
      <c r="E36" s="17" t="s">
        <v>692</v>
      </c>
      <c r="F36" s="17" t="s">
        <v>693</v>
      </c>
      <c r="G36" s="17" t="s">
        <v>414</v>
      </c>
      <c r="H36" s="17" t="s">
        <v>694</v>
      </c>
      <c r="I36" s="17" t="s">
        <v>432</v>
      </c>
      <c r="J36" s="17" t="s">
        <v>25</v>
      </c>
      <c r="K36" s="17" t="b">
        <v>0</v>
      </c>
      <c r="L36" s="17" t="s">
        <v>695</v>
      </c>
      <c r="M36" s="21">
        <v>36121</v>
      </c>
      <c r="N36" s="17" t="s">
        <v>414</v>
      </c>
      <c r="O36" s="17" t="s">
        <v>26</v>
      </c>
      <c r="P36" s="17" t="s">
        <v>18</v>
      </c>
      <c r="Q36" s="17">
        <v>1</v>
      </c>
      <c r="R36" s="17" t="s">
        <v>19</v>
      </c>
      <c r="S36" s="17">
        <v>2</v>
      </c>
      <c r="T36" s="17" t="s">
        <v>441</v>
      </c>
      <c r="U36" s="21">
        <v>43302</v>
      </c>
      <c r="V36" s="17" t="s">
        <v>38</v>
      </c>
      <c r="W36" s="21">
        <v>1.28125</v>
      </c>
      <c r="X36" s="17" t="s">
        <v>696</v>
      </c>
      <c r="Y36" s="17" t="s">
        <v>21</v>
      </c>
      <c r="Z36" s="17">
        <v>949900</v>
      </c>
      <c r="AA36" s="17" t="s">
        <v>22</v>
      </c>
      <c r="AB36" s="17" t="s">
        <v>418</v>
      </c>
      <c r="AC36" s="17">
        <v>158</v>
      </c>
      <c r="AD36" s="21">
        <v>44852</v>
      </c>
      <c r="AE36" s="21">
        <v>45244</v>
      </c>
      <c r="AF36" s="17"/>
      <c r="AG36" s="21">
        <v>45610</v>
      </c>
      <c r="AH36" s="17">
        <v>75022828</v>
      </c>
      <c r="AI36" s="21">
        <v>43364</v>
      </c>
      <c r="AJ36" s="17">
        <v>4121</v>
      </c>
      <c r="AK36" s="17">
        <v>0.29749999999999999</v>
      </c>
      <c r="AL36" s="17">
        <v>1226</v>
      </c>
      <c r="AM36" s="17" t="b">
        <v>1</v>
      </c>
      <c r="AN36" s="17" t="b">
        <v>1</v>
      </c>
      <c r="AO36" s="21">
        <v>45398</v>
      </c>
      <c r="AP36" s="21">
        <v>45398</v>
      </c>
      <c r="AQ36" s="17" t="b">
        <v>0</v>
      </c>
      <c r="AR36" s="21">
        <v>45398</v>
      </c>
      <c r="AS36" s="21">
        <v>45398</v>
      </c>
      <c r="AT36" s="21">
        <v>43272</v>
      </c>
      <c r="AU36" s="17" t="b">
        <v>0</v>
      </c>
      <c r="AV36" s="21">
        <v>43394</v>
      </c>
      <c r="AW36" s="17" t="s">
        <v>27</v>
      </c>
      <c r="AX36" s="17" t="s">
        <v>27</v>
      </c>
      <c r="AY36" s="17" t="s">
        <v>414</v>
      </c>
      <c r="AZ36" s="17" t="s">
        <v>450</v>
      </c>
      <c r="BA36" s="21">
        <v>45398</v>
      </c>
      <c r="BB36" s="17">
        <v>0</v>
      </c>
      <c r="BC36" s="17"/>
      <c r="BD36" s="17" t="b">
        <v>0</v>
      </c>
      <c r="BE36" s="17" t="s">
        <v>1999</v>
      </c>
      <c r="BF36" s="21">
        <v>45398</v>
      </c>
      <c r="BG36" s="21">
        <v>45763</v>
      </c>
      <c r="BH36" s="17"/>
      <c r="BI36" s="21">
        <v>46983</v>
      </c>
      <c r="BJ36" s="17">
        <v>0</v>
      </c>
      <c r="BK36" s="17" t="s">
        <v>443</v>
      </c>
      <c r="BL36" s="17" t="s">
        <v>418</v>
      </c>
      <c r="BM36" s="17" t="b">
        <v>1</v>
      </c>
      <c r="BN36" s="17" t="b">
        <v>1</v>
      </c>
      <c r="BO36" s="17" t="b">
        <v>1</v>
      </c>
      <c r="BP36" s="17" t="b">
        <v>1</v>
      </c>
      <c r="BQ36" s="17" t="b">
        <v>1</v>
      </c>
      <c r="BR36" s="17" t="b">
        <v>1</v>
      </c>
      <c r="BS36" s="17" t="b">
        <v>1</v>
      </c>
      <c r="BT36" s="17" t="b">
        <v>1</v>
      </c>
      <c r="BU36" s="17" t="b">
        <v>0</v>
      </c>
      <c r="BV36" s="17">
        <v>0</v>
      </c>
      <c r="BW36" s="21">
        <v>43333</v>
      </c>
      <c r="BX36" s="17" t="s">
        <v>414</v>
      </c>
      <c r="BY36" s="17" t="s">
        <v>414</v>
      </c>
      <c r="BZ36" s="17">
        <v>0</v>
      </c>
      <c r="CA36" s="21">
        <v>45951</v>
      </c>
      <c r="CB36" s="17" t="s">
        <v>419</v>
      </c>
      <c r="CC36" s="17" t="s">
        <v>2000</v>
      </c>
      <c r="CD36" s="21"/>
      <c r="CE36" s="17"/>
      <c r="CF36" s="17" t="s">
        <v>697</v>
      </c>
      <c r="CG36" s="17" t="b">
        <v>0</v>
      </c>
      <c r="CH36" s="17" t="s">
        <v>425</v>
      </c>
      <c r="CI36" s="17">
        <v>0</v>
      </c>
      <c r="CJ36" s="21">
        <v>45851</v>
      </c>
      <c r="CK36" s="21">
        <v>45902</v>
      </c>
      <c r="CL36" s="17" t="s">
        <v>414</v>
      </c>
      <c r="CM36" s="21">
        <v>1</v>
      </c>
      <c r="CN36" s="21">
        <v>1</v>
      </c>
      <c r="CO36" s="21">
        <v>1</v>
      </c>
      <c r="CP36" s="17" t="b">
        <v>0</v>
      </c>
      <c r="CQ36" s="17" t="b">
        <v>1</v>
      </c>
      <c r="CR36" s="17" t="b">
        <v>0</v>
      </c>
      <c r="CS36">
        <v>7000</v>
      </c>
      <c r="CT36" t="s">
        <v>1912</v>
      </c>
      <c r="CU36">
        <v>5384.62</v>
      </c>
      <c r="CV36">
        <v>1615.38</v>
      </c>
      <c r="CW36" s="22"/>
    </row>
    <row r="37" spans="1:101" x14ac:dyDescent="0.25">
      <c r="A37" s="20">
        <v>147</v>
      </c>
      <c r="B37" s="17" t="s">
        <v>698</v>
      </c>
      <c r="C37" s="17" t="s">
        <v>699</v>
      </c>
      <c r="D37" s="17" t="s">
        <v>78</v>
      </c>
      <c r="E37" s="17" t="s">
        <v>700</v>
      </c>
      <c r="F37" s="17" t="s">
        <v>701</v>
      </c>
      <c r="G37" s="17" t="s">
        <v>414</v>
      </c>
      <c r="H37" s="17" t="s">
        <v>702</v>
      </c>
      <c r="I37" s="17" t="s">
        <v>432</v>
      </c>
      <c r="J37" s="17" t="s">
        <v>25</v>
      </c>
      <c r="K37" s="17" t="b">
        <v>0</v>
      </c>
      <c r="L37" s="17" t="s">
        <v>703</v>
      </c>
      <c r="M37" s="21">
        <v>28193</v>
      </c>
      <c r="N37" s="17" t="s">
        <v>414</v>
      </c>
      <c r="O37" s="17" t="s">
        <v>26</v>
      </c>
      <c r="P37" s="17" t="s">
        <v>18</v>
      </c>
      <c r="Q37" s="17">
        <v>1</v>
      </c>
      <c r="R37" s="17" t="s">
        <v>19</v>
      </c>
      <c r="S37" s="17">
        <v>2</v>
      </c>
      <c r="T37" s="17" t="s">
        <v>441</v>
      </c>
      <c r="U37" s="21">
        <v>43282</v>
      </c>
      <c r="V37" s="17" t="s">
        <v>61</v>
      </c>
      <c r="W37" s="21">
        <v>1.2847222222222223</v>
      </c>
      <c r="X37" s="17" t="s">
        <v>689</v>
      </c>
      <c r="Y37" s="17" t="s">
        <v>21</v>
      </c>
      <c r="Z37" s="17">
        <v>949900</v>
      </c>
      <c r="AA37" s="17" t="s">
        <v>22</v>
      </c>
      <c r="AB37" s="17" t="s">
        <v>418</v>
      </c>
      <c r="AC37" s="17">
        <v>99</v>
      </c>
      <c r="AD37" s="21">
        <v>43549</v>
      </c>
      <c r="AE37" s="21">
        <v>45384</v>
      </c>
      <c r="AF37" s="17"/>
      <c r="AG37" s="21">
        <v>45749</v>
      </c>
      <c r="AH37" s="17">
        <v>54074028</v>
      </c>
      <c r="AI37" s="21">
        <v>43374</v>
      </c>
      <c r="AJ37" s="17">
        <v>4121</v>
      </c>
      <c r="AK37" s="17">
        <v>0.29749999999999999</v>
      </c>
      <c r="AL37" s="17">
        <v>1226</v>
      </c>
      <c r="AM37" s="17" t="b">
        <v>0</v>
      </c>
      <c r="AN37" s="17" t="b">
        <v>1</v>
      </c>
      <c r="AO37" s="21">
        <v>45398</v>
      </c>
      <c r="AP37" s="21">
        <v>45398</v>
      </c>
      <c r="AQ37" s="17" t="b">
        <v>0</v>
      </c>
      <c r="AR37" s="21">
        <v>45398</v>
      </c>
      <c r="AS37" s="21">
        <v>45398</v>
      </c>
      <c r="AT37" s="21">
        <v>43282</v>
      </c>
      <c r="AU37" s="17" t="b">
        <v>0</v>
      </c>
      <c r="AV37" s="21">
        <v>43374</v>
      </c>
      <c r="AW37" s="17" t="s">
        <v>27</v>
      </c>
      <c r="AX37" s="17" t="s">
        <v>27</v>
      </c>
      <c r="AY37" s="17" t="s">
        <v>414</v>
      </c>
      <c r="AZ37" s="17" t="s">
        <v>450</v>
      </c>
      <c r="BA37" s="21">
        <v>45398</v>
      </c>
      <c r="BB37" s="17">
        <v>0</v>
      </c>
      <c r="BC37" s="17"/>
      <c r="BD37" s="17" t="b">
        <v>0</v>
      </c>
      <c r="BE37" s="17" t="s">
        <v>2001</v>
      </c>
      <c r="BF37" s="21">
        <v>45398</v>
      </c>
      <c r="BG37" s="21">
        <v>45763</v>
      </c>
      <c r="BH37" s="17"/>
      <c r="BI37" s="21">
        <v>47179</v>
      </c>
      <c r="BJ37" s="17">
        <v>0</v>
      </c>
      <c r="BK37" s="17" t="s">
        <v>443</v>
      </c>
      <c r="BL37" s="17" t="s">
        <v>443</v>
      </c>
      <c r="BM37" s="17" t="b">
        <v>1</v>
      </c>
      <c r="BN37" s="17" t="b">
        <v>0</v>
      </c>
      <c r="BO37" s="17" t="b">
        <v>1</v>
      </c>
      <c r="BP37" s="17" t="b">
        <v>1</v>
      </c>
      <c r="BQ37" s="17" t="b">
        <v>0</v>
      </c>
      <c r="BR37" s="17" t="b">
        <v>1</v>
      </c>
      <c r="BS37" s="17" t="b">
        <v>1</v>
      </c>
      <c r="BT37" s="17" t="b">
        <v>1</v>
      </c>
      <c r="BU37" s="17" t="b">
        <v>0</v>
      </c>
      <c r="BV37" s="17">
        <v>0</v>
      </c>
      <c r="BW37" s="21">
        <v>43313</v>
      </c>
      <c r="BX37" s="17" t="s">
        <v>414</v>
      </c>
      <c r="BY37" s="17" t="s">
        <v>414</v>
      </c>
      <c r="BZ37" s="17">
        <v>0</v>
      </c>
      <c r="CA37" s="21">
        <v>45951</v>
      </c>
      <c r="CB37" s="17" t="s">
        <v>419</v>
      </c>
      <c r="CC37" s="17" t="s">
        <v>2002</v>
      </c>
      <c r="CD37" s="21"/>
      <c r="CE37" s="17"/>
      <c r="CF37" s="17" t="s">
        <v>704</v>
      </c>
      <c r="CG37" s="17" t="b">
        <v>0</v>
      </c>
      <c r="CH37" s="17" t="s">
        <v>425</v>
      </c>
      <c r="CI37" s="17">
        <v>0</v>
      </c>
      <c r="CJ37" s="21">
        <v>45851</v>
      </c>
      <c r="CK37" s="21">
        <v>45902</v>
      </c>
      <c r="CL37" s="17" t="s">
        <v>414</v>
      </c>
      <c r="CM37" s="21">
        <v>1</v>
      </c>
      <c r="CN37" s="21">
        <v>1</v>
      </c>
      <c r="CO37" s="21">
        <v>1</v>
      </c>
      <c r="CP37" s="17" t="b">
        <v>0</v>
      </c>
      <c r="CQ37" s="17" t="b">
        <v>1</v>
      </c>
      <c r="CR37" s="17" t="b">
        <v>0</v>
      </c>
      <c r="CS37">
        <v>7000</v>
      </c>
      <c r="CT37" t="s">
        <v>1912</v>
      </c>
      <c r="CU37">
        <v>5384.62</v>
      </c>
      <c r="CV37">
        <v>1615.38</v>
      </c>
      <c r="CW37" s="22"/>
    </row>
    <row r="38" spans="1:101" x14ac:dyDescent="0.25">
      <c r="A38" s="20">
        <v>149</v>
      </c>
      <c r="B38" s="17" t="s">
        <v>706</v>
      </c>
      <c r="C38" s="17" t="s">
        <v>707</v>
      </c>
      <c r="D38" s="17" t="s">
        <v>79</v>
      </c>
      <c r="E38" s="17" t="s">
        <v>708</v>
      </c>
      <c r="F38" s="17" t="s">
        <v>709</v>
      </c>
      <c r="G38" s="17" t="s">
        <v>414</v>
      </c>
      <c r="H38" s="17" t="s">
        <v>710</v>
      </c>
      <c r="I38" s="17" t="s">
        <v>432</v>
      </c>
      <c r="J38" s="17" t="s">
        <v>25</v>
      </c>
      <c r="K38" s="17" t="b">
        <v>0</v>
      </c>
      <c r="L38" s="17" t="s">
        <v>711</v>
      </c>
      <c r="M38" s="21">
        <v>31811</v>
      </c>
      <c r="N38" s="17" t="s">
        <v>414</v>
      </c>
      <c r="O38" s="17" t="s">
        <v>26</v>
      </c>
      <c r="P38" s="17" t="s">
        <v>18</v>
      </c>
      <c r="Q38" s="17">
        <v>1</v>
      </c>
      <c r="R38" s="17" t="s">
        <v>19</v>
      </c>
      <c r="S38" s="17">
        <v>2</v>
      </c>
      <c r="T38" s="17" t="s">
        <v>441</v>
      </c>
      <c r="U38" s="21">
        <v>43230</v>
      </c>
      <c r="V38" s="17" t="s">
        <v>20</v>
      </c>
      <c r="W38" s="21">
        <v>1.2881944444444446</v>
      </c>
      <c r="X38" s="17" t="s">
        <v>712</v>
      </c>
      <c r="Y38" s="17" t="s">
        <v>21</v>
      </c>
      <c r="Z38" s="17">
        <v>949900</v>
      </c>
      <c r="AA38" s="17" t="s">
        <v>22</v>
      </c>
      <c r="AB38" s="17" t="s">
        <v>418</v>
      </c>
      <c r="AC38" s="17">
        <v>55</v>
      </c>
      <c r="AD38" s="21">
        <v>43465</v>
      </c>
      <c r="AE38" s="21">
        <v>45383</v>
      </c>
      <c r="AF38" s="17"/>
      <c r="AG38" s="21">
        <v>45748</v>
      </c>
      <c r="AH38" s="17">
        <v>16172701</v>
      </c>
      <c r="AI38" s="21">
        <v>43230</v>
      </c>
      <c r="AJ38" s="17">
        <v>4121</v>
      </c>
      <c r="AK38" s="17">
        <v>0.29749999999999999</v>
      </c>
      <c r="AL38" s="17">
        <v>1226</v>
      </c>
      <c r="AM38" s="17" t="b">
        <v>1</v>
      </c>
      <c r="AN38" s="17" t="b">
        <v>1</v>
      </c>
      <c r="AO38" s="21">
        <v>45398</v>
      </c>
      <c r="AP38" s="21">
        <v>45398</v>
      </c>
      <c r="AQ38" s="17" t="b">
        <v>0</v>
      </c>
      <c r="AR38" s="21">
        <v>45398</v>
      </c>
      <c r="AS38" s="21">
        <v>45398</v>
      </c>
      <c r="AT38" s="21">
        <v>43141</v>
      </c>
      <c r="AU38" s="17" t="b">
        <v>0</v>
      </c>
      <c r="AV38" s="21">
        <v>43322</v>
      </c>
      <c r="AW38" s="17" t="s">
        <v>27</v>
      </c>
      <c r="AX38" s="17" t="s">
        <v>27</v>
      </c>
      <c r="AY38" s="17" t="s">
        <v>414</v>
      </c>
      <c r="AZ38" s="17" t="s">
        <v>450</v>
      </c>
      <c r="BA38" s="21">
        <v>45398</v>
      </c>
      <c r="BB38" s="17">
        <v>0</v>
      </c>
      <c r="BC38" s="17"/>
      <c r="BD38" s="17" t="b">
        <v>0</v>
      </c>
      <c r="BE38" s="17" t="s">
        <v>2003</v>
      </c>
      <c r="BF38" s="21">
        <v>45398</v>
      </c>
      <c r="BG38" s="21">
        <v>45763</v>
      </c>
      <c r="BH38" s="17"/>
      <c r="BI38" s="21">
        <v>48318</v>
      </c>
      <c r="BJ38" s="17">
        <v>0</v>
      </c>
      <c r="BK38" s="17" t="s">
        <v>443</v>
      </c>
      <c r="BL38" s="17" t="s">
        <v>418</v>
      </c>
      <c r="BM38" s="17" t="b">
        <v>1</v>
      </c>
      <c r="BN38" s="17" t="b">
        <v>1</v>
      </c>
      <c r="BO38" s="17" t="b">
        <v>1</v>
      </c>
      <c r="BP38" s="17" t="b">
        <v>1</v>
      </c>
      <c r="BQ38" s="17" t="b">
        <v>1</v>
      </c>
      <c r="BR38" s="17" t="b">
        <v>1</v>
      </c>
      <c r="BS38" s="17" t="b">
        <v>1</v>
      </c>
      <c r="BT38" s="17" t="b">
        <v>1</v>
      </c>
      <c r="BU38" s="17" t="b">
        <v>0</v>
      </c>
      <c r="BV38" s="17">
        <v>0</v>
      </c>
      <c r="BW38" s="21">
        <v>43261</v>
      </c>
      <c r="BX38" s="17" t="s">
        <v>414</v>
      </c>
      <c r="BY38" s="17" t="s">
        <v>414</v>
      </c>
      <c r="BZ38" s="17">
        <v>0</v>
      </c>
      <c r="CA38" s="21">
        <v>45951</v>
      </c>
      <c r="CB38" s="17" t="s">
        <v>419</v>
      </c>
      <c r="CC38" s="17" t="s">
        <v>2004</v>
      </c>
      <c r="CD38" s="21"/>
      <c r="CE38" s="17"/>
      <c r="CF38" s="17" t="s">
        <v>713</v>
      </c>
      <c r="CG38" s="17" t="b">
        <v>0</v>
      </c>
      <c r="CH38" s="17" t="s">
        <v>425</v>
      </c>
      <c r="CI38" s="17">
        <v>0</v>
      </c>
      <c r="CJ38" s="21">
        <v>45851</v>
      </c>
      <c r="CK38" s="21">
        <v>45902</v>
      </c>
      <c r="CL38" s="17" t="s">
        <v>414</v>
      </c>
      <c r="CM38" s="21">
        <v>1</v>
      </c>
      <c r="CN38" s="21">
        <v>1</v>
      </c>
      <c r="CO38" s="21">
        <v>1</v>
      </c>
      <c r="CP38" s="17" t="b">
        <v>0</v>
      </c>
      <c r="CQ38" s="17" t="b">
        <v>1</v>
      </c>
      <c r="CR38" s="17" t="b">
        <v>0</v>
      </c>
      <c r="CS38">
        <v>7000</v>
      </c>
      <c r="CT38" t="s">
        <v>1912</v>
      </c>
      <c r="CU38">
        <v>5384.62</v>
      </c>
      <c r="CV38">
        <v>1615.38</v>
      </c>
      <c r="CW38" s="22"/>
    </row>
    <row r="39" spans="1:101" x14ac:dyDescent="0.25">
      <c r="A39" s="20">
        <v>151</v>
      </c>
      <c r="B39" s="17" t="s">
        <v>691</v>
      </c>
      <c r="C39" s="17" t="s">
        <v>662</v>
      </c>
      <c r="D39" s="17" t="s">
        <v>80</v>
      </c>
      <c r="E39" s="17" t="s">
        <v>716</v>
      </c>
      <c r="F39" s="17" t="s">
        <v>717</v>
      </c>
      <c r="G39" s="17" t="s">
        <v>414</v>
      </c>
      <c r="H39" s="17" t="s">
        <v>718</v>
      </c>
      <c r="I39" s="17" t="s">
        <v>432</v>
      </c>
      <c r="J39" s="17" t="s">
        <v>25</v>
      </c>
      <c r="K39" s="17" t="b">
        <v>0</v>
      </c>
      <c r="L39" s="17" t="s">
        <v>719</v>
      </c>
      <c r="M39" s="21">
        <v>27520</v>
      </c>
      <c r="N39" s="17" t="s">
        <v>414</v>
      </c>
      <c r="O39" s="17" t="s">
        <v>26</v>
      </c>
      <c r="P39" s="17" t="s">
        <v>18</v>
      </c>
      <c r="Q39" s="17">
        <v>1</v>
      </c>
      <c r="R39" s="17" t="s">
        <v>19</v>
      </c>
      <c r="S39" s="17">
        <v>2</v>
      </c>
      <c r="T39" s="17" t="s">
        <v>441</v>
      </c>
      <c r="U39" s="21">
        <v>42515</v>
      </c>
      <c r="V39" s="17" t="s">
        <v>33</v>
      </c>
      <c r="W39" s="21">
        <v>1.28125</v>
      </c>
      <c r="X39" s="17" t="s">
        <v>489</v>
      </c>
      <c r="Y39" s="17" t="s">
        <v>21</v>
      </c>
      <c r="Z39" s="17">
        <v>949900</v>
      </c>
      <c r="AA39" s="17" t="s">
        <v>22</v>
      </c>
      <c r="AB39" s="17" t="s">
        <v>443</v>
      </c>
      <c r="AC39" s="17">
        <v>0</v>
      </c>
      <c r="AD39" s="21">
        <v>45398</v>
      </c>
      <c r="AE39" s="21">
        <v>2</v>
      </c>
      <c r="AF39" s="17"/>
      <c r="AG39" s="21">
        <v>368</v>
      </c>
      <c r="AH39" s="17">
        <v>65516927</v>
      </c>
      <c r="AI39" s="21">
        <v>42607</v>
      </c>
      <c r="AJ39" s="17">
        <v>4121</v>
      </c>
      <c r="AK39" s="17">
        <v>0.29749999999999999</v>
      </c>
      <c r="AL39" s="17">
        <v>1226</v>
      </c>
      <c r="AM39" s="17" t="b">
        <v>1</v>
      </c>
      <c r="AN39" s="17" t="b">
        <v>1</v>
      </c>
      <c r="AO39" s="21">
        <v>45398</v>
      </c>
      <c r="AP39" s="21">
        <v>45398</v>
      </c>
      <c r="AQ39" s="17" t="b">
        <v>0</v>
      </c>
      <c r="AR39" s="21">
        <v>45398</v>
      </c>
      <c r="AS39" s="21">
        <v>45398</v>
      </c>
      <c r="AT39" s="21">
        <v>42515</v>
      </c>
      <c r="AU39" s="17" t="b">
        <v>0</v>
      </c>
      <c r="AV39" s="21">
        <v>42607</v>
      </c>
      <c r="AW39" s="17" t="s">
        <v>27</v>
      </c>
      <c r="AX39" s="17" t="s">
        <v>27</v>
      </c>
      <c r="AY39" s="17" t="s">
        <v>414</v>
      </c>
      <c r="AZ39" s="17" t="s">
        <v>450</v>
      </c>
      <c r="BA39" s="21">
        <v>45398</v>
      </c>
      <c r="BB39" s="17">
        <v>0</v>
      </c>
      <c r="BC39" s="17"/>
      <c r="BD39" s="17" t="b">
        <v>0</v>
      </c>
      <c r="BE39" s="17" t="s">
        <v>2005</v>
      </c>
      <c r="BF39" s="21">
        <v>45398</v>
      </c>
      <c r="BG39" s="21">
        <v>45763</v>
      </c>
      <c r="BH39" s="17"/>
      <c r="BI39" s="21">
        <v>45089</v>
      </c>
      <c r="BJ39" s="17">
        <v>0</v>
      </c>
      <c r="BK39" s="17" t="s">
        <v>443</v>
      </c>
      <c r="BL39" s="17" t="s">
        <v>443</v>
      </c>
      <c r="BM39" s="17" t="b">
        <v>1</v>
      </c>
      <c r="BN39" s="17" t="b">
        <v>0</v>
      </c>
      <c r="BO39" s="17" t="b">
        <v>1</v>
      </c>
      <c r="BP39" s="17" t="b">
        <v>1</v>
      </c>
      <c r="BQ39" s="17" t="b">
        <v>1</v>
      </c>
      <c r="BR39" s="17" t="b">
        <v>1</v>
      </c>
      <c r="BS39" s="17" t="b">
        <v>1</v>
      </c>
      <c r="BT39" s="17" t="b">
        <v>1</v>
      </c>
      <c r="BU39" s="17" t="b">
        <v>0</v>
      </c>
      <c r="BV39" s="17">
        <v>0</v>
      </c>
      <c r="BW39" s="21">
        <v>42546</v>
      </c>
      <c r="BX39" s="17" t="s">
        <v>414</v>
      </c>
      <c r="BY39" s="17" t="s">
        <v>414</v>
      </c>
      <c r="BZ39" s="17">
        <v>0</v>
      </c>
      <c r="CA39" s="21">
        <v>45951</v>
      </c>
      <c r="CB39" s="17" t="s">
        <v>419</v>
      </c>
      <c r="CC39" s="17" t="s">
        <v>2006</v>
      </c>
      <c r="CD39" s="21"/>
      <c r="CE39" s="17"/>
      <c r="CF39" s="17" t="s">
        <v>720</v>
      </c>
      <c r="CG39" s="17" t="b">
        <v>0</v>
      </c>
      <c r="CH39" s="17" t="s">
        <v>425</v>
      </c>
      <c r="CI39" s="17">
        <v>0</v>
      </c>
      <c r="CJ39" s="21">
        <v>45852</v>
      </c>
      <c r="CK39" s="21">
        <v>246</v>
      </c>
      <c r="CL39" s="17" t="s">
        <v>414</v>
      </c>
      <c r="CM39" s="21">
        <v>1</v>
      </c>
      <c r="CN39" s="21">
        <v>1</v>
      </c>
      <c r="CO39" s="21">
        <v>1</v>
      </c>
      <c r="CP39" s="17" t="b">
        <v>0</v>
      </c>
      <c r="CQ39" s="17" t="b">
        <v>1</v>
      </c>
      <c r="CR39" s="17" t="b">
        <v>0</v>
      </c>
      <c r="CS39">
        <v>7000</v>
      </c>
      <c r="CT39" t="s">
        <v>1912</v>
      </c>
      <c r="CU39">
        <v>5384.62</v>
      </c>
      <c r="CV39">
        <v>1615.38</v>
      </c>
      <c r="CW39" s="22"/>
    </row>
    <row r="40" spans="1:101" x14ac:dyDescent="0.25">
      <c r="A40" s="20">
        <v>153</v>
      </c>
      <c r="B40" s="17" t="s">
        <v>722</v>
      </c>
      <c r="C40" s="17" t="s">
        <v>620</v>
      </c>
      <c r="D40" s="17" t="s">
        <v>81</v>
      </c>
      <c r="E40" s="17" t="s">
        <v>723</v>
      </c>
      <c r="F40" s="17" t="s">
        <v>724</v>
      </c>
      <c r="G40" s="17" t="s">
        <v>414</v>
      </c>
      <c r="H40" s="17" t="s">
        <v>512</v>
      </c>
      <c r="I40" s="17" t="s">
        <v>432</v>
      </c>
      <c r="J40" s="17" t="s">
        <v>16</v>
      </c>
      <c r="K40" s="17" t="b">
        <v>0</v>
      </c>
      <c r="L40" s="17" t="s">
        <v>725</v>
      </c>
      <c r="M40" s="21">
        <v>33377</v>
      </c>
      <c r="N40" s="17" t="s">
        <v>414</v>
      </c>
      <c r="O40" s="17" t="s">
        <v>17</v>
      </c>
      <c r="P40" s="17" t="s">
        <v>18</v>
      </c>
      <c r="Q40" s="17">
        <v>1</v>
      </c>
      <c r="R40" s="17" t="s">
        <v>19</v>
      </c>
      <c r="S40" s="17">
        <v>1</v>
      </c>
      <c r="T40" s="17" t="s">
        <v>422</v>
      </c>
      <c r="U40" s="21">
        <v>43556</v>
      </c>
      <c r="V40" s="17" t="s">
        <v>29</v>
      </c>
      <c r="W40" s="21">
        <v>1.9097222222222223</v>
      </c>
      <c r="X40" s="17" t="s">
        <v>529</v>
      </c>
      <c r="Y40" s="17" t="s">
        <v>21</v>
      </c>
      <c r="Z40" s="17">
        <v>949900</v>
      </c>
      <c r="AA40" s="17" t="s">
        <v>22</v>
      </c>
      <c r="AB40" s="17" t="s">
        <v>418</v>
      </c>
      <c r="AC40" s="17">
        <v>189</v>
      </c>
      <c r="AD40" s="21">
        <v>45004</v>
      </c>
      <c r="AE40" s="21">
        <v>45384</v>
      </c>
      <c r="AF40" s="17"/>
      <c r="AG40" s="21">
        <v>45749</v>
      </c>
      <c r="AH40" s="17">
        <v>74130302</v>
      </c>
      <c r="AI40" s="21">
        <v>43647</v>
      </c>
      <c r="AJ40" s="17">
        <v>4121</v>
      </c>
      <c r="AK40" s="17">
        <v>0.29749999999999999</v>
      </c>
      <c r="AL40" s="17">
        <v>1226</v>
      </c>
      <c r="AM40" s="17" t="b">
        <v>1</v>
      </c>
      <c r="AN40" s="17" t="b">
        <v>1</v>
      </c>
      <c r="AO40" s="21">
        <v>45449</v>
      </c>
      <c r="AP40" s="21">
        <v>45449</v>
      </c>
      <c r="AQ40" s="17" t="b">
        <v>0</v>
      </c>
      <c r="AR40" s="21">
        <v>45449</v>
      </c>
      <c r="AS40" s="21">
        <v>45449</v>
      </c>
      <c r="AT40" s="21">
        <v>43556</v>
      </c>
      <c r="AU40" s="17" t="b">
        <v>0</v>
      </c>
      <c r="AV40" s="21">
        <v>43647</v>
      </c>
      <c r="AW40" s="17" t="s">
        <v>23</v>
      </c>
      <c r="AX40" s="17" t="s">
        <v>23</v>
      </c>
      <c r="AY40" s="17" t="s">
        <v>101</v>
      </c>
      <c r="AZ40" s="17" t="s">
        <v>520</v>
      </c>
      <c r="BA40" s="21">
        <v>45449</v>
      </c>
      <c r="BB40" s="17">
        <v>0</v>
      </c>
      <c r="BC40" s="17"/>
      <c r="BD40" s="17" t="b">
        <v>0</v>
      </c>
      <c r="BE40" s="17" t="s">
        <v>2007</v>
      </c>
      <c r="BF40" s="21">
        <v>45449</v>
      </c>
      <c r="BG40" s="21">
        <v>45814</v>
      </c>
      <c r="BH40" s="17"/>
      <c r="BI40" s="21">
        <v>47350</v>
      </c>
      <c r="BJ40" s="17">
        <v>0</v>
      </c>
      <c r="BK40" s="17" t="s">
        <v>443</v>
      </c>
      <c r="BL40" s="17" t="s">
        <v>443</v>
      </c>
      <c r="BM40" s="17" t="b">
        <v>0</v>
      </c>
      <c r="BN40" s="17" t="b">
        <v>0</v>
      </c>
      <c r="BO40" s="17" t="b">
        <v>1</v>
      </c>
      <c r="BP40" s="17" t="b">
        <v>1</v>
      </c>
      <c r="BQ40" s="17" t="b">
        <v>0</v>
      </c>
      <c r="BR40" s="17" t="b">
        <v>1</v>
      </c>
      <c r="BS40" s="17" t="b">
        <v>0</v>
      </c>
      <c r="BT40" s="17" t="b">
        <v>0</v>
      </c>
      <c r="BU40" s="17" t="b">
        <v>0</v>
      </c>
      <c r="BV40" s="17">
        <v>0</v>
      </c>
      <c r="BW40" s="21">
        <v>43586</v>
      </c>
      <c r="BX40" s="17" t="s">
        <v>414</v>
      </c>
      <c r="BY40" s="17" t="s">
        <v>414</v>
      </c>
      <c r="BZ40" s="17">
        <v>0</v>
      </c>
      <c r="CA40" s="21">
        <v>45951</v>
      </c>
      <c r="CB40" s="17" t="s">
        <v>438</v>
      </c>
      <c r="CC40" s="17" t="s">
        <v>2008</v>
      </c>
      <c r="CD40" s="21"/>
      <c r="CE40" s="17"/>
      <c r="CF40" s="17" t="s">
        <v>726</v>
      </c>
      <c r="CG40" s="17" t="b">
        <v>0</v>
      </c>
      <c r="CH40" s="17" t="s">
        <v>425</v>
      </c>
      <c r="CI40" s="17">
        <v>0</v>
      </c>
      <c r="CJ40" s="21">
        <v>45839</v>
      </c>
      <c r="CK40" s="21">
        <v>45902</v>
      </c>
      <c r="CL40" s="17" t="s">
        <v>414</v>
      </c>
      <c r="CM40" s="21">
        <v>1</v>
      </c>
      <c r="CN40" s="21">
        <v>1</v>
      </c>
      <c r="CO40" s="21">
        <v>1</v>
      </c>
      <c r="CP40" s="17" t="b">
        <v>0</v>
      </c>
      <c r="CQ40" s="17" t="b">
        <v>1</v>
      </c>
      <c r="CR40" s="17" t="b">
        <v>0</v>
      </c>
      <c r="CS40">
        <v>7100</v>
      </c>
      <c r="CT40" t="s">
        <v>1913</v>
      </c>
      <c r="CU40">
        <v>5461.54</v>
      </c>
      <c r="CV40">
        <v>1638.46</v>
      </c>
      <c r="CW40" s="22"/>
    </row>
    <row r="41" spans="1:101" x14ac:dyDescent="0.25">
      <c r="A41" s="20">
        <v>154</v>
      </c>
      <c r="B41" s="17" t="s">
        <v>559</v>
      </c>
      <c r="C41" s="17" t="s">
        <v>426</v>
      </c>
      <c r="D41" s="17" t="s">
        <v>82</v>
      </c>
      <c r="E41" s="17" t="s">
        <v>727</v>
      </c>
      <c r="F41" s="17" t="s">
        <v>728</v>
      </c>
      <c r="G41" s="17" t="s">
        <v>414</v>
      </c>
      <c r="H41" s="17" t="s">
        <v>512</v>
      </c>
      <c r="I41" s="17" t="s">
        <v>432</v>
      </c>
      <c r="J41" s="17" t="s">
        <v>16</v>
      </c>
      <c r="K41" s="17" t="b">
        <v>1</v>
      </c>
      <c r="L41" s="17" t="s">
        <v>729</v>
      </c>
      <c r="M41" s="21">
        <v>35281</v>
      </c>
      <c r="N41" s="17" t="s">
        <v>414</v>
      </c>
      <c r="O41" s="17" t="s">
        <v>17</v>
      </c>
      <c r="P41" s="17" t="s">
        <v>18</v>
      </c>
      <c r="Q41" s="17">
        <v>1</v>
      </c>
      <c r="R41" s="17" t="s">
        <v>19</v>
      </c>
      <c r="S41" s="17">
        <v>1</v>
      </c>
      <c r="T41" s="17" t="s">
        <v>422</v>
      </c>
      <c r="U41" s="21">
        <v>43164</v>
      </c>
      <c r="V41" s="17" t="s">
        <v>29</v>
      </c>
      <c r="W41" s="21">
        <v>1.40625</v>
      </c>
      <c r="X41" s="17" t="s">
        <v>513</v>
      </c>
      <c r="Y41" s="17" t="s">
        <v>45</v>
      </c>
      <c r="Z41" s="17">
        <v>949900</v>
      </c>
      <c r="AA41" s="17" t="s">
        <v>22</v>
      </c>
      <c r="AB41" s="17" t="s">
        <v>443</v>
      </c>
      <c r="AC41" s="17">
        <v>0</v>
      </c>
      <c r="AD41" s="21">
        <v>45388</v>
      </c>
      <c r="AE41" s="21">
        <v>2</v>
      </c>
      <c r="AF41" s="17"/>
      <c r="AG41" s="21">
        <v>368</v>
      </c>
      <c r="AH41" s="17">
        <v>56242777</v>
      </c>
      <c r="AI41" s="21">
        <v>43286</v>
      </c>
      <c r="AJ41" s="17">
        <v>4121</v>
      </c>
      <c r="AK41" s="17">
        <v>0.29749999999999999</v>
      </c>
      <c r="AL41" s="17">
        <v>1226</v>
      </c>
      <c r="AM41" s="17" t="b">
        <v>1</v>
      </c>
      <c r="AN41" s="17" t="b">
        <v>1</v>
      </c>
      <c r="AO41" s="21">
        <v>45388</v>
      </c>
      <c r="AP41" s="21">
        <v>45388</v>
      </c>
      <c r="AQ41" s="17" t="b">
        <v>0</v>
      </c>
      <c r="AR41" s="21">
        <v>45388</v>
      </c>
      <c r="AS41" s="21">
        <v>45388</v>
      </c>
      <c r="AT41" s="21">
        <v>43195</v>
      </c>
      <c r="AU41" s="17" t="b">
        <v>0</v>
      </c>
      <c r="AV41" s="21">
        <v>43256</v>
      </c>
      <c r="AW41" s="17" t="s">
        <v>23</v>
      </c>
      <c r="AX41" s="17" t="s">
        <v>23</v>
      </c>
      <c r="AY41" s="17" t="s">
        <v>414</v>
      </c>
      <c r="AZ41" s="17" t="s">
        <v>520</v>
      </c>
      <c r="BA41" s="21">
        <v>45388</v>
      </c>
      <c r="BB41" s="17">
        <v>0</v>
      </c>
      <c r="BC41" s="17"/>
      <c r="BD41" s="17" t="b">
        <v>0</v>
      </c>
      <c r="BE41" s="17" t="s">
        <v>2009</v>
      </c>
      <c r="BF41" s="21">
        <v>45388</v>
      </c>
      <c r="BG41" s="21">
        <v>45753</v>
      </c>
      <c r="BH41" s="17"/>
      <c r="BI41" s="21">
        <v>46280</v>
      </c>
      <c r="BJ41" s="17">
        <v>0</v>
      </c>
      <c r="BK41" s="17" t="s">
        <v>443</v>
      </c>
      <c r="BL41" s="17" t="s">
        <v>443</v>
      </c>
      <c r="BM41" s="17" t="b">
        <v>0</v>
      </c>
      <c r="BN41" s="17" t="b">
        <v>0</v>
      </c>
      <c r="BO41" s="17" t="b">
        <v>1</v>
      </c>
      <c r="BP41" s="17" t="b">
        <v>1</v>
      </c>
      <c r="BQ41" s="17" t="b">
        <v>1</v>
      </c>
      <c r="BR41" s="17" t="b">
        <v>0</v>
      </c>
      <c r="BS41" s="17" t="b">
        <v>1</v>
      </c>
      <c r="BT41" s="17" t="b">
        <v>1</v>
      </c>
      <c r="BU41" s="17" t="b">
        <v>0</v>
      </c>
      <c r="BV41" s="17">
        <v>0</v>
      </c>
      <c r="BW41" s="21">
        <v>43195</v>
      </c>
      <c r="BX41" s="17" t="s">
        <v>414</v>
      </c>
      <c r="BY41" s="17" t="s">
        <v>414</v>
      </c>
      <c r="BZ41" s="17">
        <v>0</v>
      </c>
      <c r="CA41" s="21">
        <v>45951</v>
      </c>
      <c r="CB41" s="17" t="s">
        <v>438</v>
      </c>
      <c r="CC41" s="17" t="s">
        <v>2010</v>
      </c>
      <c r="CD41" s="21"/>
      <c r="CE41" s="17"/>
      <c r="CF41" s="17" t="s">
        <v>730</v>
      </c>
      <c r="CG41" s="17" t="b">
        <v>0</v>
      </c>
      <c r="CH41" s="17" t="s">
        <v>425</v>
      </c>
      <c r="CI41" s="17">
        <v>0</v>
      </c>
      <c r="CJ41" s="21">
        <v>1</v>
      </c>
      <c r="CK41" s="21">
        <v>1</v>
      </c>
      <c r="CL41" s="17" t="s">
        <v>414</v>
      </c>
      <c r="CM41" s="21">
        <v>1</v>
      </c>
      <c r="CN41" s="21">
        <v>1</v>
      </c>
      <c r="CO41" s="21">
        <v>1</v>
      </c>
      <c r="CP41" s="17" t="b">
        <v>0</v>
      </c>
      <c r="CQ41" s="17" t="b">
        <v>0</v>
      </c>
      <c r="CR41" s="17" t="b">
        <v>0</v>
      </c>
      <c r="CS41">
        <v>7100</v>
      </c>
      <c r="CT41" t="s">
        <v>1913</v>
      </c>
      <c r="CU41">
        <v>5461.54</v>
      </c>
      <c r="CV41">
        <v>1638.46</v>
      </c>
      <c r="CW41" s="22"/>
    </row>
    <row r="42" spans="1:101" x14ac:dyDescent="0.25">
      <c r="A42" s="20">
        <v>155</v>
      </c>
      <c r="B42" s="17" t="s">
        <v>677</v>
      </c>
      <c r="C42" s="17" t="s">
        <v>530</v>
      </c>
      <c r="D42" s="17" t="s">
        <v>83</v>
      </c>
      <c r="E42" s="17" t="s">
        <v>731</v>
      </c>
      <c r="F42" s="17" t="s">
        <v>732</v>
      </c>
      <c r="G42" s="17" t="s">
        <v>414</v>
      </c>
      <c r="H42" s="17" t="s">
        <v>733</v>
      </c>
      <c r="I42" s="17" t="s">
        <v>432</v>
      </c>
      <c r="J42" s="17" t="s">
        <v>16</v>
      </c>
      <c r="K42" s="17" t="b">
        <v>0</v>
      </c>
      <c r="L42" s="17" t="s">
        <v>734</v>
      </c>
      <c r="M42" s="21">
        <v>36861</v>
      </c>
      <c r="N42" s="17" t="s">
        <v>414</v>
      </c>
      <c r="O42" s="17" t="s">
        <v>17</v>
      </c>
      <c r="P42" s="17" t="s">
        <v>18</v>
      </c>
      <c r="Q42" s="17">
        <v>1</v>
      </c>
      <c r="R42" s="17" t="s">
        <v>19</v>
      </c>
      <c r="S42" s="17">
        <v>1</v>
      </c>
      <c r="T42" s="17" t="s">
        <v>422</v>
      </c>
      <c r="U42" s="21">
        <v>43344</v>
      </c>
      <c r="V42" s="17" t="s">
        <v>29</v>
      </c>
      <c r="W42" s="21">
        <v>1.2430555555555554</v>
      </c>
      <c r="X42" s="17" t="s">
        <v>735</v>
      </c>
      <c r="Y42" s="17" t="s">
        <v>21</v>
      </c>
      <c r="Z42" s="17">
        <v>949900</v>
      </c>
      <c r="AA42" s="17" t="s">
        <v>22</v>
      </c>
      <c r="AB42" s="17" t="s">
        <v>418</v>
      </c>
      <c r="AC42" s="17">
        <v>203</v>
      </c>
      <c r="AD42" s="21">
        <v>45091</v>
      </c>
      <c r="AE42" s="21">
        <v>45091</v>
      </c>
      <c r="AF42" s="17"/>
      <c r="AG42" s="21">
        <v>45457</v>
      </c>
      <c r="AH42" s="17">
        <v>70402549</v>
      </c>
      <c r="AI42" s="21">
        <v>43435</v>
      </c>
      <c r="AJ42" s="17">
        <v>4121</v>
      </c>
      <c r="AK42" s="17">
        <v>0.29749999999999999</v>
      </c>
      <c r="AL42" s="17">
        <v>1226</v>
      </c>
      <c r="AM42" s="17" t="b">
        <v>1</v>
      </c>
      <c r="AN42" s="17" t="b">
        <v>1</v>
      </c>
      <c r="AO42" s="21">
        <v>45449</v>
      </c>
      <c r="AP42" s="21">
        <v>45449</v>
      </c>
      <c r="AQ42" s="17" t="b">
        <v>0</v>
      </c>
      <c r="AR42" s="21">
        <v>45449</v>
      </c>
      <c r="AS42" s="21">
        <v>45449</v>
      </c>
      <c r="AT42" s="21">
        <v>43344</v>
      </c>
      <c r="AU42" s="17" t="b">
        <v>0</v>
      </c>
      <c r="AV42" s="21">
        <v>43435</v>
      </c>
      <c r="AW42" s="17" t="s">
        <v>23</v>
      </c>
      <c r="AX42" s="17" t="s">
        <v>23</v>
      </c>
      <c r="AY42" s="17" t="s">
        <v>23</v>
      </c>
      <c r="AZ42" s="17" t="s">
        <v>520</v>
      </c>
      <c r="BA42" s="21">
        <v>45449</v>
      </c>
      <c r="BB42" s="17">
        <v>0</v>
      </c>
      <c r="BC42" s="17"/>
      <c r="BD42" s="17" t="b">
        <v>0</v>
      </c>
      <c r="BE42" s="17" t="s">
        <v>1996</v>
      </c>
      <c r="BF42" s="21">
        <v>45449</v>
      </c>
      <c r="BG42" s="21">
        <v>45814</v>
      </c>
      <c r="BH42" s="17"/>
      <c r="BI42" s="21">
        <v>46295</v>
      </c>
      <c r="BJ42" s="17">
        <v>0</v>
      </c>
      <c r="BK42" s="17" t="s">
        <v>443</v>
      </c>
      <c r="BL42" s="17" t="s">
        <v>443</v>
      </c>
      <c r="BM42" s="17" t="b">
        <v>0</v>
      </c>
      <c r="BN42" s="17" t="b">
        <v>0</v>
      </c>
      <c r="BO42" s="17" t="b">
        <v>1</v>
      </c>
      <c r="BP42" s="17" t="b">
        <v>1</v>
      </c>
      <c r="BQ42" s="17" t="b">
        <v>1</v>
      </c>
      <c r="BR42" s="17" t="b">
        <v>1</v>
      </c>
      <c r="BS42" s="17" t="b">
        <v>1</v>
      </c>
      <c r="BT42" s="17" t="b">
        <v>1</v>
      </c>
      <c r="BU42" s="17" t="b">
        <v>0</v>
      </c>
      <c r="BV42" s="17">
        <v>0</v>
      </c>
      <c r="BW42" s="21">
        <v>43374</v>
      </c>
      <c r="BX42" s="17" t="s">
        <v>414</v>
      </c>
      <c r="BY42" s="17" t="s">
        <v>414</v>
      </c>
      <c r="BZ42" s="17">
        <v>0</v>
      </c>
      <c r="CA42" s="21">
        <v>45951</v>
      </c>
      <c r="CB42" s="17" t="s">
        <v>438</v>
      </c>
      <c r="CC42" s="17" t="s">
        <v>2011</v>
      </c>
      <c r="CD42" s="21"/>
      <c r="CE42" s="17"/>
      <c r="CF42" s="17" t="s">
        <v>736</v>
      </c>
      <c r="CG42" s="17" t="b">
        <v>0</v>
      </c>
      <c r="CH42" s="17" t="s">
        <v>425</v>
      </c>
      <c r="CI42" s="17">
        <v>0</v>
      </c>
      <c r="CJ42" s="21">
        <v>45853</v>
      </c>
      <c r="CK42" s="21">
        <v>45902</v>
      </c>
      <c r="CL42" s="17" t="s">
        <v>414</v>
      </c>
      <c r="CM42" s="21">
        <v>1</v>
      </c>
      <c r="CN42" s="21">
        <v>1</v>
      </c>
      <c r="CO42" s="21">
        <v>1</v>
      </c>
      <c r="CP42" s="17" t="b">
        <v>0</v>
      </c>
      <c r="CQ42" s="17" t="b">
        <v>1</v>
      </c>
      <c r="CR42" s="17" t="b">
        <v>0</v>
      </c>
      <c r="CS42">
        <v>7100</v>
      </c>
      <c r="CT42" t="s">
        <v>1913</v>
      </c>
      <c r="CU42">
        <v>5461.54</v>
      </c>
      <c r="CV42">
        <v>1638.46</v>
      </c>
      <c r="CW42" s="22"/>
    </row>
    <row r="43" spans="1:101" x14ac:dyDescent="0.25">
      <c r="A43" s="20">
        <v>156</v>
      </c>
      <c r="B43" s="17" t="s">
        <v>420</v>
      </c>
      <c r="C43" s="17" t="s">
        <v>427</v>
      </c>
      <c r="D43" s="17" t="s">
        <v>84</v>
      </c>
      <c r="E43" s="17" t="s">
        <v>737</v>
      </c>
      <c r="F43" s="17" t="s">
        <v>738</v>
      </c>
      <c r="G43" s="17" t="s">
        <v>414</v>
      </c>
      <c r="H43" s="17" t="s">
        <v>512</v>
      </c>
      <c r="I43" s="17" t="s">
        <v>739</v>
      </c>
      <c r="J43" s="17" t="s">
        <v>16</v>
      </c>
      <c r="K43" s="17" t="b">
        <v>0</v>
      </c>
      <c r="L43" s="17" t="s">
        <v>740</v>
      </c>
      <c r="M43" s="21">
        <v>37230</v>
      </c>
      <c r="N43" s="17" t="s">
        <v>414</v>
      </c>
      <c r="O43" s="17" t="s">
        <v>17</v>
      </c>
      <c r="P43" s="17" t="s">
        <v>18</v>
      </c>
      <c r="Q43" s="17">
        <v>1</v>
      </c>
      <c r="R43" s="17" t="s">
        <v>19</v>
      </c>
      <c r="S43" s="17">
        <v>1</v>
      </c>
      <c r="T43" s="17" t="s">
        <v>422</v>
      </c>
      <c r="U43" s="21">
        <v>43379</v>
      </c>
      <c r="V43" s="17" t="s">
        <v>29</v>
      </c>
      <c r="W43" s="21">
        <v>1.0763888888888888</v>
      </c>
      <c r="X43" s="17" t="s">
        <v>513</v>
      </c>
      <c r="Y43" s="17" t="s">
        <v>21</v>
      </c>
      <c r="Z43" s="17">
        <v>0</v>
      </c>
      <c r="AA43" s="17" t="s">
        <v>414</v>
      </c>
      <c r="AB43" s="17" t="s">
        <v>443</v>
      </c>
      <c r="AC43" s="17">
        <v>0</v>
      </c>
      <c r="AD43" s="21">
        <v>1</v>
      </c>
      <c r="AE43" s="21">
        <v>2</v>
      </c>
      <c r="AF43" s="17"/>
      <c r="AG43" s="21">
        <v>368</v>
      </c>
      <c r="AH43" s="17">
        <v>79881730</v>
      </c>
      <c r="AI43" s="21">
        <v>1</v>
      </c>
      <c r="AJ43" s="17">
        <v>0</v>
      </c>
      <c r="AK43" s="17">
        <v>0.29749999999999999</v>
      </c>
      <c r="AL43" s="17">
        <v>0</v>
      </c>
      <c r="AM43" s="17" t="b">
        <v>0</v>
      </c>
      <c r="AN43" s="17" t="b">
        <v>0</v>
      </c>
      <c r="AO43" s="21">
        <v>45449</v>
      </c>
      <c r="AP43" s="21">
        <v>45449</v>
      </c>
      <c r="AQ43" s="17" t="b">
        <v>0</v>
      </c>
      <c r="AR43" s="21">
        <v>45449</v>
      </c>
      <c r="AS43" s="21">
        <v>45449</v>
      </c>
      <c r="AT43" s="21">
        <v>-90</v>
      </c>
      <c r="AU43" s="17" t="b">
        <v>0</v>
      </c>
      <c r="AV43" s="21">
        <v>43471</v>
      </c>
      <c r="AW43" s="17" t="s">
        <v>23</v>
      </c>
      <c r="AX43" s="17" t="s">
        <v>23</v>
      </c>
      <c r="AY43" s="17" t="s">
        <v>23</v>
      </c>
      <c r="AZ43" s="17" t="s">
        <v>520</v>
      </c>
      <c r="BA43" s="21">
        <v>45449</v>
      </c>
      <c r="BB43" s="17">
        <v>0</v>
      </c>
      <c r="BC43" s="17"/>
      <c r="BD43" s="17" t="b">
        <v>0</v>
      </c>
      <c r="BE43" s="17" t="s">
        <v>2012</v>
      </c>
      <c r="BF43" s="21">
        <v>45449</v>
      </c>
      <c r="BG43" s="21">
        <v>45814</v>
      </c>
      <c r="BH43" s="17"/>
      <c r="BI43" s="21">
        <v>46847</v>
      </c>
      <c r="BJ43" s="17">
        <v>0</v>
      </c>
      <c r="BK43" s="17" t="s">
        <v>741</v>
      </c>
      <c r="BL43" s="17" t="s">
        <v>459</v>
      </c>
      <c r="BM43" s="17" t="b">
        <v>1</v>
      </c>
      <c r="BN43" s="17" t="b">
        <v>1</v>
      </c>
      <c r="BO43" s="17" t="b">
        <v>1</v>
      </c>
      <c r="BP43" s="17" t="b">
        <v>1</v>
      </c>
      <c r="BQ43" s="17" t="b">
        <v>0</v>
      </c>
      <c r="BR43" s="17" t="b">
        <v>0</v>
      </c>
      <c r="BS43" s="17" t="b">
        <v>0</v>
      </c>
      <c r="BT43" s="17" t="b">
        <v>0</v>
      </c>
      <c r="BU43" s="17" t="b">
        <v>1</v>
      </c>
      <c r="BV43" s="17">
        <v>0</v>
      </c>
      <c r="BW43" s="21">
        <v>43410</v>
      </c>
      <c r="BX43" s="17" t="s">
        <v>414</v>
      </c>
      <c r="BY43" s="17" t="s">
        <v>414</v>
      </c>
      <c r="BZ43" s="17">
        <v>0</v>
      </c>
      <c r="CA43" s="21">
        <v>45951</v>
      </c>
      <c r="CB43" s="17" t="s">
        <v>438</v>
      </c>
      <c r="CC43" s="17" t="s">
        <v>2013</v>
      </c>
      <c r="CD43" s="21">
        <v>45595</v>
      </c>
      <c r="CE43" s="17" t="s">
        <v>415</v>
      </c>
      <c r="CF43" s="17" t="s">
        <v>742</v>
      </c>
      <c r="CG43" s="17" t="b">
        <v>0</v>
      </c>
      <c r="CH43" s="17" t="s">
        <v>425</v>
      </c>
      <c r="CI43" s="17">
        <v>0</v>
      </c>
      <c r="CJ43" s="21">
        <v>1</v>
      </c>
      <c r="CK43" s="21">
        <v>45902</v>
      </c>
      <c r="CL43" s="17" t="s">
        <v>414</v>
      </c>
      <c r="CM43" s="21">
        <v>1</v>
      </c>
      <c r="CN43" s="21">
        <v>1</v>
      </c>
      <c r="CO43" s="21">
        <v>1</v>
      </c>
      <c r="CP43" s="17" t="b">
        <v>0</v>
      </c>
      <c r="CQ43" s="17" t="b">
        <v>0</v>
      </c>
      <c r="CR43" s="17" t="b">
        <v>0</v>
      </c>
      <c r="CS43">
        <v>7100</v>
      </c>
      <c r="CT43" t="s">
        <v>1913</v>
      </c>
      <c r="CU43">
        <v>5461.54</v>
      </c>
      <c r="CV43">
        <v>1638.46</v>
      </c>
      <c r="CW43" s="22"/>
    </row>
    <row r="44" spans="1:101" x14ac:dyDescent="0.25">
      <c r="A44" s="20">
        <v>162</v>
      </c>
      <c r="B44" s="17" t="s">
        <v>743</v>
      </c>
      <c r="C44" s="17" t="s">
        <v>744</v>
      </c>
      <c r="D44" s="17" t="s">
        <v>85</v>
      </c>
      <c r="E44" s="17" t="s">
        <v>745</v>
      </c>
      <c r="F44" s="17" t="s">
        <v>746</v>
      </c>
      <c r="G44" s="17" t="s">
        <v>414</v>
      </c>
      <c r="H44" s="17" t="s">
        <v>512</v>
      </c>
      <c r="I44" s="17" t="s">
        <v>432</v>
      </c>
      <c r="J44" s="17" t="s">
        <v>16</v>
      </c>
      <c r="K44" s="17" t="b">
        <v>0</v>
      </c>
      <c r="L44" s="17" t="s">
        <v>747</v>
      </c>
      <c r="M44" s="21">
        <v>25992</v>
      </c>
      <c r="N44" s="17" t="s">
        <v>414</v>
      </c>
      <c r="O44" s="17" t="s">
        <v>17</v>
      </c>
      <c r="P44" s="17" t="s">
        <v>18</v>
      </c>
      <c r="Q44" s="17">
        <v>1</v>
      </c>
      <c r="R44" s="17" t="s">
        <v>19</v>
      </c>
      <c r="S44" s="17">
        <v>1</v>
      </c>
      <c r="T44" s="17" t="s">
        <v>422</v>
      </c>
      <c r="U44" s="21">
        <v>43028</v>
      </c>
      <c r="V44" s="17" t="s">
        <v>29</v>
      </c>
      <c r="W44" s="21">
        <v>1.5763888888888888</v>
      </c>
      <c r="X44" s="17" t="s">
        <v>513</v>
      </c>
      <c r="Y44" s="17" t="s">
        <v>21</v>
      </c>
      <c r="Z44" s="17">
        <v>949900</v>
      </c>
      <c r="AA44" s="17" t="s">
        <v>22</v>
      </c>
      <c r="AB44" s="17" t="s">
        <v>418</v>
      </c>
      <c r="AC44" s="17">
        <v>72</v>
      </c>
      <c r="AD44" s="21">
        <v>43488</v>
      </c>
      <c r="AE44" s="21">
        <v>45384</v>
      </c>
      <c r="AF44" s="17"/>
      <c r="AG44" s="21">
        <v>45749</v>
      </c>
      <c r="AH44" s="17">
        <v>34448241</v>
      </c>
      <c r="AI44" s="21">
        <v>43028</v>
      </c>
      <c r="AJ44" s="17">
        <v>4121</v>
      </c>
      <c r="AK44" s="17">
        <v>0.29749999999999999</v>
      </c>
      <c r="AL44" s="17">
        <v>1226</v>
      </c>
      <c r="AM44" s="17" t="b">
        <v>1</v>
      </c>
      <c r="AN44" s="17" t="b">
        <v>1</v>
      </c>
      <c r="AO44" s="21">
        <v>45449</v>
      </c>
      <c r="AP44" s="21">
        <v>45449</v>
      </c>
      <c r="AQ44" s="17" t="b">
        <v>0</v>
      </c>
      <c r="AR44" s="21">
        <v>45449</v>
      </c>
      <c r="AS44" s="21">
        <v>45449</v>
      </c>
      <c r="AT44" s="21">
        <v>42936</v>
      </c>
      <c r="AU44" s="17" t="b">
        <v>0</v>
      </c>
      <c r="AV44" s="21">
        <v>43120</v>
      </c>
      <c r="AW44" s="17" t="s">
        <v>41</v>
      </c>
      <c r="AX44" s="17" t="s">
        <v>41</v>
      </c>
      <c r="AY44" s="17" t="s">
        <v>41</v>
      </c>
      <c r="AZ44" s="17" t="s">
        <v>520</v>
      </c>
      <c r="BA44" s="21">
        <v>45449</v>
      </c>
      <c r="BB44" s="17">
        <v>0</v>
      </c>
      <c r="BC44" s="17"/>
      <c r="BD44" s="17" t="b">
        <v>0</v>
      </c>
      <c r="BE44" s="17" t="s">
        <v>2014</v>
      </c>
      <c r="BF44" s="21">
        <v>45449</v>
      </c>
      <c r="BG44" s="21">
        <v>45814</v>
      </c>
      <c r="BH44" s="17"/>
      <c r="BI44" s="21">
        <v>46216</v>
      </c>
      <c r="BJ44" s="17">
        <v>0</v>
      </c>
      <c r="BK44" s="17" t="s">
        <v>436</v>
      </c>
      <c r="BL44" s="17" t="s">
        <v>443</v>
      </c>
      <c r="BM44" s="17" t="b">
        <v>1</v>
      </c>
      <c r="BN44" s="17" t="b">
        <v>0</v>
      </c>
      <c r="BO44" s="17" t="b">
        <v>1</v>
      </c>
      <c r="BP44" s="17" t="b">
        <v>0</v>
      </c>
      <c r="BQ44" s="17" t="b">
        <v>1</v>
      </c>
      <c r="BR44" s="17" t="b">
        <v>1</v>
      </c>
      <c r="BS44" s="17" t="b">
        <v>1</v>
      </c>
      <c r="BT44" s="17" t="b">
        <v>1</v>
      </c>
      <c r="BU44" s="17" t="b">
        <v>0</v>
      </c>
      <c r="BV44" s="17">
        <v>0</v>
      </c>
      <c r="BW44" s="21">
        <v>43059</v>
      </c>
      <c r="BX44" s="17" t="s">
        <v>414</v>
      </c>
      <c r="BY44" s="17" t="s">
        <v>414</v>
      </c>
      <c r="BZ44" s="17">
        <v>0</v>
      </c>
      <c r="CA44" s="21">
        <v>45951</v>
      </c>
      <c r="CB44" s="17" t="s">
        <v>438</v>
      </c>
      <c r="CC44" s="17" t="s">
        <v>2015</v>
      </c>
      <c r="CD44" s="21"/>
      <c r="CE44" s="17"/>
      <c r="CF44" s="17" t="s">
        <v>748</v>
      </c>
      <c r="CG44" s="17" t="b">
        <v>0</v>
      </c>
      <c r="CH44" s="17" t="s">
        <v>425</v>
      </c>
      <c r="CI44" s="17">
        <v>0</v>
      </c>
      <c r="CJ44" s="21">
        <v>45852</v>
      </c>
      <c r="CK44" s="21">
        <v>45902</v>
      </c>
      <c r="CL44" s="17" t="s">
        <v>414</v>
      </c>
      <c r="CM44" s="21">
        <v>1</v>
      </c>
      <c r="CN44" s="21">
        <v>1</v>
      </c>
      <c r="CO44" s="21">
        <v>1</v>
      </c>
      <c r="CP44" s="17" t="b">
        <v>0</v>
      </c>
      <c r="CQ44" s="17" t="b">
        <v>1</v>
      </c>
      <c r="CR44" s="17" t="b">
        <v>0</v>
      </c>
      <c r="CS44">
        <v>7100</v>
      </c>
      <c r="CT44" t="s">
        <v>1913</v>
      </c>
      <c r="CU44">
        <v>5461.54</v>
      </c>
      <c r="CV44">
        <v>1638.46</v>
      </c>
      <c r="CW44" s="22"/>
    </row>
    <row r="45" spans="1:101" x14ac:dyDescent="0.25">
      <c r="A45" s="20">
        <v>163</v>
      </c>
      <c r="B45" s="17" t="s">
        <v>611</v>
      </c>
      <c r="C45" s="17" t="s">
        <v>550</v>
      </c>
      <c r="D45" s="17" t="s">
        <v>86</v>
      </c>
      <c r="E45" s="17" t="s">
        <v>749</v>
      </c>
      <c r="F45" s="17" t="s">
        <v>750</v>
      </c>
      <c r="G45" s="17" t="s">
        <v>414</v>
      </c>
      <c r="H45" s="17" t="s">
        <v>512</v>
      </c>
      <c r="I45" s="17" t="s">
        <v>432</v>
      </c>
      <c r="J45" s="17" t="s">
        <v>16</v>
      </c>
      <c r="K45" s="17" t="b">
        <v>0</v>
      </c>
      <c r="L45" s="17" t="s">
        <v>751</v>
      </c>
      <c r="M45" s="21">
        <v>33110</v>
      </c>
      <c r="N45" s="17" t="s">
        <v>414</v>
      </c>
      <c r="O45" s="17" t="s">
        <v>17</v>
      </c>
      <c r="P45" s="17" t="s">
        <v>18</v>
      </c>
      <c r="Q45" s="17">
        <v>1</v>
      </c>
      <c r="R45" s="17" t="s">
        <v>19</v>
      </c>
      <c r="S45" s="17">
        <v>1</v>
      </c>
      <c r="T45" s="17" t="s">
        <v>422</v>
      </c>
      <c r="U45" s="21">
        <v>42936</v>
      </c>
      <c r="V45" s="17" t="s">
        <v>29</v>
      </c>
      <c r="W45" s="21">
        <v>1.0868055555555554</v>
      </c>
      <c r="X45" s="17" t="s">
        <v>551</v>
      </c>
      <c r="Y45" s="17" t="s">
        <v>21</v>
      </c>
      <c r="Z45" s="17">
        <v>949900</v>
      </c>
      <c r="AA45" s="17" t="s">
        <v>22</v>
      </c>
      <c r="AB45" s="17" t="s">
        <v>418</v>
      </c>
      <c r="AC45" s="17">
        <v>52</v>
      </c>
      <c r="AD45" s="21">
        <v>43465</v>
      </c>
      <c r="AE45" s="21">
        <v>45384</v>
      </c>
      <c r="AF45" s="17"/>
      <c r="AG45" s="21">
        <v>45749</v>
      </c>
      <c r="AH45" s="17">
        <v>67633473</v>
      </c>
      <c r="AI45" s="21">
        <v>43028</v>
      </c>
      <c r="AJ45" s="17">
        <v>4121</v>
      </c>
      <c r="AK45" s="17">
        <v>0.29749999999999999</v>
      </c>
      <c r="AL45" s="17">
        <v>1226</v>
      </c>
      <c r="AM45" s="17" t="b">
        <v>1</v>
      </c>
      <c r="AN45" s="17" t="b">
        <v>1</v>
      </c>
      <c r="AO45" s="21">
        <v>45477</v>
      </c>
      <c r="AP45" s="21">
        <v>45477</v>
      </c>
      <c r="AQ45" s="17" t="b">
        <v>0</v>
      </c>
      <c r="AR45" s="21">
        <v>45477</v>
      </c>
      <c r="AS45" s="21">
        <v>45477</v>
      </c>
      <c r="AT45" s="21">
        <v>42936</v>
      </c>
      <c r="AU45" s="17" t="b">
        <v>0</v>
      </c>
      <c r="AV45" s="21">
        <v>43028</v>
      </c>
      <c r="AW45" s="17" t="s">
        <v>23</v>
      </c>
      <c r="AX45" s="17" t="s">
        <v>23</v>
      </c>
      <c r="AY45" s="17" t="s">
        <v>23</v>
      </c>
      <c r="AZ45" s="17" t="s">
        <v>520</v>
      </c>
      <c r="BA45" s="21">
        <v>45477</v>
      </c>
      <c r="BB45" s="17">
        <v>0</v>
      </c>
      <c r="BC45" s="17"/>
      <c r="BD45" s="17" t="b">
        <v>0</v>
      </c>
      <c r="BE45" s="17" t="s">
        <v>1964</v>
      </c>
      <c r="BF45" s="21">
        <v>45477</v>
      </c>
      <c r="BG45" s="21">
        <v>45842</v>
      </c>
      <c r="BH45" s="17"/>
      <c r="BI45" s="21">
        <v>47888</v>
      </c>
      <c r="BJ45" s="17">
        <v>0</v>
      </c>
      <c r="BK45" s="17" t="s">
        <v>443</v>
      </c>
      <c r="BL45" s="17" t="s">
        <v>443</v>
      </c>
      <c r="BM45" s="17" t="b">
        <v>1</v>
      </c>
      <c r="BN45" s="17" t="b">
        <v>0</v>
      </c>
      <c r="BO45" s="17" t="b">
        <v>1</v>
      </c>
      <c r="BP45" s="17" t="b">
        <v>1</v>
      </c>
      <c r="BQ45" s="17" t="b">
        <v>1</v>
      </c>
      <c r="BR45" s="17" t="b">
        <v>1</v>
      </c>
      <c r="BS45" s="17" t="b">
        <v>1</v>
      </c>
      <c r="BT45" s="17" t="b">
        <v>1</v>
      </c>
      <c r="BU45" s="17" t="b">
        <v>0</v>
      </c>
      <c r="BV45" s="17">
        <v>0</v>
      </c>
      <c r="BW45" s="21">
        <v>42967</v>
      </c>
      <c r="BX45" s="17" t="s">
        <v>414</v>
      </c>
      <c r="BY45" s="17" t="s">
        <v>414</v>
      </c>
      <c r="BZ45" s="17">
        <v>0</v>
      </c>
      <c r="CA45" s="21">
        <v>45951</v>
      </c>
      <c r="CB45" s="17" t="s">
        <v>438</v>
      </c>
      <c r="CC45" s="17" t="s">
        <v>2016</v>
      </c>
      <c r="CD45" s="21"/>
      <c r="CE45" s="17"/>
      <c r="CF45" s="17" t="s">
        <v>752</v>
      </c>
      <c r="CG45" s="17" t="b">
        <v>0</v>
      </c>
      <c r="CH45" s="17" t="s">
        <v>425</v>
      </c>
      <c r="CI45" s="17">
        <v>0</v>
      </c>
      <c r="CJ45" s="21">
        <v>45840</v>
      </c>
      <c r="CK45" s="21">
        <v>1</v>
      </c>
      <c r="CL45" s="17" t="s">
        <v>414</v>
      </c>
      <c r="CM45" s="21">
        <v>1</v>
      </c>
      <c r="CN45" s="21">
        <v>1</v>
      </c>
      <c r="CO45" s="21">
        <v>1</v>
      </c>
      <c r="CP45" s="17" t="b">
        <v>0</v>
      </c>
      <c r="CQ45" s="17" t="b">
        <v>1</v>
      </c>
      <c r="CR45" s="17" t="b">
        <v>0</v>
      </c>
      <c r="CS45">
        <v>7100</v>
      </c>
      <c r="CT45" t="s">
        <v>1913</v>
      </c>
      <c r="CU45">
        <v>5461.54</v>
      </c>
      <c r="CV45">
        <v>1638.46</v>
      </c>
      <c r="CW45" s="22"/>
    </row>
    <row r="46" spans="1:101" x14ac:dyDescent="0.25">
      <c r="A46" s="20">
        <v>164</v>
      </c>
      <c r="B46" s="17" t="s">
        <v>559</v>
      </c>
      <c r="C46" s="17" t="s">
        <v>753</v>
      </c>
      <c r="D46" s="17" t="s">
        <v>87</v>
      </c>
      <c r="E46" s="17" t="s">
        <v>754</v>
      </c>
      <c r="F46" s="17" t="s">
        <v>755</v>
      </c>
      <c r="G46" s="17" t="s">
        <v>414</v>
      </c>
      <c r="H46" s="17" t="s">
        <v>512</v>
      </c>
      <c r="I46" s="17" t="s">
        <v>432</v>
      </c>
      <c r="J46" s="17" t="s">
        <v>16</v>
      </c>
      <c r="K46" s="17" t="b">
        <v>0</v>
      </c>
      <c r="L46" s="17" t="s">
        <v>756</v>
      </c>
      <c r="M46" s="21">
        <v>31832</v>
      </c>
      <c r="N46" s="17" t="s">
        <v>414</v>
      </c>
      <c r="O46" s="17" t="s">
        <v>17</v>
      </c>
      <c r="P46" s="17" t="s">
        <v>18</v>
      </c>
      <c r="Q46" s="17">
        <v>1</v>
      </c>
      <c r="R46" s="17" t="s">
        <v>19</v>
      </c>
      <c r="S46" s="17">
        <v>1</v>
      </c>
      <c r="T46" s="17" t="s">
        <v>422</v>
      </c>
      <c r="U46" s="21">
        <v>43003</v>
      </c>
      <c r="V46" s="17" t="s">
        <v>29</v>
      </c>
      <c r="W46" s="21">
        <v>1.5763888888888888</v>
      </c>
      <c r="X46" s="17" t="s">
        <v>513</v>
      </c>
      <c r="Y46" s="17" t="s">
        <v>21</v>
      </c>
      <c r="Z46" s="17">
        <v>949900</v>
      </c>
      <c r="AA46" s="17" t="s">
        <v>22</v>
      </c>
      <c r="AB46" s="17" t="s">
        <v>418</v>
      </c>
      <c r="AC46" s="17">
        <v>91</v>
      </c>
      <c r="AD46" s="21">
        <v>43503</v>
      </c>
      <c r="AE46" s="21">
        <v>45403</v>
      </c>
      <c r="AF46" s="17"/>
      <c r="AG46" s="21">
        <v>45768</v>
      </c>
      <c r="AH46" s="17">
        <v>20613090</v>
      </c>
      <c r="AI46" s="21">
        <v>43003</v>
      </c>
      <c r="AJ46" s="17">
        <v>4121</v>
      </c>
      <c r="AK46" s="17">
        <v>0.29749999999999999</v>
      </c>
      <c r="AL46" s="17">
        <v>1226</v>
      </c>
      <c r="AM46" s="17" t="b">
        <v>1</v>
      </c>
      <c r="AN46" s="17" t="b">
        <v>1</v>
      </c>
      <c r="AO46" s="21">
        <v>45477</v>
      </c>
      <c r="AP46" s="21">
        <v>45477</v>
      </c>
      <c r="AQ46" s="17" t="b">
        <v>0</v>
      </c>
      <c r="AR46" s="21">
        <v>45477</v>
      </c>
      <c r="AS46" s="21">
        <v>45477</v>
      </c>
      <c r="AT46" s="21">
        <v>42911</v>
      </c>
      <c r="AU46" s="17" t="b">
        <v>0</v>
      </c>
      <c r="AV46" s="21">
        <v>43094</v>
      </c>
      <c r="AW46" s="17" t="s">
        <v>23</v>
      </c>
      <c r="AX46" s="17" t="s">
        <v>23</v>
      </c>
      <c r="AY46" s="17" t="s">
        <v>23</v>
      </c>
      <c r="AZ46" s="17" t="s">
        <v>520</v>
      </c>
      <c r="BA46" s="21">
        <v>45477</v>
      </c>
      <c r="BB46" s="17">
        <v>0</v>
      </c>
      <c r="BC46" s="17"/>
      <c r="BD46" s="17" t="b">
        <v>0</v>
      </c>
      <c r="BE46" s="17" t="s">
        <v>2017</v>
      </c>
      <c r="BF46" s="21">
        <v>45477</v>
      </c>
      <c r="BG46" s="21">
        <v>45842</v>
      </c>
      <c r="BH46" s="17"/>
      <c r="BI46" s="21">
        <v>46066</v>
      </c>
      <c r="BJ46" s="17">
        <v>0</v>
      </c>
      <c r="BK46" s="17" t="s">
        <v>423</v>
      </c>
      <c r="BL46" s="17" t="s">
        <v>443</v>
      </c>
      <c r="BM46" s="17" t="b">
        <v>0</v>
      </c>
      <c r="BN46" s="17" t="b">
        <v>1</v>
      </c>
      <c r="BO46" s="17" t="b">
        <v>1</v>
      </c>
      <c r="BP46" s="17" t="b">
        <v>1</v>
      </c>
      <c r="BQ46" s="17" t="b">
        <v>1</v>
      </c>
      <c r="BR46" s="17" t="b">
        <v>1</v>
      </c>
      <c r="BS46" s="17" t="b">
        <v>1</v>
      </c>
      <c r="BT46" s="17" t="b">
        <v>0</v>
      </c>
      <c r="BU46" s="17" t="b">
        <v>0</v>
      </c>
      <c r="BV46" s="17">
        <v>0</v>
      </c>
      <c r="BW46" s="21">
        <v>43033</v>
      </c>
      <c r="BX46" s="17" t="s">
        <v>414</v>
      </c>
      <c r="BY46" s="17" t="s">
        <v>414</v>
      </c>
      <c r="BZ46" s="17">
        <v>0</v>
      </c>
      <c r="CA46" s="21">
        <v>45951</v>
      </c>
      <c r="CB46" s="17" t="s">
        <v>438</v>
      </c>
      <c r="CC46" s="17" t="s">
        <v>2018</v>
      </c>
      <c r="CD46" s="21"/>
      <c r="CE46" s="17"/>
      <c r="CF46" s="17" t="s">
        <v>757</v>
      </c>
      <c r="CG46" s="17" t="b">
        <v>0</v>
      </c>
      <c r="CH46" s="17" t="s">
        <v>425</v>
      </c>
      <c r="CI46" s="17">
        <v>0</v>
      </c>
      <c r="CJ46" s="21">
        <v>45840</v>
      </c>
      <c r="CK46" s="21">
        <v>45902</v>
      </c>
      <c r="CL46" s="17" t="s">
        <v>414</v>
      </c>
      <c r="CM46" s="21">
        <v>1</v>
      </c>
      <c r="CN46" s="21">
        <v>1</v>
      </c>
      <c r="CO46" s="21">
        <v>1</v>
      </c>
      <c r="CP46" s="17" t="b">
        <v>0</v>
      </c>
      <c r="CQ46" s="17" t="b">
        <v>1</v>
      </c>
      <c r="CR46" s="17" t="b">
        <v>0</v>
      </c>
      <c r="CS46">
        <v>7100</v>
      </c>
      <c r="CT46" t="s">
        <v>1913</v>
      </c>
      <c r="CU46">
        <v>5461.54</v>
      </c>
      <c r="CV46">
        <v>1638.46</v>
      </c>
      <c r="CW46" s="22"/>
    </row>
    <row r="47" spans="1:101" x14ac:dyDescent="0.25">
      <c r="A47" s="20">
        <v>167</v>
      </c>
      <c r="B47" s="17" t="s">
        <v>411</v>
      </c>
      <c r="C47" s="17" t="s">
        <v>759</v>
      </c>
      <c r="D47" s="17" t="s">
        <v>88</v>
      </c>
      <c r="E47" s="17" t="s">
        <v>760</v>
      </c>
      <c r="F47" s="17" t="s">
        <v>761</v>
      </c>
      <c r="G47" s="17" t="s">
        <v>414</v>
      </c>
      <c r="H47" s="17" t="s">
        <v>512</v>
      </c>
      <c r="I47" s="17" t="s">
        <v>432</v>
      </c>
      <c r="J47" s="17" t="s">
        <v>16</v>
      </c>
      <c r="K47" s="17" t="b">
        <v>0</v>
      </c>
      <c r="L47" s="17" t="s">
        <v>762</v>
      </c>
      <c r="M47" s="21">
        <v>27518</v>
      </c>
      <c r="N47" s="17" t="s">
        <v>414</v>
      </c>
      <c r="O47" s="17" t="s">
        <v>17</v>
      </c>
      <c r="P47" s="17" t="s">
        <v>18</v>
      </c>
      <c r="Q47" s="17">
        <v>1</v>
      </c>
      <c r="R47" s="17" t="s">
        <v>19</v>
      </c>
      <c r="S47" s="17">
        <v>1</v>
      </c>
      <c r="T47" s="17" t="s">
        <v>422</v>
      </c>
      <c r="U47" s="21">
        <v>42619</v>
      </c>
      <c r="V47" s="17" t="s">
        <v>29</v>
      </c>
      <c r="W47" s="21">
        <v>1.0868055555555554</v>
      </c>
      <c r="X47" s="17" t="s">
        <v>551</v>
      </c>
      <c r="Y47" s="17" t="s">
        <v>21</v>
      </c>
      <c r="Z47" s="17">
        <v>0</v>
      </c>
      <c r="AA47" s="17" t="s">
        <v>414</v>
      </c>
      <c r="AB47" s="17" t="s">
        <v>443</v>
      </c>
      <c r="AC47" s="17">
        <v>0</v>
      </c>
      <c r="AD47" s="21">
        <v>1</v>
      </c>
      <c r="AE47" s="21">
        <v>2</v>
      </c>
      <c r="AF47" s="17"/>
      <c r="AG47" s="21">
        <v>368</v>
      </c>
      <c r="AH47" s="17">
        <v>58513141</v>
      </c>
      <c r="AI47" s="21">
        <v>1</v>
      </c>
      <c r="AJ47" s="17">
        <v>0</v>
      </c>
      <c r="AK47" s="17">
        <v>0.29749999999999999</v>
      </c>
      <c r="AL47" s="17">
        <v>0</v>
      </c>
      <c r="AM47" s="17" t="b">
        <v>0</v>
      </c>
      <c r="AN47" s="17" t="b">
        <v>0</v>
      </c>
      <c r="AO47" s="21">
        <v>45477</v>
      </c>
      <c r="AP47" s="21">
        <v>45477</v>
      </c>
      <c r="AQ47" s="17" t="b">
        <v>0</v>
      </c>
      <c r="AR47" s="21">
        <v>45477</v>
      </c>
      <c r="AS47" s="21">
        <v>45477</v>
      </c>
      <c r="AT47" s="21">
        <v>-90</v>
      </c>
      <c r="AU47" s="17" t="b">
        <v>0</v>
      </c>
      <c r="AV47" s="21">
        <v>42710</v>
      </c>
      <c r="AW47" s="17" t="s">
        <v>41</v>
      </c>
      <c r="AX47" s="17" t="s">
        <v>41</v>
      </c>
      <c r="AY47" s="17" t="s">
        <v>23</v>
      </c>
      <c r="AZ47" s="17" t="s">
        <v>450</v>
      </c>
      <c r="BA47" s="21">
        <v>45477</v>
      </c>
      <c r="BB47" s="17">
        <v>0</v>
      </c>
      <c r="BC47" s="17"/>
      <c r="BD47" s="17" t="b">
        <v>0</v>
      </c>
      <c r="BE47" s="17" t="s">
        <v>2019</v>
      </c>
      <c r="BF47" s="21">
        <v>45477</v>
      </c>
      <c r="BG47" s="21">
        <v>45842</v>
      </c>
      <c r="BH47" s="17"/>
      <c r="BI47" s="21">
        <v>46287</v>
      </c>
      <c r="BJ47" s="17">
        <v>0</v>
      </c>
      <c r="BK47" s="17" t="s">
        <v>443</v>
      </c>
      <c r="BL47" s="17" t="s">
        <v>443</v>
      </c>
      <c r="BM47" s="17" t="b">
        <v>1</v>
      </c>
      <c r="BN47" s="17" t="b">
        <v>0</v>
      </c>
      <c r="BO47" s="17" t="b">
        <v>0</v>
      </c>
      <c r="BP47" s="17" t="b">
        <v>1</v>
      </c>
      <c r="BQ47" s="17" t="b">
        <v>0</v>
      </c>
      <c r="BR47" s="17" t="b">
        <v>0</v>
      </c>
      <c r="BS47" s="17" t="b">
        <v>1</v>
      </c>
      <c r="BT47" s="17" t="b">
        <v>0</v>
      </c>
      <c r="BU47" s="17" t="b">
        <v>0</v>
      </c>
      <c r="BV47" s="17">
        <v>0</v>
      </c>
      <c r="BW47" s="21">
        <v>42649</v>
      </c>
      <c r="BX47" s="17" t="s">
        <v>414</v>
      </c>
      <c r="BY47" s="17" t="s">
        <v>414</v>
      </c>
      <c r="BZ47" s="17">
        <v>0</v>
      </c>
      <c r="CA47" s="21">
        <v>45951</v>
      </c>
      <c r="CB47" s="17" t="s">
        <v>438</v>
      </c>
      <c r="CC47" s="17" t="s">
        <v>2020</v>
      </c>
      <c r="CD47" s="21">
        <v>45595</v>
      </c>
      <c r="CE47" s="17" t="s">
        <v>415</v>
      </c>
      <c r="CF47" s="17" t="s">
        <v>763</v>
      </c>
      <c r="CG47" s="17" t="b">
        <v>0</v>
      </c>
      <c r="CH47" s="17" t="s">
        <v>425</v>
      </c>
      <c r="CI47" s="17">
        <v>0</v>
      </c>
      <c r="CJ47" s="21">
        <v>1</v>
      </c>
      <c r="CK47" s="21">
        <v>1</v>
      </c>
      <c r="CL47" s="17" t="s">
        <v>414</v>
      </c>
      <c r="CM47" s="21">
        <v>1</v>
      </c>
      <c r="CN47" s="21">
        <v>1</v>
      </c>
      <c r="CO47" s="21">
        <v>1</v>
      </c>
      <c r="CP47" s="17" t="b">
        <v>0</v>
      </c>
      <c r="CQ47" s="17" t="b">
        <v>0</v>
      </c>
      <c r="CR47" s="17" t="b">
        <v>0</v>
      </c>
      <c r="CS47">
        <v>0</v>
      </c>
      <c r="CT47" t="s">
        <v>1934</v>
      </c>
      <c r="CU47">
        <v>0</v>
      </c>
      <c r="CV47">
        <v>0</v>
      </c>
      <c r="CW47" s="22"/>
    </row>
    <row r="48" spans="1:101" x14ac:dyDescent="0.25">
      <c r="A48" s="20">
        <v>194</v>
      </c>
      <c r="B48" s="17" t="s">
        <v>769</v>
      </c>
      <c r="C48" s="17" t="s">
        <v>595</v>
      </c>
      <c r="D48" s="17" t="s">
        <v>89</v>
      </c>
      <c r="E48" s="17" t="s">
        <v>770</v>
      </c>
      <c r="F48" s="17" t="s">
        <v>771</v>
      </c>
      <c r="G48" s="17" t="s">
        <v>772</v>
      </c>
      <c r="H48" s="17" t="s">
        <v>773</v>
      </c>
      <c r="I48" s="17" t="s">
        <v>739</v>
      </c>
      <c r="J48" s="17" t="s">
        <v>16</v>
      </c>
      <c r="K48" s="17" t="b">
        <v>0</v>
      </c>
      <c r="L48" s="17" t="s">
        <v>774</v>
      </c>
      <c r="M48" s="21">
        <v>36687</v>
      </c>
      <c r="N48" s="17" t="s">
        <v>414</v>
      </c>
      <c r="O48" s="17" t="s">
        <v>17</v>
      </c>
      <c r="P48" s="17" t="s">
        <v>18</v>
      </c>
      <c r="Q48" s="17">
        <v>4</v>
      </c>
      <c r="R48" s="17" t="s">
        <v>54</v>
      </c>
      <c r="S48" s="17">
        <v>4</v>
      </c>
      <c r="T48" s="17" t="s">
        <v>577</v>
      </c>
      <c r="U48" s="21">
        <v>43169</v>
      </c>
      <c r="V48" s="17" t="s">
        <v>20</v>
      </c>
      <c r="W48" s="21">
        <v>1.28125</v>
      </c>
      <c r="X48" s="17" t="s">
        <v>775</v>
      </c>
      <c r="Y48" s="17" t="s">
        <v>21</v>
      </c>
      <c r="Z48" s="17">
        <v>203100</v>
      </c>
      <c r="AA48" s="17" t="s">
        <v>55</v>
      </c>
      <c r="AB48" s="17" t="s">
        <v>414</v>
      </c>
      <c r="AC48" s="17">
        <v>0</v>
      </c>
      <c r="AD48" s="21">
        <v>1</v>
      </c>
      <c r="AE48" s="21">
        <v>1</v>
      </c>
      <c r="AF48" s="17"/>
      <c r="AG48" s="21">
        <v>367</v>
      </c>
      <c r="AH48" s="17">
        <v>74053367</v>
      </c>
      <c r="AI48" s="21">
        <v>43261</v>
      </c>
      <c r="AJ48" s="17">
        <v>2300</v>
      </c>
      <c r="AK48" s="17">
        <v>0.29749999999999999</v>
      </c>
      <c r="AL48" s="17">
        <v>684.25</v>
      </c>
      <c r="AM48" s="17" t="b">
        <v>1</v>
      </c>
      <c r="AN48" s="17" t="b">
        <v>1</v>
      </c>
      <c r="AO48" s="21">
        <v>45718</v>
      </c>
      <c r="AP48" s="21">
        <v>45718</v>
      </c>
      <c r="AQ48" s="17" t="b">
        <v>0</v>
      </c>
      <c r="AR48" s="21">
        <v>44993</v>
      </c>
      <c r="AS48" s="21">
        <v>45056</v>
      </c>
      <c r="AT48" s="21">
        <v>43169</v>
      </c>
      <c r="AU48" s="17" t="b">
        <v>0</v>
      </c>
      <c r="AV48" s="21">
        <v>43261</v>
      </c>
      <c r="AW48" s="17" t="s">
        <v>23</v>
      </c>
      <c r="AX48" s="17" t="s">
        <v>41</v>
      </c>
      <c r="AY48" s="17" t="s">
        <v>23</v>
      </c>
      <c r="AZ48" s="17" t="s">
        <v>414</v>
      </c>
      <c r="BA48" s="21">
        <v>45718</v>
      </c>
      <c r="BB48" s="17">
        <v>0</v>
      </c>
      <c r="BC48" s="17"/>
      <c r="BD48" s="17" t="b">
        <v>0</v>
      </c>
      <c r="BE48" s="17" t="s">
        <v>1907</v>
      </c>
      <c r="BF48" s="21">
        <v>45718</v>
      </c>
      <c r="BG48" s="21">
        <v>46083</v>
      </c>
      <c r="BH48" s="17"/>
      <c r="BI48" s="21">
        <v>48130</v>
      </c>
      <c r="BJ48" s="17">
        <v>0</v>
      </c>
      <c r="BK48" s="17" t="s">
        <v>436</v>
      </c>
      <c r="BL48" s="17" t="s">
        <v>776</v>
      </c>
      <c r="BM48" s="17" t="b">
        <v>1</v>
      </c>
      <c r="BN48" s="17" t="b">
        <v>0</v>
      </c>
      <c r="BO48" s="17" t="b">
        <v>1</v>
      </c>
      <c r="BP48" s="17" t="b">
        <v>1</v>
      </c>
      <c r="BQ48" s="17" t="b">
        <v>1</v>
      </c>
      <c r="BR48" s="17" t="b">
        <v>1</v>
      </c>
      <c r="BS48" s="17" t="b">
        <v>0</v>
      </c>
      <c r="BT48" s="17" t="b">
        <v>1</v>
      </c>
      <c r="BU48" s="17" t="b">
        <v>0</v>
      </c>
      <c r="BV48" s="17">
        <v>0</v>
      </c>
      <c r="BW48" s="21">
        <v>43200</v>
      </c>
      <c r="BX48" s="17" t="s">
        <v>414</v>
      </c>
      <c r="BY48" s="17" t="s">
        <v>414</v>
      </c>
      <c r="BZ48" s="17">
        <v>6410</v>
      </c>
      <c r="CA48" s="21">
        <v>45951</v>
      </c>
      <c r="CB48" s="17" t="s">
        <v>438</v>
      </c>
      <c r="CC48" s="17" t="s">
        <v>2021</v>
      </c>
      <c r="CD48" s="21">
        <v>44962</v>
      </c>
      <c r="CE48" s="17" t="s">
        <v>415</v>
      </c>
      <c r="CF48" s="17" t="s">
        <v>414</v>
      </c>
      <c r="CG48" s="17" t="b">
        <v>0</v>
      </c>
      <c r="CH48" s="17" t="s">
        <v>414</v>
      </c>
      <c r="CI48" s="17">
        <v>523</v>
      </c>
      <c r="CJ48" s="21">
        <v>45853</v>
      </c>
      <c r="CK48" s="21">
        <v>45902</v>
      </c>
      <c r="CL48" s="17" t="s">
        <v>414</v>
      </c>
      <c r="CM48" s="21">
        <v>1</v>
      </c>
      <c r="CN48" s="21">
        <v>1</v>
      </c>
      <c r="CO48" s="21">
        <v>1</v>
      </c>
      <c r="CP48" s="17" t="b">
        <v>0</v>
      </c>
      <c r="CQ48" s="17" t="b">
        <v>1</v>
      </c>
      <c r="CR48" s="17" t="b">
        <v>0</v>
      </c>
      <c r="CS48">
        <v>7300</v>
      </c>
      <c r="CT48" t="s">
        <v>1911</v>
      </c>
      <c r="CU48">
        <v>5615.38</v>
      </c>
      <c r="CV48">
        <v>1684.62</v>
      </c>
      <c r="CW48" s="22"/>
    </row>
    <row r="49" spans="1:101" x14ac:dyDescent="0.25">
      <c r="A49" s="20">
        <v>195</v>
      </c>
      <c r="B49" s="17" t="s">
        <v>777</v>
      </c>
      <c r="C49" s="17" t="s">
        <v>426</v>
      </c>
      <c r="D49" s="17" t="s">
        <v>90</v>
      </c>
      <c r="E49" s="17" t="s">
        <v>778</v>
      </c>
      <c r="F49" s="17" t="s">
        <v>779</v>
      </c>
      <c r="G49" s="17" t="s">
        <v>414</v>
      </c>
      <c r="H49" s="17" t="s">
        <v>421</v>
      </c>
      <c r="I49" s="17" t="s">
        <v>414</v>
      </c>
      <c r="J49" s="17" t="s">
        <v>16</v>
      </c>
      <c r="K49" s="17" t="b">
        <v>0</v>
      </c>
      <c r="L49" s="17" t="s">
        <v>780</v>
      </c>
      <c r="M49" s="21">
        <v>33573</v>
      </c>
      <c r="N49" s="17" t="s">
        <v>414</v>
      </c>
      <c r="O49" s="17" t="s">
        <v>17</v>
      </c>
      <c r="P49" s="17" t="s">
        <v>18</v>
      </c>
      <c r="Q49" s="17">
        <v>4</v>
      </c>
      <c r="R49" s="17" t="s">
        <v>54</v>
      </c>
      <c r="S49" s="17">
        <v>4</v>
      </c>
      <c r="T49" s="17" t="s">
        <v>577</v>
      </c>
      <c r="U49" s="21">
        <v>43366</v>
      </c>
      <c r="V49" s="17" t="s">
        <v>58</v>
      </c>
      <c r="W49" s="21">
        <v>1</v>
      </c>
      <c r="X49" s="17" t="s">
        <v>58</v>
      </c>
      <c r="Y49" s="17" t="s">
        <v>21</v>
      </c>
      <c r="Z49" s="17">
        <v>203100</v>
      </c>
      <c r="AA49" s="17" t="s">
        <v>55</v>
      </c>
      <c r="AB49" s="17" t="s">
        <v>443</v>
      </c>
      <c r="AC49" s="17">
        <v>0</v>
      </c>
      <c r="AD49" s="21">
        <v>1</v>
      </c>
      <c r="AE49" s="21">
        <v>2</v>
      </c>
      <c r="AF49" s="17"/>
      <c r="AG49" s="21">
        <v>368</v>
      </c>
      <c r="AH49" s="17">
        <v>76690407</v>
      </c>
      <c r="AI49" s="21">
        <v>43435</v>
      </c>
      <c r="AJ49" s="17">
        <v>4115</v>
      </c>
      <c r="AK49" s="17">
        <v>0.29749999999999999</v>
      </c>
      <c r="AL49" s="17">
        <v>1224.21</v>
      </c>
      <c r="AM49" s="17" t="b">
        <v>1</v>
      </c>
      <c r="AN49" s="17" t="b">
        <v>1</v>
      </c>
      <c r="AO49" s="21">
        <v>45477</v>
      </c>
      <c r="AP49" s="21">
        <v>45477</v>
      </c>
      <c r="AQ49" s="17" t="b">
        <v>0</v>
      </c>
      <c r="AR49" s="21">
        <v>45477</v>
      </c>
      <c r="AS49" s="21">
        <v>45477</v>
      </c>
      <c r="AT49" s="21">
        <v>43344</v>
      </c>
      <c r="AU49" s="17" t="b">
        <v>0</v>
      </c>
      <c r="AV49" s="21">
        <v>43457</v>
      </c>
      <c r="AW49" s="17" t="s">
        <v>23</v>
      </c>
      <c r="AX49" s="17" t="s">
        <v>41</v>
      </c>
      <c r="AY49" s="17" t="s">
        <v>414</v>
      </c>
      <c r="AZ49" s="17" t="s">
        <v>414</v>
      </c>
      <c r="BA49" s="21">
        <v>45477</v>
      </c>
      <c r="BB49" s="17">
        <v>0</v>
      </c>
      <c r="BC49" s="17"/>
      <c r="BD49" s="17" t="b">
        <v>0</v>
      </c>
      <c r="BE49" s="17" t="s">
        <v>2022</v>
      </c>
      <c r="BF49" s="21">
        <v>45477</v>
      </c>
      <c r="BG49" s="21">
        <v>45842</v>
      </c>
      <c r="BH49" s="17"/>
      <c r="BI49" s="21">
        <v>47042</v>
      </c>
      <c r="BJ49" s="17">
        <v>0</v>
      </c>
      <c r="BK49" s="17" t="s">
        <v>418</v>
      </c>
      <c r="BL49" s="17" t="s">
        <v>428</v>
      </c>
      <c r="BM49" s="17" t="b">
        <v>1</v>
      </c>
      <c r="BN49" s="17" t="b">
        <v>0</v>
      </c>
      <c r="BO49" s="17" t="b">
        <v>1</v>
      </c>
      <c r="BP49" s="17" t="b">
        <v>1</v>
      </c>
      <c r="BQ49" s="17" t="b">
        <v>1</v>
      </c>
      <c r="BR49" s="17" t="b">
        <v>0</v>
      </c>
      <c r="BS49" s="17" t="b">
        <v>1</v>
      </c>
      <c r="BT49" s="17" t="b">
        <v>0</v>
      </c>
      <c r="BU49" s="17" t="b">
        <v>0</v>
      </c>
      <c r="BV49" s="17">
        <v>0</v>
      </c>
      <c r="BW49" s="21">
        <v>43396</v>
      </c>
      <c r="BX49" s="17" t="s">
        <v>414</v>
      </c>
      <c r="BY49" s="17" t="s">
        <v>414</v>
      </c>
      <c r="BZ49" s="17">
        <v>0</v>
      </c>
      <c r="CA49" s="21">
        <v>45951</v>
      </c>
      <c r="CB49" s="17" t="s">
        <v>438</v>
      </c>
      <c r="CC49" s="17" t="s">
        <v>2023</v>
      </c>
      <c r="CD49" s="21"/>
      <c r="CE49" s="17"/>
      <c r="CF49" s="17" t="s">
        <v>414</v>
      </c>
      <c r="CG49" s="17" t="b">
        <v>0</v>
      </c>
      <c r="CH49" s="17" t="s">
        <v>425</v>
      </c>
      <c r="CI49" s="17">
        <v>523</v>
      </c>
      <c r="CJ49" s="21">
        <v>45846</v>
      </c>
      <c r="CK49" s="21">
        <v>45903</v>
      </c>
      <c r="CL49" s="17" t="s">
        <v>414</v>
      </c>
      <c r="CM49" s="21">
        <v>1</v>
      </c>
      <c r="CN49" s="21">
        <v>1</v>
      </c>
      <c r="CO49" s="21">
        <v>1</v>
      </c>
      <c r="CP49" s="17" t="b">
        <v>0</v>
      </c>
      <c r="CQ49" s="17" t="b">
        <v>1</v>
      </c>
      <c r="CR49" s="17" t="b">
        <v>0</v>
      </c>
      <c r="CS49">
        <v>7300</v>
      </c>
      <c r="CT49" t="s">
        <v>1911</v>
      </c>
      <c r="CU49">
        <v>5615.38</v>
      </c>
      <c r="CV49">
        <v>1684.62</v>
      </c>
      <c r="CW49" s="22"/>
    </row>
    <row r="50" spans="1:101" x14ac:dyDescent="0.25">
      <c r="A50" s="20">
        <v>200</v>
      </c>
      <c r="B50" s="17" t="s">
        <v>783</v>
      </c>
      <c r="C50" s="17" t="s">
        <v>784</v>
      </c>
      <c r="D50" s="17" t="s">
        <v>91</v>
      </c>
      <c r="E50" s="17" t="s">
        <v>785</v>
      </c>
      <c r="F50" s="17" t="s">
        <v>786</v>
      </c>
      <c r="G50" s="17" t="s">
        <v>414</v>
      </c>
      <c r="H50" s="17" t="s">
        <v>787</v>
      </c>
      <c r="I50" s="17" t="s">
        <v>414</v>
      </c>
      <c r="J50" s="17" t="s">
        <v>16</v>
      </c>
      <c r="K50" s="17" t="b">
        <v>0</v>
      </c>
      <c r="L50" s="17" t="s">
        <v>788</v>
      </c>
      <c r="M50" s="21">
        <v>35394</v>
      </c>
      <c r="N50" s="17" t="s">
        <v>414</v>
      </c>
      <c r="O50" s="17" t="s">
        <v>17</v>
      </c>
      <c r="P50" s="17" t="s">
        <v>18</v>
      </c>
      <c r="Q50" s="17">
        <v>1</v>
      </c>
      <c r="R50" s="17" t="s">
        <v>19</v>
      </c>
      <c r="S50" s="17">
        <v>1</v>
      </c>
      <c r="T50" s="17" t="s">
        <v>422</v>
      </c>
      <c r="U50" s="21">
        <v>42877</v>
      </c>
      <c r="V50" s="17" t="s">
        <v>20</v>
      </c>
      <c r="W50" s="21">
        <v>1.2881944444444446</v>
      </c>
      <c r="X50" s="17" t="s">
        <v>789</v>
      </c>
      <c r="Y50" s="17" t="s">
        <v>21</v>
      </c>
      <c r="Z50" s="17">
        <v>949900</v>
      </c>
      <c r="AA50" s="17" t="s">
        <v>22</v>
      </c>
      <c r="AB50" s="17" t="s">
        <v>418</v>
      </c>
      <c r="AC50" s="17">
        <v>38</v>
      </c>
      <c r="AD50" s="21">
        <v>43465</v>
      </c>
      <c r="AE50" s="21">
        <v>45168</v>
      </c>
      <c r="AF50" s="17"/>
      <c r="AG50" s="21">
        <v>45534</v>
      </c>
      <c r="AH50" s="17">
        <v>74658688</v>
      </c>
      <c r="AI50" s="21">
        <v>42969</v>
      </c>
      <c r="AJ50" s="17">
        <v>4121</v>
      </c>
      <c r="AK50" s="17">
        <v>0.29749999999999999</v>
      </c>
      <c r="AL50" s="17">
        <v>1226</v>
      </c>
      <c r="AM50" s="17" t="b">
        <v>1</v>
      </c>
      <c r="AN50" s="17" t="b">
        <v>1</v>
      </c>
      <c r="AO50" s="21">
        <v>45449</v>
      </c>
      <c r="AP50" s="21">
        <v>45449</v>
      </c>
      <c r="AQ50" s="17" t="b">
        <v>0</v>
      </c>
      <c r="AR50" s="21">
        <v>45449</v>
      </c>
      <c r="AS50" s="21">
        <v>45449</v>
      </c>
      <c r="AT50" s="21">
        <v>42877</v>
      </c>
      <c r="AU50" s="17" t="b">
        <v>0</v>
      </c>
      <c r="AV50" s="21">
        <v>42969</v>
      </c>
      <c r="AW50" s="17" t="s">
        <v>41</v>
      </c>
      <c r="AX50" s="17" t="s">
        <v>23</v>
      </c>
      <c r="AY50" s="17" t="s">
        <v>41</v>
      </c>
      <c r="AZ50" s="17" t="s">
        <v>414</v>
      </c>
      <c r="BA50" s="21">
        <v>45449</v>
      </c>
      <c r="BB50" s="17">
        <v>0</v>
      </c>
      <c r="BC50" s="17"/>
      <c r="BD50" s="17" t="b">
        <v>0</v>
      </c>
      <c r="BE50" s="17" t="s">
        <v>2024</v>
      </c>
      <c r="BF50" s="21">
        <v>45449</v>
      </c>
      <c r="BG50" s="21">
        <v>45814</v>
      </c>
      <c r="BH50" s="17"/>
      <c r="BI50" s="21">
        <v>47503</v>
      </c>
      <c r="BJ50" s="17">
        <v>0</v>
      </c>
      <c r="BK50" s="17" t="s">
        <v>418</v>
      </c>
      <c r="BL50" s="17" t="s">
        <v>418</v>
      </c>
      <c r="BM50" s="17" t="b">
        <v>1</v>
      </c>
      <c r="BN50" s="17" t="b">
        <v>0</v>
      </c>
      <c r="BO50" s="17" t="b">
        <v>1</v>
      </c>
      <c r="BP50" s="17" t="b">
        <v>1</v>
      </c>
      <c r="BQ50" s="17" t="b">
        <v>1</v>
      </c>
      <c r="BR50" s="17" t="b">
        <v>1</v>
      </c>
      <c r="BS50" s="17" t="b">
        <v>1</v>
      </c>
      <c r="BT50" s="17" t="b">
        <v>1</v>
      </c>
      <c r="BU50" s="17" t="b">
        <v>0</v>
      </c>
      <c r="BV50" s="17">
        <v>0</v>
      </c>
      <c r="BW50" s="21">
        <v>42908</v>
      </c>
      <c r="BX50" s="17" t="s">
        <v>414</v>
      </c>
      <c r="BY50" s="17" t="s">
        <v>414</v>
      </c>
      <c r="BZ50" s="17">
        <v>0</v>
      </c>
      <c r="CA50" s="21">
        <v>45951</v>
      </c>
      <c r="CB50" s="17" t="s">
        <v>438</v>
      </c>
      <c r="CC50" s="17" t="s">
        <v>2025</v>
      </c>
      <c r="CD50" s="21"/>
      <c r="CE50" s="17"/>
      <c r="CF50" s="17" t="s">
        <v>790</v>
      </c>
      <c r="CG50" s="17" t="b">
        <v>0</v>
      </c>
      <c r="CH50" s="17" t="s">
        <v>425</v>
      </c>
      <c r="CI50" s="17">
        <v>0</v>
      </c>
      <c r="CJ50" s="21">
        <v>45840</v>
      </c>
      <c r="CK50" s="21">
        <v>1</v>
      </c>
      <c r="CL50" s="17" t="s">
        <v>414</v>
      </c>
      <c r="CM50" s="21">
        <v>1</v>
      </c>
      <c r="CN50" s="21">
        <v>1</v>
      </c>
      <c r="CO50" s="21">
        <v>1</v>
      </c>
      <c r="CP50" s="17" t="b">
        <v>0</v>
      </c>
      <c r="CQ50" s="17" t="b">
        <v>1</v>
      </c>
      <c r="CR50" s="17" t="b">
        <v>0</v>
      </c>
      <c r="CS50">
        <v>7100</v>
      </c>
      <c r="CT50" t="s">
        <v>1913</v>
      </c>
      <c r="CU50">
        <v>5461.54</v>
      </c>
      <c r="CV50">
        <v>1638.46</v>
      </c>
      <c r="CW50" s="22"/>
    </row>
    <row r="51" spans="1:101" x14ac:dyDescent="0.25">
      <c r="A51" s="20">
        <v>204</v>
      </c>
      <c r="B51" s="17" t="s">
        <v>691</v>
      </c>
      <c r="C51" s="17" t="s">
        <v>792</v>
      </c>
      <c r="D51" s="17" t="s">
        <v>92</v>
      </c>
      <c r="E51" s="17" t="s">
        <v>793</v>
      </c>
      <c r="F51" s="17" t="s">
        <v>794</v>
      </c>
      <c r="G51" s="17" t="s">
        <v>414</v>
      </c>
      <c r="H51" s="17" t="s">
        <v>512</v>
      </c>
      <c r="I51" s="17" t="s">
        <v>432</v>
      </c>
      <c r="J51" s="17" t="s">
        <v>16</v>
      </c>
      <c r="K51" s="17" t="b">
        <v>0</v>
      </c>
      <c r="L51" s="17" t="s">
        <v>795</v>
      </c>
      <c r="M51" s="21">
        <v>31969</v>
      </c>
      <c r="N51" s="17" t="s">
        <v>414</v>
      </c>
      <c r="O51" s="17" t="s">
        <v>17</v>
      </c>
      <c r="P51" s="17" t="s">
        <v>18</v>
      </c>
      <c r="Q51" s="17">
        <v>5</v>
      </c>
      <c r="R51" s="17" t="s">
        <v>44</v>
      </c>
      <c r="S51" s="17">
        <v>5</v>
      </c>
      <c r="T51" s="17" t="s">
        <v>537</v>
      </c>
      <c r="U51" s="21">
        <v>42728</v>
      </c>
      <c r="V51" s="17" t="s">
        <v>29</v>
      </c>
      <c r="W51" s="21">
        <v>1.2847222222222223</v>
      </c>
      <c r="X51" s="17" t="s">
        <v>29</v>
      </c>
      <c r="Y51" s="17" t="s">
        <v>45</v>
      </c>
      <c r="Z51" s="17">
        <v>219433</v>
      </c>
      <c r="AA51" s="17" t="s">
        <v>62</v>
      </c>
      <c r="AB51" s="17" t="s">
        <v>418</v>
      </c>
      <c r="AC51" s="17">
        <v>56</v>
      </c>
      <c r="AD51" s="21">
        <v>43465</v>
      </c>
      <c r="AE51" s="21">
        <v>45384</v>
      </c>
      <c r="AF51" s="17"/>
      <c r="AG51" s="21">
        <v>45749</v>
      </c>
      <c r="AH51" s="17">
        <v>64337002</v>
      </c>
      <c r="AI51" s="21">
        <v>42818</v>
      </c>
      <c r="AJ51" s="17">
        <v>4115</v>
      </c>
      <c r="AK51" s="17">
        <v>0.29749999999999999</v>
      </c>
      <c r="AL51" s="17">
        <v>1224.21</v>
      </c>
      <c r="AM51" s="17" t="b">
        <v>1</v>
      </c>
      <c r="AN51" s="17" t="b">
        <v>1</v>
      </c>
      <c r="AO51" s="21">
        <v>45477</v>
      </c>
      <c r="AP51" s="21">
        <v>45477</v>
      </c>
      <c r="AQ51" s="17" t="b">
        <v>0</v>
      </c>
      <c r="AR51" s="21">
        <v>45477</v>
      </c>
      <c r="AS51" s="21">
        <v>45477</v>
      </c>
      <c r="AT51" s="21">
        <v>42728</v>
      </c>
      <c r="AU51" s="17" t="b">
        <v>0</v>
      </c>
      <c r="AV51" s="21">
        <v>42818</v>
      </c>
      <c r="AW51" s="17" t="s">
        <v>41</v>
      </c>
      <c r="AX51" s="17" t="s">
        <v>23</v>
      </c>
      <c r="AY51" s="17" t="s">
        <v>414</v>
      </c>
      <c r="AZ51" s="17" t="s">
        <v>414</v>
      </c>
      <c r="BA51" s="21">
        <v>45477</v>
      </c>
      <c r="BB51" s="17">
        <v>0</v>
      </c>
      <c r="BC51" s="17"/>
      <c r="BD51" s="17" t="b">
        <v>0</v>
      </c>
      <c r="BE51" s="17" t="s">
        <v>2026</v>
      </c>
      <c r="BF51" s="21">
        <v>45477</v>
      </c>
      <c r="BG51" s="21">
        <v>45842</v>
      </c>
      <c r="BH51" s="17"/>
      <c r="BI51" s="21">
        <v>46806</v>
      </c>
      <c r="BJ51" s="17">
        <v>0</v>
      </c>
      <c r="BK51" s="17" t="s">
        <v>418</v>
      </c>
      <c r="BL51" s="17" t="s">
        <v>418</v>
      </c>
      <c r="BM51" s="17" t="b">
        <v>1</v>
      </c>
      <c r="BN51" s="17" t="b">
        <v>0</v>
      </c>
      <c r="BO51" s="17" t="b">
        <v>1</v>
      </c>
      <c r="BP51" s="17" t="b">
        <v>1</v>
      </c>
      <c r="BQ51" s="17" t="b">
        <v>1</v>
      </c>
      <c r="BR51" s="17" t="b">
        <v>1</v>
      </c>
      <c r="BS51" s="17" t="b">
        <v>1</v>
      </c>
      <c r="BT51" s="17" t="b">
        <v>1</v>
      </c>
      <c r="BU51" s="17" t="b">
        <v>0</v>
      </c>
      <c r="BV51" s="17">
        <v>0</v>
      </c>
      <c r="BW51" s="21">
        <v>42759</v>
      </c>
      <c r="BX51" s="17" t="s">
        <v>414</v>
      </c>
      <c r="BY51" s="17" t="s">
        <v>414</v>
      </c>
      <c r="BZ51" s="17">
        <v>0</v>
      </c>
      <c r="CA51" s="21">
        <v>45951</v>
      </c>
      <c r="CB51" s="17" t="s">
        <v>438</v>
      </c>
      <c r="CC51" s="17" t="s">
        <v>2027</v>
      </c>
      <c r="CD51" s="21"/>
      <c r="CE51" s="17"/>
      <c r="CF51" s="17" t="s">
        <v>796</v>
      </c>
      <c r="CG51" s="17" t="b">
        <v>0</v>
      </c>
      <c r="CH51" s="17" t="s">
        <v>425</v>
      </c>
      <c r="CI51" s="17">
        <v>0</v>
      </c>
      <c r="CJ51" s="21">
        <v>45887</v>
      </c>
      <c r="CK51" s="21">
        <v>45903</v>
      </c>
      <c r="CL51" s="17" t="s">
        <v>414</v>
      </c>
      <c r="CM51" s="21">
        <v>1</v>
      </c>
      <c r="CN51" s="21">
        <v>1</v>
      </c>
      <c r="CO51" s="21">
        <v>1</v>
      </c>
      <c r="CP51" s="17" t="b">
        <v>0</v>
      </c>
      <c r="CQ51" s="17" t="b">
        <v>1</v>
      </c>
      <c r="CR51" s="17" t="b">
        <v>0</v>
      </c>
      <c r="CS51">
        <v>7300</v>
      </c>
      <c r="CT51" t="s">
        <v>1911</v>
      </c>
      <c r="CU51">
        <v>5615.38</v>
      </c>
      <c r="CV51">
        <v>1684.62</v>
      </c>
      <c r="CW51" s="22"/>
    </row>
    <row r="52" spans="1:101" x14ac:dyDescent="0.25">
      <c r="A52" s="20">
        <v>206</v>
      </c>
      <c r="B52" s="17" t="s">
        <v>426</v>
      </c>
      <c r="C52" s="17" t="s">
        <v>669</v>
      </c>
      <c r="D52" s="17" t="s">
        <v>93</v>
      </c>
      <c r="E52" s="17" t="s">
        <v>797</v>
      </c>
      <c r="F52" s="17" t="s">
        <v>798</v>
      </c>
      <c r="G52" s="17" t="s">
        <v>414</v>
      </c>
      <c r="H52" s="17" t="s">
        <v>421</v>
      </c>
      <c r="I52" s="17" t="s">
        <v>414</v>
      </c>
      <c r="J52" s="17" t="s">
        <v>16</v>
      </c>
      <c r="K52" s="17" t="b">
        <v>0</v>
      </c>
      <c r="L52" s="17" t="s">
        <v>799</v>
      </c>
      <c r="M52" s="21">
        <v>35947</v>
      </c>
      <c r="N52" s="17" t="s">
        <v>414</v>
      </c>
      <c r="O52" s="17" t="s">
        <v>17</v>
      </c>
      <c r="P52" s="17" t="s">
        <v>18</v>
      </c>
      <c r="Q52" s="17">
        <v>1</v>
      </c>
      <c r="R52" s="17" t="s">
        <v>19</v>
      </c>
      <c r="S52" s="17">
        <v>10</v>
      </c>
      <c r="T52" s="17" t="s">
        <v>657</v>
      </c>
      <c r="U52" s="21">
        <v>42917</v>
      </c>
      <c r="V52" s="17" t="s">
        <v>58</v>
      </c>
      <c r="W52" s="21">
        <v>1.7361111111111112</v>
      </c>
      <c r="X52" s="17" t="s">
        <v>800</v>
      </c>
      <c r="Y52" s="17" t="s">
        <v>21</v>
      </c>
      <c r="Z52" s="17">
        <v>949900</v>
      </c>
      <c r="AA52" s="17" t="s">
        <v>22</v>
      </c>
      <c r="AB52" s="17" t="s">
        <v>418</v>
      </c>
      <c r="AC52" s="17">
        <v>46</v>
      </c>
      <c r="AD52" s="21">
        <v>43465</v>
      </c>
      <c r="AE52" s="21">
        <v>45384</v>
      </c>
      <c r="AF52" s="17"/>
      <c r="AG52" s="21">
        <v>45749</v>
      </c>
      <c r="AH52" s="17">
        <v>74658716</v>
      </c>
      <c r="AI52" s="21">
        <v>43009</v>
      </c>
      <c r="AJ52" s="17">
        <v>4115</v>
      </c>
      <c r="AK52" s="17">
        <v>0.29749999999999999</v>
      </c>
      <c r="AL52" s="17">
        <v>1224.21</v>
      </c>
      <c r="AM52" s="17" t="b">
        <v>1</v>
      </c>
      <c r="AN52" s="17" t="b">
        <v>1</v>
      </c>
      <c r="AO52" s="21">
        <v>45398</v>
      </c>
      <c r="AP52" s="21">
        <v>45398</v>
      </c>
      <c r="AQ52" s="17" t="b">
        <v>0</v>
      </c>
      <c r="AR52" s="21">
        <v>45398</v>
      </c>
      <c r="AS52" s="21">
        <v>45398</v>
      </c>
      <c r="AT52" s="21">
        <v>42917</v>
      </c>
      <c r="AU52" s="17" t="b">
        <v>0</v>
      </c>
      <c r="AV52" s="21">
        <v>43009</v>
      </c>
      <c r="AW52" s="17" t="s">
        <v>41</v>
      </c>
      <c r="AX52" s="17" t="s">
        <v>23</v>
      </c>
      <c r="AY52" s="17" t="s">
        <v>41</v>
      </c>
      <c r="AZ52" s="17" t="s">
        <v>414</v>
      </c>
      <c r="BA52" s="21">
        <v>45398</v>
      </c>
      <c r="BB52" s="17">
        <v>0</v>
      </c>
      <c r="BC52" s="17"/>
      <c r="BD52" s="17" t="b">
        <v>0</v>
      </c>
      <c r="BE52" s="17" t="s">
        <v>2028</v>
      </c>
      <c r="BF52" s="21">
        <v>45398</v>
      </c>
      <c r="BG52" s="21">
        <v>45763</v>
      </c>
      <c r="BH52" s="17"/>
      <c r="BI52" s="21">
        <v>47544</v>
      </c>
      <c r="BJ52" s="17">
        <v>0</v>
      </c>
      <c r="BK52" s="17" t="s">
        <v>741</v>
      </c>
      <c r="BL52" s="17" t="s">
        <v>459</v>
      </c>
      <c r="BM52" s="17" t="b">
        <v>1</v>
      </c>
      <c r="BN52" s="17" t="b">
        <v>0</v>
      </c>
      <c r="BO52" s="17" t="b">
        <v>1</v>
      </c>
      <c r="BP52" s="17" t="b">
        <v>1</v>
      </c>
      <c r="BQ52" s="17" t="b">
        <v>1</v>
      </c>
      <c r="BR52" s="17" t="b">
        <v>1</v>
      </c>
      <c r="BS52" s="17" t="b">
        <v>1</v>
      </c>
      <c r="BT52" s="17" t="b">
        <v>1</v>
      </c>
      <c r="BU52" s="17" t="b">
        <v>0</v>
      </c>
      <c r="BV52" s="17">
        <v>0</v>
      </c>
      <c r="BW52" s="21">
        <v>42948</v>
      </c>
      <c r="BX52" s="17" t="s">
        <v>414</v>
      </c>
      <c r="BY52" s="17" t="s">
        <v>414</v>
      </c>
      <c r="BZ52" s="17">
        <v>0</v>
      </c>
      <c r="CA52" s="21">
        <v>45951</v>
      </c>
      <c r="CB52" s="17" t="s">
        <v>438</v>
      </c>
      <c r="CC52" s="17" t="s">
        <v>2029</v>
      </c>
      <c r="CD52" s="21"/>
      <c r="CE52" s="17"/>
      <c r="CF52" s="17" t="s">
        <v>801</v>
      </c>
      <c r="CG52" s="17" t="b">
        <v>0</v>
      </c>
      <c r="CH52" s="17" t="s">
        <v>425</v>
      </c>
      <c r="CI52" s="17">
        <v>0</v>
      </c>
      <c r="CJ52" s="21">
        <v>45852</v>
      </c>
      <c r="CK52" s="21">
        <v>45903</v>
      </c>
      <c r="CL52" s="17" t="s">
        <v>414</v>
      </c>
      <c r="CM52" s="21">
        <v>1</v>
      </c>
      <c r="CN52" s="21">
        <v>1</v>
      </c>
      <c r="CO52" s="21">
        <v>1</v>
      </c>
      <c r="CP52" s="17" t="b">
        <v>0</v>
      </c>
      <c r="CQ52" s="17" t="b">
        <v>1</v>
      </c>
      <c r="CR52" s="17" t="b">
        <v>0</v>
      </c>
      <c r="CS52">
        <v>7300</v>
      </c>
      <c r="CT52" t="s">
        <v>1911</v>
      </c>
      <c r="CU52">
        <v>5615.38</v>
      </c>
      <c r="CV52">
        <v>1684.62</v>
      </c>
      <c r="CW52" s="22"/>
    </row>
    <row r="53" spans="1:101" x14ac:dyDescent="0.25">
      <c r="A53" s="20">
        <v>216</v>
      </c>
      <c r="B53" s="17" t="s">
        <v>653</v>
      </c>
      <c r="C53" s="17" t="s">
        <v>530</v>
      </c>
      <c r="D53" s="17" t="s">
        <v>94</v>
      </c>
      <c r="E53" s="17" t="s">
        <v>802</v>
      </c>
      <c r="F53" s="17" t="s">
        <v>803</v>
      </c>
      <c r="G53" s="17" t="s">
        <v>414</v>
      </c>
      <c r="H53" s="17" t="s">
        <v>421</v>
      </c>
      <c r="I53" s="17" t="s">
        <v>414</v>
      </c>
      <c r="J53" s="17" t="s">
        <v>16</v>
      </c>
      <c r="K53" s="17" t="b">
        <v>0</v>
      </c>
      <c r="L53" s="17" t="s">
        <v>804</v>
      </c>
      <c r="M53" s="21">
        <v>36647</v>
      </c>
      <c r="N53" s="17" t="s">
        <v>414</v>
      </c>
      <c r="O53" s="17" t="s">
        <v>17</v>
      </c>
      <c r="P53" s="17" t="s">
        <v>18</v>
      </c>
      <c r="Q53" s="17">
        <v>2</v>
      </c>
      <c r="R53" s="17" t="s">
        <v>50</v>
      </c>
      <c r="S53" s="17">
        <v>42</v>
      </c>
      <c r="T53" s="17" t="s">
        <v>643</v>
      </c>
      <c r="U53" s="21">
        <v>43466</v>
      </c>
      <c r="V53" s="17" t="s">
        <v>58</v>
      </c>
      <c r="W53" s="21">
        <v>1.4097222222222223</v>
      </c>
      <c r="X53" s="17" t="s">
        <v>58</v>
      </c>
      <c r="Y53" s="17" t="s">
        <v>21</v>
      </c>
      <c r="Z53" s="17">
        <v>949900</v>
      </c>
      <c r="AA53" s="17" t="s">
        <v>22</v>
      </c>
      <c r="AB53" s="17" t="s">
        <v>418</v>
      </c>
      <c r="AC53" s="17">
        <v>151</v>
      </c>
      <c r="AD53" s="21">
        <v>44705</v>
      </c>
      <c r="AE53" s="21">
        <v>45077</v>
      </c>
      <c r="AF53" s="17"/>
      <c r="AG53" s="21">
        <v>45443</v>
      </c>
      <c r="AH53" s="17">
        <v>75812248</v>
      </c>
      <c r="AI53" s="21">
        <v>43435</v>
      </c>
      <c r="AJ53" s="17">
        <v>4100</v>
      </c>
      <c r="AK53" s="17">
        <v>0.29749999999999999</v>
      </c>
      <c r="AL53" s="17">
        <v>1219.75</v>
      </c>
      <c r="AM53" s="17" t="b">
        <v>1</v>
      </c>
      <c r="AN53" s="17" t="b">
        <v>1</v>
      </c>
      <c r="AO53" s="21">
        <v>45477</v>
      </c>
      <c r="AP53" s="21">
        <v>45477</v>
      </c>
      <c r="AQ53" s="17" t="b">
        <v>0</v>
      </c>
      <c r="AR53" s="21">
        <v>45477</v>
      </c>
      <c r="AS53" s="21">
        <v>45477</v>
      </c>
      <c r="AT53" s="21">
        <v>43344</v>
      </c>
      <c r="AU53" s="17" t="b">
        <v>0</v>
      </c>
      <c r="AV53" s="21">
        <v>43556</v>
      </c>
      <c r="AW53" s="17" t="s">
        <v>23</v>
      </c>
      <c r="AX53" s="17" t="s">
        <v>41</v>
      </c>
      <c r="AY53" s="17" t="s">
        <v>414</v>
      </c>
      <c r="AZ53" s="17" t="s">
        <v>414</v>
      </c>
      <c r="BA53" s="21">
        <v>45477</v>
      </c>
      <c r="BB53" s="17">
        <v>0</v>
      </c>
      <c r="BC53" s="17"/>
      <c r="BD53" s="17" t="b">
        <v>0</v>
      </c>
      <c r="BE53" s="17" t="s">
        <v>2030</v>
      </c>
      <c r="BF53" s="21">
        <v>45477</v>
      </c>
      <c r="BG53" s="21">
        <v>45842</v>
      </c>
      <c r="BH53" s="17"/>
      <c r="BI53" s="21">
        <v>46657</v>
      </c>
      <c r="BJ53" s="17">
        <v>0</v>
      </c>
      <c r="BK53" s="17" t="s">
        <v>418</v>
      </c>
      <c r="BL53" s="17" t="s">
        <v>459</v>
      </c>
      <c r="BM53" s="17" t="b">
        <v>1</v>
      </c>
      <c r="BN53" s="17" t="b">
        <v>0</v>
      </c>
      <c r="BO53" s="17" t="b">
        <v>1</v>
      </c>
      <c r="BP53" s="17" t="b">
        <v>1</v>
      </c>
      <c r="BQ53" s="17" t="b">
        <v>1</v>
      </c>
      <c r="BR53" s="17" t="b">
        <v>1</v>
      </c>
      <c r="BS53" s="17" t="b">
        <v>1</v>
      </c>
      <c r="BT53" s="17" t="b">
        <v>0</v>
      </c>
      <c r="BU53" s="17" t="b">
        <v>0</v>
      </c>
      <c r="BV53" s="17">
        <v>0</v>
      </c>
      <c r="BW53" s="21">
        <v>43497</v>
      </c>
      <c r="BX53" s="17" t="s">
        <v>414</v>
      </c>
      <c r="BY53" s="17" t="s">
        <v>414</v>
      </c>
      <c r="BZ53" s="17">
        <v>0</v>
      </c>
      <c r="CA53" s="21">
        <v>45951</v>
      </c>
      <c r="CB53" s="17" t="s">
        <v>438</v>
      </c>
      <c r="CC53" s="17" t="s">
        <v>2031</v>
      </c>
      <c r="CD53" s="21"/>
      <c r="CE53" s="17"/>
      <c r="CF53" s="17" t="s">
        <v>805</v>
      </c>
      <c r="CG53" s="17" t="b">
        <v>0</v>
      </c>
      <c r="CH53" s="17" t="s">
        <v>425</v>
      </c>
      <c r="CI53" s="17">
        <v>0</v>
      </c>
      <c r="CJ53" s="21">
        <v>45840</v>
      </c>
      <c r="CK53" s="21">
        <v>45903</v>
      </c>
      <c r="CL53" s="17" t="s">
        <v>414</v>
      </c>
      <c r="CM53" s="21">
        <v>1</v>
      </c>
      <c r="CN53" s="21">
        <v>1</v>
      </c>
      <c r="CO53" s="21">
        <v>1</v>
      </c>
      <c r="CP53" s="17" t="b">
        <v>0</v>
      </c>
      <c r="CQ53" s="17" t="b">
        <v>1</v>
      </c>
      <c r="CR53" s="17" t="b">
        <v>0</v>
      </c>
      <c r="CS53">
        <v>7300</v>
      </c>
      <c r="CT53" t="s">
        <v>1911</v>
      </c>
      <c r="CU53">
        <v>5615.38</v>
      </c>
      <c r="CV53">
        <v>1684.62</v>
      </c>
      <c r="CW53" s="22"/>
    </row>
    <row r="54" spans="1:101" x14ac:dyDescent="0.25">
      <c r="A54" s="20">
        <v>250</v>
      </c>
      <c r="B54" s="17" t="s">
        <v>514</v>
      </c>
      <c r="C54" s="17" t="s">
        <v>807</v>
      </c>
      <c r="D54" s="17" t="s">
        <v>95</v>
      </c>
      <c r="E54" s="17" t="s">
        <v>808</v>
      </c>
      <c r="F54" s="17" t="s">
        <v>809</v>
      </c>
      <c r="G54" s="17" t="s">
        <v>414</v>
      </c>
      <c r="H54" s="17" t="s">
        <v>810</v>
      </c>
      <c r="I54" s="17" t="s">
        <v>414</v>
      </c>
      <c r="J54" s="17" t="s">
        <v>16</v>
      </c>
      <c r="K54" s="17" t="b">
        <v>0</v>
      </c>
      <c r="L54" s="17" t="s">
        <v>811</v>
      </c>
      <c r="M54" s="21">
        <v>31488</v>
      </c>
      <c r="N54" s="17" t="s">
        <v>812</v>
      </c>
      <c r="O54" s="17" t="s">
        <v>17</v>
      </c>
      <c r="P54" s="17" t="s">
        <v>18</v>
      </c>
      <c r="Q54" s="17">
        <v>4</v>
      </c>
      <c r="R54" s="17" t="s">
        <v>54</v>
      </c>
      <c r="S54" s="17">
        <v>4</v>
      </c>
      <c r="T54" s="17" t="s">
        <v>577</v>
      </c>
      <c r="U54" s="21">
        <v>43983</v>
      </c>
      <c r="V54" s="17" t="s">
        <v>58</v>
      </c>
      <c r="W54" s="21">
        <v>1.2465277777777777</v>
      </c>
      <c r="X54" s="17" t="s">
        <v>813</v>
      </c>
      <c r="Y54" s="17" t="s">
        <v>21</v>
      </c>
      <c r="Z54" s="17">
        <v>203100</v>
      </c>
      <c r="AA54" s="17" t="s">
        <v>55</v>
      </c>
      <c r="AB54" s="17" t="s">
        <v>443</v>
      </c>
      <c r="AC54" s="17">
        <v>0</v>
      </c>
      <c r="AD54" s="21">
        <v>1</v>
      </c>
      <c r="AE54" s="21">
        <v>2</v>
      </c>
      <c r="AF54" s="17"/>
      <c r="AG54" s="21">
        <v>368</v>
      </c>
      <c r="AH54" s="17">
        <v>62915436</v>
      </c>
      <c r="AI54" s="21">
        <v>44013</v>
      </c>
      <c r="AJ54" s="17">
        <v>4115</v>
      </c>
      <c r="AK54" s="17">
        <v>0.29749999999999999</v>
      </c>
      <c r="AL54" s="17">
        <v>1224.21</v>
      </c>
      <c r="AM54" s="17" t="b">
        <v>1</v>
      </c>
      <c r="AN54" s="17" t="b">
        <v>1</v>
      </c>
      <c r="AO54" s="21">
        <v>45645</v>
      </c>
      <c r="AP54" s="21">
        <v>45645</v>
      </c>
      <c r="AQ54" s="17" t="b">
        <v>0</v>
      </c>
      <c r="AR54" s="21">
        <v>45645</v>
      </c>
      <c r="AS54" s="21">
        <v>45645</v>
      </c>
      <c r="AT54" s="21">
        <v>43922</v>
      </c>
      <c r="AU54" s="17" t="b">
        <v>0</v>
      </c>
      <c r="AV54" s="21">
        <v>44075</v>
      </c>
      <c r="AW54" s="17" t="s">
        <v>41</v>
      </c>
      <c r="AX54" s="17" t="s">
        <v>23</v>
      </c>
      <c r="AY54" s="17" t="s">
        <v>41</v>
      </c>
      <c r="AZ54" s="17" t="s">
        <v>414</v>
      </c>
      <c r="BA54" s="21">
        <v>45645</v>
      </c>
      <c r="BB54" s="17">
        <v>0</v>
      </c>
      <c r="BC54" s="17"/>
      <c r="BD54" s="17" t="b">
        <v>0</v>
      </c>
      <c r="BE54" s="17" t="s">
        <v>2032</v>
      </c>
      <c r="BF54" s="21">
        <v>45645</v>
      </c>
      <c r="BG54" s="21">
        <v>46010</v>
      </c>
      <c r="BH54" s="17"/>
      <c r="BI54" s="21">
        <v>47354</v>
      </c>
      <c r="BJ54" s="17">
        <v>0</v>
      </c>
      <c r="BK54" s="17" t="s">
        <v>418</v>
      </c>
      <c r="BL54" s="17" t="s">
        <v>418</v>
      </c>
      <c r="BM54" s="17" t="b">
        <v>1</v>
      </c>
      <c r="BN54" s="17" t="b">
        <v>1</v>
      </c>
      <c r="BO54" s="17" t="b">
        <v>1</v>
      </c>
      <c r="BP54" s="17" t="b">
        <v>1</v>
      </c>
      <c r="BQ54" s="17" t="b">
        <v>1</v>
      </c>
      <c r="BR54" s="17" t="b">
        <v>1</v>
      </c>
      <c r="BS54" s="17" t="b">
        <v>0</v>
      </c>
      <c r="BT54" s="17" t="b">
        <v>1</v>
      </c>
      <c r="BU54" s="17" t="b">
        <v>0</v>
      </c>
      <c r="BV54" s="17">
        <v>0</v>
      </c>
      <c r="BW54" s="21">
        <v>44013</v>
      </c>
      <c r="BX54" s="17" t="s">
        <v>414</v>
      </c>
      <c r="BY54" s="17" t="s">
        <v>414</v>
      </c>
      <c r="BZ54" s="17">
        <v>0</v>
      </c>
      <c r="CA54" s="21">
        <v>45951</v>
      </c>
      <c r="CB54" s="17" t="s">
        <v>438</v>
      </c>
      <c r="CC54" s="17" t="s">
        <v>2033</v>
      </c>
      <c r="CD54" s="21"/>
      <c r="CE54" s="17"/>
      <c r="CF54" s="17" t="s">
        <v>814</v>
      </c>
      <c r="CG54" s="17" t="b">
        <v>0</v>
      </c>
      <c r="CH54" s="17" t="s">
        <v>425</v>
      </c>
      <c r="CI54" s="17">
        <v>523</v>
      </c>
      <c r="CJ54" s="21">
        <v>45844</v>
      </c>
      <c r="CK54" s="21">
        <v>45903</v>
      </c>
      <c r="CL54" s="17" t="s">
        <v>414</v>
      </c>
      <c r="CM54" s="21">
        <v>1</v>
      </c>
      <c r="CN54" s="21">
        <v>1</v>
      </c>
      <c r="CO54" s="21">
        <v>1</v>
      </c>
      <c r="CP54" s="17" t="b">
        <v>0</v>
      </c>
      <c r="CQ54" s="17" t="b">
        <v>1</v>
      </c>
      <c r="CR54" s="17" t="b">
        <v>0</v>
      </c>
      <c r="CS54">
        <v>7300</v>
      </c>
      <c r="CT54" t="s">
        <v>1911</v>
      </c>
      <c r="CU54">
        <v>5615.38</v>
      </c>
      <c r="CV54">
        <v>1684.62</v>
      </c>
      <c r="CW54" s="22"/>
    </row>
    <row r="55" spans="1:101" x14ac:dyDescent="0.25">
      <c r="A55" s="20">
        <v>288</v>
      </c>
      <c r="B55" s="17" t="s">
        <v>817</v>
      </c>
      <c r="C55" s="17" t="s">
        <v>818</v>
      </c>
      <c r="D55" s="17" t="s">
        <v>819</v>
      </c>
      <c r="E55" s="17" t="s">
        <v>820</v>
      </c>
      <c r="F55" s="17" t="s">
        <v>821</v>
      </c>
      <c r="G55" s="17" t="s">
        <v>414</v>
      </c>
      <c r="H55" s="17" t="s">
        <v>822</v>
      </c>
      <c r="I55" s="17" t="s">
        <v>414</v>
      </c>
      <c r="J55" s="17" t="s">
        <v>96</v>
      </c>
      <c r="K55" s="17" t="b">
        <v>0</v>
      </c>
      <c r="L55" s="17" t="s">
        <v>414</v>
      </c>
      <c r="M55" s="21">
        <v>35079</v>
      </c>
      <c r="N55" s="17" t="s">
        <v>414</v>
      </c>
      <c r="O55" s="17" t="s">
        <v>17</v>
      </c>
      <c r="P55" s="17" t="s">
        <v>18</v>
      </c>
      <c r="Q55" s="17">
        <v>1</v>
      </c>
      <c r="R55" s="17" t="s">
        <v>19</v>
      </c>
      <c r="S55" s="17">
        <v>1</v>
      </c>
      <c r="T55" s="17" t="s">
        <v>422</v>
      </c>
      <c r="U55" s="21">
        <v>42736</v>
      </c>
      <c r="V55" s="17" t="s">
        <v>20</v>
      </c>
      <c r="W55" s="21">
        <v>1.2916666666666665</v>
      </c>
      <c r="X55" s="17" t="s">
        <v>823</v>
      </c>
      <c r="Y55" s="17" t="s">
        <v>21</v>
      </c>
      <c r="Z55" s="17">
        <v>0</v>
      </c>
      <c r="AA55" s="17" t="s">
        <v>414</v>
      </c>
      <c r="AB55" s="17" t="s">
        <v>443</v>
      </c>
      <c r="AC55" s="17">
        <v>0</v>
      </c>
      <c r="AD55" s="21">
        <v>45371</v>
      </c>
      <c r="AE55" s="21">
        <v>2</v>
      </c>
      <c r="AF55" s="17"/>
      <c r="AG55" s="21">
        <v>368</v>
      </c>
      <c r="AH55" s="17">
        <v>0</v>
      </c>
      <c r="AI55" s="21">
        <v>1</v>
      </c>
      <c r="AJ55" s="17">
        <v>0</v>
      </c>
      <c r="AK55" s="17">
        <v>0.29749999999999999</v>
      </c>
      <c r="AL55" s="17">
        <v>0</v>
      </c>
      <c r="AM55" s="17" t="b">
        <v>0</v>
      </c>
      <c r="AN55" s="17" t="b">
        <v>0</v>
      </c>
      <c r="AO55" s="21">
        <v>45371</v>
      </c>
      <c r="AP55" s="21">
        <v>45371</v>
      </c>
      <c r="AQ55" s="17" t="b">
        <v>0</v>
      </c>
      <c r="AR55" s="21">
        <v>45371</v>
      </c>
      <c r="AS55" s="21">
        <v>45371</v>
      </c>
      <c r="AT55" s="21">
        <v>-90</v>
      </c>
      <c r="AU55" s="17" t="b">
        <v>0</v>
      </c>
      <c r="AV55" s="21">
        <v>42826</v>
      </c>
      <c r="AW55" s="17" t="s">
        <v>23</v>
      </c>
      <c r="AX55" s="17" t="s">
        <v>41</v>
      </c>
      <c r="AY55" s="17" t="s">
        <v>41</v>
      </c>
      <c r="AZ55" s="17" t="s">
        <v>414</v>
      </c>
      <c r="BA55" s="21">
        <v>45371</v>
      </c>
      <c r="BB55" s="17">
        <v>0</v>
      </c>
      <c r="BC55" s="17"/>
      <c r="BD55" s="17" t="b">
        <v>0</v>
      </c>
      <c r="BE55" s="17" t="s">
        <v>2034</v>
      </c>
      <c r="BF55" s="21">
        <v>45371</v>
      </c>
      <c r="BG55" s="21">
        <v>45736</v>
      </c>
      <c r="BH55" s="17"/>
      <c r="BI55" s="21">
        <v>45371</v>
      </c>
      <c r="BJ55" s="17">
        <v>0</v>
      </c>
      <c r="BK55" s="17" t="s">
        <v>443</v>
      </c>
      <c r="BL55" s="17" t="s">
        <v>443</v>
      </c>
      <c r="BM55" s="17" t="b">
        <v>0</v>
      </c>
      <c r="BN55" s="17" t="b">
        <v>0</v>
      </c>
      <c r="BO55" s="17" t="b">
        <v>0</v>
      </c>
      <c r="BP55" s="17" t="b">
        <v>0</v>
      </c>
      <c r="BQ55" s="17" t="b">
        <v>0</v>
      </c>
      <c r="BR55" s="17" t="b">
        <v>0</v>
      </c>
      <c r="BS55" s="17" t="b">
        <v>0</v>
      </c>
      <c r="BT55" s="17" t="b">
        <v>0</v>
      </c>
      <c r="BU55" s="17" t="b">
        <v>0</v>
      </c>
      <c r="BV55" s="17">
        <v>0</v>
      </c>
      <c r="BW55" s="21">
        <v>42767</v>
      </c>
      <c r="BX55" s="17" t="s">
        <v>414</v>
      </c>
      <c r="BY55" s="17" t="s">
        <v>414</v>
      </c>
      <c r="BZ55" s="17">
        <v>0</v>
      </c>
      <c r="CA55" s="21">
        <v>45752</v>
      </c>
      <c r="CB55" s="17" t="s">
        <v>438</v>
      </c>
      <c r="CC55" s="17" t="s">
        <v>2035</v>
      </c>
      <c r="CD55" s="21"/>
      <c r="CE55" s="17"/>
      <c r="CF55" s="17" t="s">
        <v>414</v>
      </c>
      <c r="CG55" s="17" t="b">
        <v>0</v>
      </c>
      <c r="CH55" s="17" t="s">
        <v>414</v>
      </c>
      <c r="CI55" s="17"/>
      <c r="CJ55" s="21"/>
      <c r="CK55" s="21"/>
      <c r="CL55" s="17"/>
      <c r="CM55" s="21"/>
      <c r="CN55" s="21"/>
      <c r="CO55" s="21"/>
      <c r="CP55" s="17"/>
      <c r="CQ55" s="17"/>
      <c r="CR55" s="17"/>
      <c r="CW55" s="22"/>
    </row>
    <row r="56" spans="1:101" x14ac:dyDescent="0.25">
      <c r="A56" s="20">
        <v>298</v>
      </c>
      <c r="B56" s="17" t="s">
        <v>580</v>
      </c>
      <c r="C56" s="17" t="s">
        <v>420</v>
      </c>
      <c r="D56" s="17" t="s">
        <v>826</v>
      </c>
      <c r="E56" s="17" t="s">
        <v>827</v>
      </c>
      <c r="F56" s="17" t="s">
        <v>828</v>
      </c>
      <c r="G56" s="17" t="s">
        <v>414</v>
      </c>
      <c r="H56" s="17" t="s">
        <v>824</v>
      </c>
      <c r="I56" s="17" t="s">
        <v>414</v>
      </c>
      <c r="J56" s="17" t="s">
        <v>96</v>
      </c>
      <c r="K56" s="17" t="b">
        <v>0</v>
      </c>
      <c r="L56" s="17" t="s">
        <v>414</v>
      </c>
      <c r="M56" s="21">
        <v>34335</v>
      </c>
      <c r="N56" s="17" t="s">
        <v>414</v>
      </c>
      <c r="O56" s="17" t="s">
        <v>17</v>
      </c>
      <c r="P56" s="17" t="s">
        <v>18</v>
      </c>
      <c r="Q56" s="17">
        <v>1</v>
      </c>
      <c r="R56" s="17" t="s">
        <v>19</v>
      </c>
      <c r="S56" s="17">
        <v>1</v>
      </c>
      <c r="T56" s="17" t="s">
        <v>422</v>
      </c>
      <c r="U56" s="21">
        <v>41691</v>
      </c>
      <c r="V56" s="17" t="s">
        <v>829</v>
      </c>
      <c r="W56" s="21">
        <v>1.9583333333333335</v>
      </c>
      <c r="X56" s="17" t="s">
        <v>825</v>
      </c>
      <c r="Y56" s="17" t="s">
        <v>21</v>
      </c>
      <c r="Z56" s="17">
        <v>0</v>
      </c>
      <c r="AA56" s="17" t="s">
        <v>414</v>
      </c>
      <c r="AB56" s="17" t="s">
        <v>443</v>
      </c>
      <c r="AC56" s="17">
        <v>0</v>
      </c>
      <c r="AD56" s="21">
        <v>45371</v>
      </c>
      <c r="AE56" s="21">
        <v>2</v>
      </c>
      <c r="AF56" s="17"/>
      <c r="AG56" s="21">
        <v>368</v>
      </c>
      <c r="AH56" s="17">
        <v>0</v>
      </c>
      <c r="AI56" s="21">
        <v>1</v>
      </c>
      <c r="AJ56" s="17">
        <v>0</v>
      </c>
      <c r="AK56" s="17">
        <v>0.29749999999999999</v>
      </c>
      <c r="AL56" s="17">
        <v>0</v>
      </c>
      <c r="AM56" s="17" t="b">
        <v>0</v>
      </c>
      <c r="AN56" s="17" t="b">
        <v>0</v>
      </c>
      <c r="AO56" s="21">
        <v>45371</v>
      </c>
      <c r="AP56" s="21">
        <v>45371</v>
      </c>
      <c r="AQ56" s="17" t="b">
        <v>0</v>
      </c>
      <c r="AR56" s="21">
        <v>45371</v>
      </c>
      <c r="AS56" s="21">
        <v>45371</v>
      </c>
      <c r="AT56" s="21">
        <v>-90</v>
      </c>
      <c r="AU56" s="17" t="b">
        <v>0</v>
      </c>
      <c r="AV56" s="21">
        <v>41780</v>
      </c>
      <c r="AW56" s="17" t="s">
        <v>23</v>
      </c>
      <c r="AX56" s="17" t="s">
        <v>41</v>
      </c>
      <c r="AY56" s="17" t="s">
        <v>23</v>
      </c>
      <c r="AZ56" s="17" t="s">
        <v>414</v>
      </c>
      <c r="BA56" s="21">
        <v>45371</v>
      </c>
      <c r="BB56" s="17">
        <v>0</v>
      </c>
      <c r="BC56" s="17"/>
      <c r="BD56" s="17" t="b">
        <v>0</v>
      </c>
      <c r="BE56" s="17" t="s">
        <v>2036</v>
      </c>
      <c r="BF56" s="21">
        <v>45371</v>
      </c>
      <c r="BG56" s="21">
        <v>45736</v>
      </c>
      <c r="BH56" s="17"/>
      <c r="BI56" s="21">
        <v>45371</v>
      </c>
      <c r="BJ56" s="17">
        <v>0</v>
      </c>
      <c r="BK56" s="17" t="s">
        <v>443</v>
      </c>
      <c r="BL56" s="17" t="s">
        <v>443</v>
      </c>
      <c r="BM56" s="17" t="b">
        <v>0</v>
      </c>
      <c r="BN56" s="17" t="b">
        <v>0</v>
      </c>
      <c r="BO56" s="17" t="b">
        <v>0</v>
      </c>
      <c r="BP56" s="17" t="b">
        <v>0</v>
      </c>
      <c r="BQ56" s="17" t="b">
        <v>0</v>
      </c>
      <c r="BR56" s="17" t="b">
        <v>0</v>
      </c>
      <c r="BS56" s="17" t="b">
        <v>0</v>
      </c>
      <c r="BT56" s="17" t="b">
        <v>0</v>
      </c>
      <c r="BU56" s="17" t="b">
        <v>0</v>
      </c>
      <c r="BV56" s="17">
        <v>0</v>
      </c>
      <c r="BW56" s="21">
        <v>41719</v>
      </c>
      <c r="BX56" s="17" t="s">
        <v>414</v>
      </c>
      <c r="BY56" s="17" t="s">
        <v>414</v>
      </c>
      <c r="BZ56" s="17">
        <v>0</v>
      </c>
      <c r="CA56" s="21">
        <v>45918</v>
      </c>
      <c r="CB56" s="17" t="s">
        <v>438</v>
      </c>
      <c r="CC56" s="17" t="s">
        <v>1946</v>
      </c>
      <c r="CD56" s="21"/>
      <c r="CE56" s="17"/>
      <c r="CF56" s="17" t="s">
        <v>414</v>
      </c>
      <c r="CG56" s="17" t="b">
        <v>0</v>
      </c>
      <c r="CH56" s="17" t="s">
        <v>414</v>
      </c>
      <c r="CI56" s="17">
        <v>0</v>
      </c>
      <c r="CJ56" s="21">
        <v>1</v>
      </c>
      <c r="CK56" s="21">
        <v>1</v>
      </c>
      <c r="CL56" s="17" t="s">
        <v>414</v>
      </c>
      <c r="CM56" s="21">
        <v>1</v>
      </c>
      <c r="CN56" s="21">
        <v>1</v>
      </c>
      <c r="CO56" s="21">
        <v>1</v>
      </c>
      <c r="CP56" s="17" t="b">
        <v>0</v>
      </c>
      <c r="CQ56" s="17" t="b">
        <v>0</v>
      </c>
      <c r="CR56" s="17" t="b">
        <v>0</v>
      </c>
      <c r="CW56" s="22"/>
    </row>
    <row r="57" spans="1:101" x14ac:dyDescent="0.25">
      <c r="A57" s="20">
        <v>307</v>
      </c>
      <c r="B57" s="17" t="s">
        <v>426</v>
      </c>
      <c r="C57" s="17" t="s">
        <v>830</v>
      </c>
      <c r="D57" s="17" t="s">
        <v>97</v>
      </c>
      <c r="E57" s="17" t="s">
        <v>831</v>
      </c>
      <c r="F57" s="17" t="s">
        <v>832</v>
      </c>
      <c r="G57" s="17" t="s">
        <v>414</v>
      </c>
      <c r="H57" s="17" t="s">
        <v>833</v>
      </c>
      <c r="I57" s="17" t="s">
        <v>414</v>
      </c>
      <c r="J57" s="17" t="s">
        <v>16</v>
      </c>
      <c r="K57" s="17" t="b">
        <v>0</v>
      </c>
      <c r="L57" s="17" t="s">
        <v>834</v>
      </c>
      <c r="M57" s="21">
        <v>27820</v>
      </c>
      <c r="N57" s="17" t="s">
        <v>414</v>
      </c>
      <c r="O57" s="17" t="s">
        <v>17</v>
      </c>
      <c r="P57" s="17" t="s">
        <v>18</v>
      </c>
      <c r="Q57" s="17">
        <v>1</v>
      </c>
      <c r="R57" s="17" t="s">
        <v>19</v>
      </c>
      <c r="S57" s="17">
        <v>9</v>
      </c>
      <c r="T57" s="17" t="s">
        <v>434</v>
      </c>
      <c r="U57" s="21">
        <v>27820</v>
      </c>
      <c r="V57" s="17" t="s">
        <v>61</v>
      </c>
      <c r="W57" s="21">
        <v>1.28125</v>
      </c>
      <c r="X57" s="17" t="s">
        <v>417</v>
      </c>
      <c r="Y57" s="17" t="s">
        <v>21</v>
      </c>
      <c r="Z57" s="17">
        <v>949900</v>
      </c>
      <c r="AA57" s="17" t="s">
        <v>22</v>
      </c>
      <c r="AB57" s="17" t="s">
        <v>443</v>
      </c>
      <c r="AC57" s="17">
        <v>0</v>
      </c>
      <c r="AD57" s="21">
        <v>45371</v>
      </c>
      <c r="AE57" s="21">
        <v>2</v>
      </c>
      <c r="AF57" s="17"/>
      <c r="AG57" s="21">
        <v>368</v>
      </c>
      <c r="AH57" s="17">
        <v>57001264</v>
      </c>
      <c r="AI57" s="21">
        <v>42818</v>
      </c>
      <c r="AJ57" s="17">
        <v>4110</v>
      </c>
      <c r="AK57" s="17">
        <v>0.29749999999999999</v>
      </c>
      <c r="AL57" s="17">
        <v>1222.73</v>
      </c>
      <c r="AM57" s="17" t="b">
        <v>1</v>
      </c>
      <c r="AN57" s="17" t="b">
        <v>1</v>
      </c>
      <c r="AO57" s="21">
        <v>45371</v>
      </c>
      <c r="AP57" s="21">
        <v>45371</v>
      </c>
      <c r="AQ57" s="17" t="b">
        <v>0</v>
      </c>
      <c r="AR57" s="21">
        <v>45371</v>
      </c>
      <c r="AS57" s="21">
        <v>45371</v>
      </c>
      <c r="AT57" s="21">
        <v>42728</v>
      </c>
      <c r="AU57" s="17" t="b">
        <v>0</v>
      </c>
      <c r="AV57" s="21">
        <v>27912</v>
      </c>
      <c r="AW57" s="17" t="s">
        <v>41</v>
      </c>
      <c r="AX57" s="17" t="s">
        <v>23</v>
      </c>
      <c r="AY57" s="17" t="s">
        <v>41</v>
      </c>
      <c r="AZ57" s="17" t="s">
        <v>414</v>
      </c>
      <c r="BA57" s="21">
        <v>45371</v>
      </c>
      <c r="BB57" s="17">
        <v>0</v>
      </c>
      <c r="BC57" s="17"/>
      <c r="BD57" s="17" t="b">
        <v>0</v>
      </c>
      <c r="BE57" s="17" t="s">
        <v>2037</v>
      </c>
      <c r="BF57" s="21">
        <v>45371</v>
      </c>
      <c r="BG57" s="21">
        <v>45736</v>
      </c>
      <c r="BH57" s="17"/>
      <c r="BI57" s="21">
        <v>47644</v>
      </c>
      <c r="BJ57" s="17">
        <v>0</v>
      </c>
      <c r="BK57" s="17" t="s">
        <v>418</v>
      </c>
      <c r="BL57" s="17" t="s">
        <v>443</v>
      </c>
      <c r="BM57" s="17" t="b">
        <v>1</v>
      </c>
      <c r="BN57" s="17" t="b">
        <v>0</v>
      </c>
      <c r="BO57" s="17" t="b">
        <v>1</v>
      </c>
      <c r="BP57" s="17" t="b">
        <v>1</v>
      </c>
      <c r="BQ57" s="17" t="b">
        <v>1</v>
      </c>
      <c r="BR57" s="17" t="b">
        <v>1</v>
      </c>
      <c r="BS57" s="17" t="b">
        <v>0</v>
      </c>
      <c r="BT57" s="17" t="b">
        <v>1</v>
      </c>
      <c r="BU57" s="17" t="b">
        <v>0</v>
      </c>
      <c r="BV57" s="17">
        <v>0</v>
      </c>
      <c r="BW57" s="21">
        <v>27851</v>
      </c>
      <c r="BX57" s="17" t="s">
        <v>414</v>
      </c>
      <c r="BY57" s="17" t="s">
        <v>414</v>
      </c>
      <c r="BZ57" s="17">
        <v>0</v>
      </c>
      <c r="CA57" s="21">
        <v>45951</v>
      </c>
      <c r="CB57" s="17" t="s">
        <v>438</v>
      </c>
      <c r="CC57" s="17" t="s">
        <v>2037</v>
      </c>
      <c r="CD57" s="21"/>
      <c r="CE57" s="17"/>
      <c r="CF57" s="17" t="s">
        <v>835</v>
      </c>
      <c r="CG57" s="17" t="b">
        <v>0</v>
      </c>
      <c r="CH57" s="17" t="s">
        <v>836</v>
      </c>
      <c r="CI57" s="17">
        <v>0</v>
      </c>
      <c r="CJ57" s="21">
        <v>45844</v>
      </c>
      <c r="CK57" s="21">
        <v>45903</v>
      </c>
      <c r="CL57" s="17" t="s">
        <v>414</v>
      </c>
      <c r="CM57" s="21">
        <v>1</v>
      </c>
      <c r="CN57" s="21">
        <v>1</v>
      </c>
      <c r="CO57" s="21">
        <v>1</v>
      </c>
      <c r="CP57" s="17" t="b">
        <v>0</v>
      </c>
      <c r="CQ57" s="17" t="b">
        <v>1</v>
      </c>
      <c r="CR57" s="17" t="b">
        <v>0</v>
      </c>
      <c r="CS57">
        <v>7300</v>
      </c>
      <c r="CT57" t="s">
        <v>1911</v>
      </c>
      <c r="CU57">
        <v>5615.38</v>
      </c>
      <c r="CV57">
        <v>1684.62</v>
      </c>
      <c r="CW57" s="22"/>
    </row>
    <row r="58" spans="1:101" x14ac:dyDescent="0.25">
      <c r="A58" s="20">
        <v>308</v>
      </c>
      <c r="B58" s="17" t="s">
        <v>411</v>
      </c>
      <c r="C58" s="17" t="s">
        <v>837</v>
      </c>
      <c r="D58" s="17" t="s">
        <v>98</v>
      </c>
      <c r="E58" s="17" t="s">
        <v>838</v>
      </c>
      <c r="F58" s="17" t="s">
        <v>839</v>
      </c>
      <c r="G58" s="17" t="s">
        <v>414</v>
      </c>
      <c r="H58" s="17" t="s">
        <v>840</v>
      </c>
      <c r="I58" s="17" t="s">
        <v>414</v>
      </c>
      <c r="J58" s="17" t="s">
        <v>16</v>
      </c>
      <c r="K58" s="17" t="b">
        <v>0</v>
      </c>
      <c r="L58" s="17" t="s">
        <v>841</v>
      </c>
      <c r="M58" s="21">
        <v>33940</v>
      </c>
      <c r="N58" s="17" t="s">
        <v>842</v>
      </c>
      <c r="O58" s="17" t="s">
        <v>17</v>
      </c>
      <c r="P58" s="17" t="s">
        <v>18</v>
      </c>
      <c r="Q58" s="17">
        <v>1</v>
      </c>
      <c r="R58" s="17" t="s">
        <v>19</v>
      </c>
      <c r="S58" s="17">
        <v>8</v>
      </c>
      <c r="T58" s="17" t="s">
        <v>416</v>
      </c>
      <c r="U58" s="21">
        <v>42370</v>
      </c>
      <c r="V58" s="17" t="s">
        <v>61</v>
      </c>
      <c r="W58" s="21">
        <v>1.2833333333333332</v>
      </c>
      <c r="X58" s="17" t="s">
        <v>843</v>
      </c>
      <c r="Y58" s="17" t="s">
        <v>21</v>
      </c>
      <c r="Z58" s="17">
        <v>34220</v>
      </c>
      <c r="AA58" s="17" t="s">
        <v>46</v>
      </c>
      <c r="AB58" s="17" t="s">
        <v>443</v>
      </c>
      <c r="AC58" s="17">
        <v>0</v>
      </c>
      <c r="AD58" s="21">
        <v>45371</v>
      </c>
      <c r="AE58" s="21">
        <v>2</v>
      </c>
      <c r="AF58" s="17"/>
      <c r="AG58" s="21">
        <v>368</v>
      </c>
      <c r="AH58" s="17">
        <v>73146579</v>
      </c>
      <c r="AI58" s="21">
        <v>43831</v>
      </c>
      <c r="AJ58" s="17">
        <v>4110</v>
      </c>
      <c r="AK58" s="17">
        <v>0.29749999999999999</v>
      </c>
      <c r="AL58" s="17">
        <v>1222.73</v>
      </c>
      <c r="AM58" s="17" t="b">
        <v>1</v>
      </c>
      <c r="AN58" s="17" t="b">
        <v>1</v>
      </c>
      <c r="AO58" s="21">
        <v>45371</v>
      </c>
      <c r="AP58" s="21">
        <v>45371</v>
      </c>
      <c r="AQ58" s="17" t="b">
        <v>0</v>
      </c>
      <c r="AR58" s="21">
        <v>45371</v>
      </c>
      <c r="AS58" s="21">
        <v>45371</v>
      </c>
      <c r="AT58" s="21">
        <v>43739</v>
      </c>
      <c r="AU58" s="17" t="b">
        <v>0</v>
      </c>
      <c r="AV58" s="21">
        <v>42461</v>
      </c>
      <c r="AW58" s="17" t="s">
        <v>41</v>
      </c>
      <c r="AX58" s="17" t="s">
        <v>23</v>
      </c>
      <c r="AY58" s="17" t="s">
        <v>414</v>
      </c>
      <c r="AZ58" s="17" t="s">
        <v>414</v>
      </c>
      <c r="BA58" s="21">
        <v>45371</v>
      </c>
      <c r="BB58" s="17">
        <v>0</v>
      </c>
      <c r="BC58" s="17"/>
      <c r="BD58" s="17" t="b">
        <v>0</v>
      </c>
      <c r="BE58" s="17" t="s">
        <v>2038</v>
      </c>
      <c r="BF58" s="21">
        <v>45371</v>
      </c>
      <c r="BG58" s="21">
        <v>45736</v>
      </c>
      <c r="BH58" s="17"/>
      <c r="BI58" s="21">
        <v>47275</v>
      </c>
      <c r="BJ58" s="17">
        <v>0</v>
      </c>
      <c r="BK58" s="17" t="s">
        <v>418</v>
      </c>
      <c r="BL58" s="17" t="s">
        <v>418</v>
      </c>
      <c r="BM58" s="17" t="b">
        <v>1</v>
      </c>
      <c r="BN58" s="17" t="b">
        <v>0</v>
      </c>
      <c r="BO58" s="17" t="b">
        <v>1</v>
      </c>
      <c r="BP58" s="17" t="b">
        <v>1</v>
      </c>
      <c r="BQ58" s="17" t="b">
        <v>0</v>
      </c>
      <c r="BR58" s="17" t="b">
        <v>0</v>
      </c>
      <c r="BS58" s="17" t="b">
        <v>0</v>
      </c>
      <c r="BT58" s="17" t="b">
        <v>0</v>
      </c>
      <c r="BU58" s="17" t="b">
        <v>0</v>
      </c>
      <c r="BV58" s="17">
        <v>0</v>
      </c>
      <c r="BW58" s="21">
        <v>42401</v>
      </c>
      <c r="BX58" s="17" t="s">
        <v>414</v>
      </c>
      <c r="BY58" s="17" t="s">
        <v>414</v>
      </c>
      <c r="BZ58" s="17">
        <v>0</v>
      </c>
      <c r="CA58" s="21">
        <v>45951</v>
      </c>
      <c r="CB58" s="17" t="s">
        <v>438</v>
      </c>
      <c r="CC58" s="17" t="s">
        <v>2039</v>
      </c>
      <c r="CD58" s="21"/>
      <c r="CE58" s="17"/>
      <c r="CF58" s="17" t="s">
        <v>844</v>
      </c>
      <c r="CG58" s="17" t="b">
        <v>0</v>
      </c>
      <c r="CH58" s="17" t="s">
        <v>610</v>
      </c>
      <c r="CI58" s="17">
        <v>0</v>
      </c>
      <c r="CJ58" s="21">
        <v>45845</v>
      </c>
      <c r="CK58" s="21">
        <v>45903</v>
      </c>
      <c r="CL58" s="17" t="s">
        <v>414</v>
      </c>
      <c r="CM58" s="21">
        <v>1</v>
      </c>
      <c r="CN58" s="21">
        <v>1</v>
      </c>
      <c r="CO58" s="21">
        <v>1</v>
      </c>
      <c r="CP58" s="17" t="b">
        <v>0</v>
      </c>
      <c r="CQ58" s="17" t="b">
        <v>1</v>
      </c>
      <c r="CR58" s="17" t="b">
        <v>0</v>
      </c>
      <c r="CS58">
        <v>7500</v>
      </c>
      <c r="CT58" t="s">
        <v>1916</v>
      </c>
      <c r="CU58">
        <v>5769.23</v>
      </c>
      <c r="CV58">
        <v>1730.77</v>
      </c>
      <c r="CW58" s="22"/>
    </row>
    <row r="59" spans="1:101" x14ac:dyDescent="0.25">
      <c r="A59" s="20">
        <v>309</v>
      </c>
      <c r="B59" s="17" t="s">
        <v>568</v>
      </c>
      <c r="C59" s="17" t="s">
        <v>427</v>
      </c>
      <c r="D59" s="17" t="s">
        <v>99</v>
      </c>
      <c r="E59" s="17" t="s">
        <v>845</v>
      </c>
      <c r="F59" s="17" t="s">
        <v>846</v>
      </c>
      <c r="G59" s="17" t="s">
        <v>414</v>
      </c>
      <c r="H59" s="17" t="s">
        <v>847</v>
      </c>
      <c r="I59" s="17" t="s">
        <v>414</v>
      </c>
      <c r="J59" s="17" t="s">
        <v>16</v>
      </c>
      <c r="K59" s="17" t="b">
        <v>0</v>
      </c>
      <c r="L59" s="17" t="s">
        <v>848</v>
      </c>
      <c r="M59" s="21">
        <v>30550</v>
      </c>
      <c r="N59" s="17" t="s">
        <v>414</v>
      </c>
      <c r="O59" s="17" t="s">
        <v>17</v>
      </c>
      <c r="P59" s="17" t="s">
        <v>18</v>
      </c>
      <c r="Q59" s="17">
        <v>1</v>
      </c>
      <c r="R59" s="17" t="s">
        <v>19</v>
      </c>
      <c r="S59" s="17">
        <v>9</v>
      </c>
      <c r="T59" s="17" t="s">
        <v>434</v>
      </c>
      <c r="U59" s="21">
        <v>42759</v>
      </c>
      <c r="V59" s="17" t="s">
        <v>61</v>
      </c>
      <c r="W59" s="21">
        <v>1.6145833333333335</v>
      </c>
      <c r="X59" s="17" t="s">
        <v>417</v>
      </c>
      <c r="Y59" s="17" t="s">
        <v>21</v>
      </c>
      <c r="Z59" s="17">
        <v>949900</v>
      </c>
      <c r="AA59" s="17" t="s">
        <v>22</v>
      </c>
      <c r="AB59" s="17" t="s">
        <v>418</v>
      </c>
      <c r="AC59" s="17">
        <v>108</v>
      </c>
      <c r="AD59" s="21">
        <v>43549</v>
      </c>
      <c r="AE59" s="21">
        <v>45384</v>
      </c>
      <c r="AF59" s="17"/>
      <c r="AG59" s="21">
        <v>45749</v>
      </c>
      <c r="AH59" s="17">
        <v>59156200</v>
      </c>
      <c r="AI59" s="21">
        <v>42818</v>
      </c>
      <c r="AJ59" s="17">
        <v>4115</v>
      </c>
      <c r="AK59" s="17">
        <v>0.29749999999999999</v>
      </c>
      <c r="AL59" s="17">
        <v>1224.21</v>
      </c>
      <c r="AM59" s="17" t="b">
        <v>1</v>
      </c>
      <c r="AN59" s="17" t="b">
        <v>1</v>
      </c>
      <c r="AO59" s="21">
        <v>45371</v>
      </c>
      <c r="AP59" s="21">
        <v>45371</v>
      </c>
      <c r="AQ59" s="17" t="b">
        <v>0</v>
      </c>
      <c r="AR59" s="21">
        <v>45371</v>
      </c>
      <c r="AS59" s="21">
        <v>45371</v>
      </c>
      <c r="AT59" s="21">
        <v>42728</v>
      </c>
      <c r="AU59" s="17" t="b">
        <v>0</v>
      </c>
      <c r="AV59" s="21">
        <v>42849</v>
      </c>
      <c r="AW59" s="17" t="s">
        <v>23</v>
      </c>
      <c r="AX59" s="17" t="s">
        <v>41</v>
      </c>
      <c r="AY59" s="17" t="s">
        <v>41</v>
      </c>
      <c r="AZ59" s="17" t="s">
        <v>414</v>
      </c>
      <c r="BA59" s="21">
        <v>45371</v>
      </c>
      <c r="BB59" s="17">
        <v>0</v>
      </c>
      <c r="BC59" s="17"/>
      <c r="BD59" s="17" t="b">
        <v>0</v>
      </c>
      <c r="BE59" s="17" t="s">
        <v>1958</v>
      </c>
      <c r="BF59" s="21">
        <v>45371</v>
      </c>
      <c r="BG59" s="21">
        <v>45736</v>
      </c>
      <c r="BH59" s="17"/>
      <c r="BI59" s="21">
        <v>45894</v>
      </c>
      <c r="BJ59" s="17">
        <v>0</v>
      </c>
      <c r="BK59" s="17" t="s">
        <v>418</v>
      </c>
      <c r="BL59" s="17" t="s">
        <v>418</v>
      </c>
      <c r="BM59" s="17" t="b">
        <v>1</v>
      </c>
      <c r="BN59" s="17" t="b">
        <v>1</v>
      </c>
      <c r="BO59" s="17" t="b">
        <v>1</v>
      </c>
      <c r="BP59" s="17" t="b">
        <v>1</v>
      </c>
      <c r="BQ59" s="17" t="b">
        <v>1</v>
      </c>
      <c r="BR59" s="17" t="b">
        <v>1</v>
      </c>
      <c r="BS59" s="17" t="b">
        <v>0</v>
      </c>
      <c r="BT59" s="17" t="b">
        <v>1</v>
      </c>
      <c r="BU59" s="17" t="b">
        <v>0</v>
      </c>
      <c r="BV59" s="17">
        <v>0</v>
      </c>
      <c r="BW59" s="21">
        <v>42790</v>
      </c>
      <c r="BX59" s="17" t="s">
        <v>414</v>
      </c>
      <c r="BY59" s="17" t="s">
        <v>414</v>
      </c>
      <c r="BZ59" s="17">
        <v>0</v>
      </c>
      <c r="CA59" s="21">
        <v>45951</v>
      </c>
      <c r="CB59" s="17" t="s">
        <v>438</v>
      </c>
      <c r="CC59" s="17" t="s">
        <v>2040</v>
      </c>
      <c r="CD59" s="21"/>
      <c r="CE59" s="17"/>
      <c r="CF59" s="17" t="s">
        <v>849</v>
      </c>
      <c r="CG59" s="17" t="b">
        <v>0</v>
      </c>
      <c r="CH59" s="17" t="s">
        <v>850</v>
      </c>
      <c r="CI59" s="17">
        <v>0</v>
      </c>
      <c r="CJ59" s="21">
        <v>45853</v>
      </c>
      <c r="CK59" s="21">
        <v>45903</v>
      </c>
      <c r="CL59" s="17" t="s">
        <v>414</v>
      </c>
      <c r="CM59" s="21">
        <v>1</v>
      </c>
      <c r="CN59" s="21">
        <v>1</v>
      </c>
      <c r="CO59" s="21">
        <v>1</v>
      </c>
      <c r="CP59" s="17" t="b">
        <v>0</v>
      </c>
      <c r="CQ59" s="17" t="b">
        <v>1</v>
      </c>
      <c r="CR59" s="17" t="b">
        <v>0</v>
      </c>
      <c r="CS59">
        <v>7400</v>
      </c>
      <c r="CT59" t="s">
        <v>1917</v>
      </c>
      <c r="CU59">
        <v>5692.31</v>
      </c>
      <c r="CV59">
        <v>1707.69</v>
      </c>
      <c r="CW59" s="22"/>
    </row>
    <row r="60" spans="1:101" x14ac:dyDescent="0.25">
      <c r="A60" s="20">
        <v>310</v>
      </c>
      <c r="B60" s="17" t="s">
        <v>530</v>
      </c>
      <c r="C60" s="17" t="s">
        <v>851</v>
      </c>
      <c r="D60" s="17" t="s">
        <v>100</v>
      </c>
      <c r="E60" s="17" t="s">
        <v>852</v>
      </c>
      <c r="F60" s="17" t="s">
        <v>853</v>
      </c>
      <c r="G60" s="17" t="s">
        <v>414</v>
      </c>
      <c r="H60" s="17" t="s">
        <v>854</v>
      </c>
      <c r="I60" s="17" t="s">
        <v>414</v>
      </c>
      <c r="J60" s="17" t="s">
        <v>16</v>
      </c>
      <c r="K60" s="17" t="b">
        <v>1</v>
      </c>
      <c r="L60" s="17" t="s">
        <v>855</v>
      </c>
      <c r="M60" s="21">
        <v>30166</v>
      </c>
      <c r="N60" s="17" t="s">
        <v>414</v>
      </c>
      <c r="O60" s="17" t="s">
        <v>17</v>
      </c>
      <c r="P60" s="17" t="s">
        <v>18</v>
      </c>
      <c r="Q60" s="17">
        <v>1</v>
      </c>
      <c r="R60" s="17" t="s">
        <v>19</v>
      </c>
      <c r="S60" s="17">
        <v>1</v>
      </c>
      <c r="T60" s="17" t="s">
        <v>422</v>
      </c>
      <c r="U60" s="21">
        <v>42818</v>
      </c>
      <c r="V60" s="17" t="s">
        <v>20</v>
      </c>
      <c r="W60" s="21">
        <v>1</v>
      </c>
      <c r="X60" s="17" t="s">
        <v>856</v>
      </c>
      <c r="Y60" s="17" t="s">
        <v>21</v>
      </c>
      <c r="Z60" s="17">
        <v>949900</v>
      </c>
      <c r="AA60" s="17" t="s">
        <v>22</v>
      </c>
      <c r="AB60" s="17" t="s">
        <v>418</v>
      </c>
      <c r="AC60" s="17">
        <v>43</v>
      </c>
      <c r="AD60" s="21">
        <v>43465</v>
      </c>
      <c r="AE60" s="21">
        <v>45383</v>
      </c>
      <c r="AF60" s="17"/>
      <c r="AG60" s="21">
        <v>45748</v>
      </c>
      <c r="AH60" s="17">
        <v>28574417</v>
      </c>
      <c r="AI60" s="21">
        <v>42818</v>
      </c>
      <c r="AJ60" s="17">
        <v>4121</v>
      </c>
      <c r="AK60" s="17">
        <v>0.29749999999999999</v>
      </c>
      <c r="AL60" s="17">
        <v>1226</v>
      </c>
      <c r="AM60" s="17" t="b">
        <v>1</v>
      </c>
      <c r="AN60" s="17" t="b">
        <v>1</v>
      </c>
      <c r="AO60" s="21">
        <v>45398</v>
      </c>
      <c r="AP60" s="21">
        <v>45398</v>
      </c>
      <c r="AQ60" s="17" t="b">
        <v>0</v>
      </c>
      <c r="AR60" s="21">
        <v>45398</v>
      </c>
      <c r="AS60" s="21">
        <v>45398</v>
      </c>
      <c r="AT60" s="21">
        <v>42728</v>
      </c>
      <c r="AU60" s="17" t="b">
        <v>0</v>
      </c>
      <c r="AV60" s="21">
        <v>42910</v>
      </c>
      <c r="AW60" s="17" t="s">
        <v>101</v>
      </c>
      <c r="AX60" s="17" t="s">
        <v>101</v>
      </c>
      <c r="AY60" s="17" t="s">
        <v>414</v>
      </c>
      <c r="AZ60" s="17" t="s">
        <v>450</v>
      </c>
      <c r="BA60" s="21">
        <v>45398</v>
      </c>
      <c r="BB60" s="17">
        <v>0</v>
      </c>
      <c r="BC60" s="17"/>
      <c r="BD60" s="17" t="b">
        <v>0</v>
      </c>
      <c r="BE60" s="17" t="s">
        <v>2041</v>
      </c>
      <c r="BF60" s="21">
        <v>45398</v>
      </c>
      <c r="BG60" s="21">
        <v>45763</v>
      </c>
      <c r="BH60" s="17"/>
      <c r="BI60" s="21">
        <v>44076</v>
      </c>
      <c r="BJ60" s="17">
        <v>0</v>
      </c>
      <c r="BK60" s="17" t="s">
        <v>436</v>
      </c>
      <c r="BL60" s="17" t="s">
        <v>459</v>
      </c>
      <c r="BM60" s="17" t="b">
        <v>1</v>
      </c>
      <c r="BN60" s="17" t="b">
        <v>0</v>
      </c>
      <c r="BO60" s="17" t="b">
        <v>0</v>
      </c>
      <c r="BP60" s="17" t="b">
        <v>1</v>
      </c>
      <c r="BQ60" s="17" t="b">
        <v>1</v>
      </c>
      <c r="BR60" s="17" t="b">
        <v>0</v>
      </c>
      <c r="BS60" s="17" t="b">
        <v>1</v>
      </c>
      <c r="BT60" s="17" t="b">
        <v>1</v>
      </c>
      <c r="BU60" s="17" t="b">
        <v>0</v>
      </c>
      <c r="BV60" s="17">
        <v>0</v>
      </c>
      <c r="BW60" s="21">
        <v>42849</v>
      </c>
      <c r="BX60" s="17" t="s">
        <v>414</v>
      </c>
      <c r="BY60" s="17" t="s">
        <v>414</v>
      </c>
      <c r="BZ60" s="17">
        <v>0</v>
      </c>
      <c r="CA60" s="21">
        <v>45951</v>
      </c>
      <c r="CB60" s="17" t="s">
        <v>419</v>
      </c>
      <c r="CC60" s="17" t="s">
        <v>2042</v>
      </c>
      <c r="CD60" s="21"/>
      <c r="CE60" s="17"/>
      <c r="CF60" s="17" t="s">
        <v>857</v>
      </c>
      <c r="CG60" s="17" t="b">
        <v>0</v>
      </c>
      <c r="CH60" s="17" t="s">
        <v>425</v>
      </c>
      <c r="CI60" s="17">
        <v>0</v>
      </c>
      <c r="CJ60" s="21">
        <v>45850</v>
      </c>
      <c r="CK60" s="21">
        <v>1</v>
      </c>
      <c r="CL60" s="17" t="s">
        <v>414</v>
      </c>
      <c r="CM60" s="21">
        <v>1</v>
      </c>
      <c r="CN60" s="21">
        <v>1</v>
      </c>
      <c r="CO60" s="21">
        <v>1</v>
      </c>
      <c r="CP60" s="17" t="b">
        <v>0</v>
      </c>
      <c r="CQ60" s="17" t="b">
        <v>1</v>
      </c>
      <c r="CR60" s="17" t="b">
        <v>0</v>
      </c>
      <c r="CS60">
        <v>7000</v>
      </c>
      <c r="CT60" t="s">
        <v>1912</v>
      </c>
      <c r="CU60">
        <v>5384.62</v>
      </c>
      <c r="CV60">
        <v>1615.38</v>
      </c>
      <c r="CW60" s="22"/>
    </row>
    <row r="61" spans="1:101" x14ac:dyDescent="0.25">
      <c r="A61" s="20">
        <v>311</v>
      </c>
      <c r="B61" s="17" t="s">
        <v>412</v>
      </c>
      <c r="C61" s="17" t="s">
        <v>427</v>
      </c>
      <c r="D61" s="17" t="s">
        <v>102</v>
      </c>
      <c r="E61" s="17" t="s">
        <v>858</v>
      </c>
      <c r="F61" s="17" t="s">
        <v>859</v>
      </c>
      <c r="G61" s="17" t="s">
        <v>414</v>
      </c>
      <c r="H61" s="17" t="s">
        <v>847</v>
      </c>
      <c r="I61" s="17" t="s">
        <v>414</v>
      </c>
      <c r="J61" s="17" t="s">
        <v>16</v>
      </c>
      <c r="K61" s="17" t="b">
        <v>0</v>
      </c>
      <c r="L61" s="17" t="s">
        <v>860</v>
      </c>
      <c r="M61" s="21">
        <v>34380</v>
      </c>
      <c r="N61" s="17" t="s">
        <v>861</v>
      </c>
      <c r="O61" s="17" t="s">
        <v>17</v>
      </c>
      <c r="P61" s="17" t="s">
        <v>18</v>
      </c>
      <c r="Q61" s="17">
        <v>1</v>
      </c>
      <c r="R61" s="17" t="s">
        <v>19</v>
      </c>
      <c r="S61" s="17">
        <v>9</v>
      </c>
      <c r="T61" s="17" t="s">
        <v>434</v>
      </c>
      <c r="U61" s="21">
        <v>41671</v>
      </c>
      <c r="V61" s="17" t="s">
        <v>61</v>
      </c>
      <c r="W61" s="21">
        <v>1.4479166666666665</v>
      </c>
      <c r="X61" s="17" t="s">
        <v>417</v>
      </c>
      <c r="Y61" s="17" t="s">
        <v>21</v>
      </c>
      <c r="Z61" s="17">
        <v>949900</v>
      </c>
      <c r="AA61" s="17" t="s">
        <v>22</v>
      </c>
      <c r="AB61" s="17" t="s">
        <v>418</v>
      </c>
      <c r="AC61" s="17">
        <v>29</v>
      </c>
      <c r="AD61" s="21">
        <v>42898</v>
      </c>
      <c r="AE61" s="21">
        <v>45077</v>
      </c>
      <c r="AF61" s="17"/>
      <c r="AG61" s="21">
        <v>45443</v>
      </c>
      <c r="AH61" s="17">
        <v>59785560</v>
      </c>
      <c r="AI61" s="21">
        <v>41730</v>
      </c>
      <c r="AJ61" s="17">
        <v>4115</v>
      </c>
      <c r="AK61" s="17">
        <v>0.29749999999999999</v>
      </c>
      <c r="AL61" s="17">
        <v>1224.21</v>
      </c>
      <c r="AM61" s="17" t="b">
        <v>0</v>
      </c>
      <c r="AN61" s="17" t="b">
        <v>1</v>
      </c>
      <c r="AO61" s="21">
        <v>45477</v>
      </c>
      <c r="AP61" s="21">
        <v>45477</v>
      </c>
      <c r="AQ61" s="17" t="b">
        <v>0</v>
      </c>
      <c r="AR61" s="21">
        <v>45477</v>
      </c>
      <c r="AS61" s="21">
        <v>45477</v>
      </c>
      <c r="AT61" s="21">
        <v>41640</v>
      </c>
      <c r="AU61" s="17" t="b">
        <v>0</v>
      </c>
      <c r="AV61" s="21">
        <v>41760</v>
      </c>
      <c r="AW61" s="17" t="s">
        <v>23</v>
      </c>
      <c r="AX61" s="17" t="s">
        <v>41</v>
      </c>
      <c r="AY61" s="17" t="s">
        <v>23</v>
      </c>
      <c r="AZ61" s="17" t="s">
        <v>414</v>
      </c>
      <c r="BA61" s="21">
        <v>45477</v>
      </c>
      <c r="BB61" s="17">
        <v>0</v>
      </c>
      <c r="BC61" s="17"/>
      <c r="BD61" s="17" t="b">
        <v>0</v>
      </c>
      <c r="BE61" s="17" t="s">
        <v>2043</v>
      </c>
      <c r="BF61" s="21">
        <v>45477</v>
      </c>
      <c r="BG61" s="21">
        <v>45842</v>
      </c>
      <c r="BH61" s="17"/>
      <c r="BI61" s="21">
        <v>45840</v>
      </c>
      <c r="BJ61" s="17">
        <v>0</v>
      </c>
      <c r="BK61" s="17" t="s">
        <v>443</v>
      </c>
      <c r="BL61" s="17" t="s">
        <v>443</v>
      </c>
      <c r="BM61" s="17" t="b">
        <v>0</v>
      </c>
      <c r="BN61" s="17" t="b">
        <v>0</v>
      </c>
      <c r="BO61" s="17" t="b">
        <v>1</v>
      </c>
      <c r="BP61" s="17" t="b">
        <v>0</v>
      </c>
      <c r="BQ61" s="17" t="b">
        <v>0</v>
      </c>
      <c r="BR61" s="17" t="b">
        <v>1</v>
      </c>
      <c r="BS61" s="17" t="b">
        <v>1</v>
      </c>
      <c r="BT61" s="17" t="b">
        <v>1</v>
      </c>
      <c r="BU61" s="17" t="b">
        <v>0</v>
      </c>
      <c r="BV61" s="17">
        <v>0</v>
      </c>
      <c r="BW61" s="21">
        <v>41699</v>
      </c>
      <c r="BX61" s="17" t="s">
        <v>414</v>
      </c>
      <c r="BY61" s="17" t="s">
        <v>414</v>
      </c>
      <c r="BZ61" s="17">
        <v>0</v>
      </c>
      <c r="CA61" s="21">
        <v>45951</v>
      </c>
      <c r="CB61" s="17" t="s">
        <v>438</v>
      </c>
      <c r="CC61" s="17" t="s">
        <v>2044</v>
      </c>
      <c r="CD61" s="21"/>
      <c r="CE61" s="17"/>
      <c r="CF61" s="17" t="s">
        <v>601</v>
      </c>
      <c r="CG61" s="17" t="b">
        <v>0</v>
      </c>
      <c r="CH61" s="17" t="s">
        <v>850</v>
      </c>
      <c r="CI61" s="17">
        <v>0</v>
      </c>
      <c r="CJ61" s="21">
        <v>45853</v>
      </c>
      <c r="CK61" s="21">
        <v>45903</v>
      </c>
      <c r="CL61" s="17" t="s">
        <v>414</v>
      </c>
      <c r="CM61" s="21">
        <v>1</v>
      </c>
      <c r="CN61" s="21">
        <v>1</v>
      </c>
      <c r="CO61" s="21">
        <v>1</v>
      </c>
      <c r="CP61" s="17" t="b">
        <v>0</v>
      </c>
      <c r="CQ61" s="17" t="b">
        <v>1</v>
      </c>
      <c r="CR61" s="17" t="b">
        <v>0</v>
      </c>
      <c r="CS61">
        <v>7500</v>
      </c>
      <c r="CT61" t="s">
        <v>1916</v>
      </c>
      <c r="CU61">
        <v>5769.23</v>
      </c>
      <c r="CV61">
        <v>1730.77</v>
      </c>
      <c r="CW61" s="22"/>
    </row>
    <row r="62" spans="1:101" x14ac:dyDescent="0.25">
      <c r="A62" s="20">
        <v>312</v>
      </c>
      <c r="B62" s="17" t="s">
        <v>862</v>
      </c>
      <c r="C62" s="17" t="s">
        <v>411</v>
      </c>
      <c r="D62" s="17" t="s">
        <v>103</v>
      </c>
      <c r="E62" s="17" t="s">
        <v>863</v>
      </c>
      <c r="F62" s="17" t="s">
        <v>864</v>
      </c>
      <c r="G62" s="17" t="s">
        <v>414</v>
      </c>
      <c r="H62" s="17" t="s">
        <v>865</v>
      </c>
      <c r="I62" s="17" t="s">
        <v>414</v>
      </c>
      <c r="J62" s="17" t="s">
        <v>16</v>
      </c>
      <c r="K62" s="17" t="b">
        <v>0</v>
      </c>
      <c r="L62" s="17" t="s">
        <v>866</v>
      </c>
      <c r="M62" s="21">
        <v>34820</v>
      </c>
      <c r="N62" s="17" t="s">
        <v>414</v>
      </c>
      <c r="O62" s="17" t="s">
        <v>17</v>
      </c>
      <c r="P62" s="17" t="s">
        <v>18</v>
      </c>
      <c r="Q62" s="17">
        <v>1</v>
      </c>
      <c r="R62" s="17" t="s">
        <v>19</v>
      </c>
      <c r="S62" s="17">
        <v>9</v>
      </c>
      <c r="T62" s="17" t="s">
        <v>434</v>
      </c>
      <c r="U62" s="21">
        <v>41640</v>
      </c>
      <c r="V62" s="17" t="s">
        <v>20</v>
      </c>
      <c r="W62" s="21">
        <v>1.2847222222222223</v>
      </c>
      <c r="X62" s="17" t="s">
        <v>856</v>
      </c>
      <c r="Y62" s="17" t="s">
        <v>21</v>
      </c>
      <c r="Z62" s="17">
        <v>949900</v>
      </c>
      <c r="AA62" s="17" t="s">
        <v>22</v>
      </c>
      <c r="AB62" s="17" t="s">
        <v>418</v>
      </c>
      <c r="AC62" s="17">
        <v>83</v>
      </c>
      <c r="AD62" s="21">
        <v>43503</v>
      </c>
      <c r="AE62" s="21">
        <v>45403</v>
      </c>
      <c r="AF62" s="17"/>
      <c r="AG62" s="21">
        <v>45768</v>
      </c>
      <c r="AH62" s="17">
        <v>70495527</v>
      </c>
      <c r="AI62" s="21">
        <v>41730</v>
      </c>
      <c r="AJ62" s="17">
        <v>4110</v>
      </c>
      <c r="AK62" s="17">
        <v>0.29749999999999999</v>
      </c>
      <c r="AL62" s="17">
        <v>1222.73</v>
      </c>
      <c r="AM62" s="17" t="b">
        <v>0</v>
      </c>
      <c r="AN62" s="17" t="b">
        <v>1</v>
      </c>
      <c r="AO62" s="21">
        <v>45477</v>
      </c>
      <c r="AP62" s="21">
        <v>45477</v>
      </c>
      <c r="AQ62" s="17" t="b">
        <v>0</v>
      </c>
      <c r="AR62" s="21">
        <v>45477</v>
      </c>
      <c r="AS62" s="21">
        <v>45477</v>
      </c>
      <c r="AT62" s="21">
        <v>41640</v>
      </c>
      <c r="AU62" s="17" t="b">
        <v>0</v>
      </c>
      <c r="AV62" s="21">
        <v>41730</v>
      </c>
      <c r="AW62" s="17" t="s">
        <v>23</v>
      </c>
      <c r="AX62" s="17" t="s">
        <v>41</v>
      </c>
      <c r="AY62" s="17" t="s">
        <v>414</v>
      </c>
      <c r="AZ62" s="17" t="s">
        <v>414</v>
      </c>
      <c r="BA62" s="21">
        <v>45477</v>
      </c>
      <c r="BB62" s="17">
        <v>0</v>
      </c>
      <c r="BC62" s="17"/>
      <c r="BD62" s="17" t="b">
        <v>0</v>
      </c>
      <c r="BE62" s="17" t="s">
        <v>1977</v>
      </c>
      <c r="BF62" s="21">
        <v>45477</v>
      </c>
      <c r="BG62" s="21">
        <v>45842</v>
      </c>
      <c r="BH62" s="17"/>
      <c r="BI62" s="21">
        <v>46805</v>
      </c>
      <c r="BJ62" s="17">
        <v>0</v>
      </c>
      <c r="BK62" s="17" t="s">
        <v>443</v>
      </c>
      <c r="BL62" s="17" t="s">
        <v>443</v>
      </c>
      <c r="BM62" s="17" t="b">
        <v>1</v>
      </c>
      <c r="BN62" s="17" t="b">
        <v>0</v>
      </c>
      <c r="BO62" s="17" t="b">
        <v>0</v>
      </c>
      <c r="BP62" s="17" t="b">
        <v>1</v>
      </c>
      <c r="BQ62" s="17" t="b">
        <v>1</v>
      </c>
      <c r="BR62" s="17" t="b">
        <v>1</v>
      </c>
      <c r="BS62" s="17" t="b">
        <v>1</v>
      </c>
      <c r="BT62" s="17" t="b">
        <v>1</v>
      </c>
      <c r="BU62" s="17" t="b">
        <v>0</v>
      </c>
      <c r="BV62" s="17">
        <v>0</v>
      </c>
      <c r="BW62" s="21">
        <v>41671</v>
      </c>
      <c r="BX62" s="17" t="s">
        <v>414</v>
      </c>
      <c r="BY62" s="17" t="s">
        <v>414</v>
      </c>
      <c r="BZ62" s="17">
        <v>0</v>
      </c>
      <c r="CA62" s="21">
        <v>45951</v>
      </c>
      <c r="CB62" s="17" t="s">
        <v>438</v>
      </c>
      <c r="CC62" s="17" t="s">
        <v>2045</v>
      </c>
      <c r="CD62" s="21"/>
      <c r="CE62" s="17"/>
      <c r="CF62" s="17" t="s">
        <v>439</v>
      </c>
      <c r="CG62" s="17" t="b">
        <v>0</v>
      </c>
      <c r="CH62" s="17" t="s">
        <v>425</v>
      </c>
      <c r="CI62" s="17">
        <v>0</v>
      </c>
      <c r="CJ62" s="21">
        <v>45843</v>
      </c>
      <c r="CK62" s="21">
        <v>45903</v>
      </c>
      <c r="CL62" s="17" t="s">
        <v>414</v>
      </c>
      <c r="CM62" s="21">
        <v>1</v>
      </c>
      <c r="CN62" s="21">
        <v>1</v>
      </c>
      <c r="CO62" s="21">
        <v>1</v>
      </c>
      <c r="CP62" s="17" t="b">
        <v>0</v>
      </c>
      <c r="CQ62" s="17" t="b">
        <v>1</v>
      </c>
      <c r="CR62" s="17" t="b">
        <v>0</v>
      </c>
      <c r="CS62">
        <v>7500</v>
      </c>
      <c r="CT62" t="s">
        <v>1916</v>
      </c>
      <c r="CU62">
        <v>5769.23</v>
      </c>
      <c r="CV62">
        <v>1730.77</v>
      </c>
      <c r="CW62" s="22"/>
    </row>
    <row r="63" spans="1:101" x14ac:dyDescent="0.25">
      <c r="A63" s="20">
        <v>353</v>
      </c>
      <c r="B63" s="17" t="s">
        <v>420</v>
      </c>
      <c r="C63" s="17" t="s">
        <v>867</v>
      </c>
      <c r="D63" s="17" t="s">
        <v>104</v>
      </c>
      <c r="E63" s="17" t="s">
        <v>868</v>
      </c>
      <c r="F63" s="17" t="s">
        <v>869</v>
      </c>
      <c r="G63" s="17" t="s">
        <v>414</v>
      </c>
      <c r="H63" s="17" t="s">
        <v>421</v>
      </c>
      <c r="I63" s="17" t="s">
        <v>414</v>
      </c>
      <c r="J63" s="17" t="s">
        <v>16</v>
      </c>
      <c r="K63" s="17" t="b">
        <v>0</v>
      </c>
      <c r="L63" s="17" t="s">
        <v>870</v>
      </c>
      <c r="M63" s="21">
        <v>35858</v>
      </c>
      <c r="N63" s="17" t="s">
        <v>871</v>
      </c>
      <c r="O63" s="17" t="s">
        <v>17</v>
      </c>
      <c r="P63" s="17" t="s">
        <v>18</v>
      </c>
      <c r="Q63" s="17">
        <v>4</v>
      </c>
      <c r="R63" s="17" t="s">
        <v>54</v>
      </c>
      <c r="S63" s="17">
        <v>4</v>
      </c>
      <c r="T63" s="17" t="s">
        <v>577</v>
      </c>
      <c r="U63" s="21">
        <v>44122</v>
      </c>
      <c r="V63" s="17" t="s">
        <v>58</v>
      </c>
      <c r="W63" s="21">
        <v>1.4097222222222223</v>
      </c>
      <c r="X63" s="17" t="s">
        <v>58</v>
      </c>
      <c r="Y63" s="17" t="s">
        <v>21</v>
      </c>
      <c r="Z63" s="17">
        <v>203100</v>
      </c>
      <c r="AA63" s="17" t="s">
        <v>55</v>
      </c>
      <c r="AB63" s="17" t="s">
        <v>443</v>
      </c>
      <c r="AC63" s="17">
        <v>0</v>
      </c>
      <c r="AD63" s="21">
        <v>1</v>
      </c>
      <c r="AE63" s="21">
        <v>2</v>
      </c>
      <c r="AF63" s="17"/>
      <c r="AG63" s="21">
        <v>368</v>
      </c>
      <c r="AH63" s="17">
        <v>61993956</v>
      </c>
      <c r="AI63" s="21">
        <v>44256</v>
      </c>
      <c r="AJ63" s="17">
        <v>4115</v>
      </c>
      <c r="AK63" s="17">
        <v>0.29749999999999999</v>
      </c>
      <c r="AL63" s="17">
        <v>1224.21</v>
      </c>
      <c r="AM63" s="17" t="b">
        <v>1</v>
      </c>
      <c r="AN63" s="17" t="b">
        <v>1</v>
      </c>
      <c r="AO63" s="21">
        <v>44333</v>
      </c>
      <c r="AP63" s="21">
        <v>44347</v>
      </c>
      <c r="AQ63" s="17" t="b">
        <v>0</v>
      </c>
      <c r="AR63" s="21">
        <v>45477</v>
      </c>
      <c r="AS63" s="21">
        <v>45477</v>
      </c>
      <c r="AT63" s="21">
        <v>44166</v>
      </c>
      <c r="AU63" s="17" t="b">
        <v>0</v>
      </c>
      <c r="AV63" s="21">
        <v>44214</v>
      </c>
      <c r="AW63" s="17" t="s">
        <v>41</v>
      </c>
      <c r="AX63" s="17" t="s">
        <v>23</v>
      </c>
      <c r="AY63" s="17" t="s">
        <v>41</v>
      </c>
      <c r="AZ63" s="17" t="s">
        <v>414</v>
      </c>
      <c r="BA63" s="21">
        <v>45477</v>
      </c>
      <c r="BB63" s="17">
        <v>0</v>
      </c>
      <c r="BC63" s="17"/>
      <c r="BD63" s="17" t="b">
        <v>0</v>
      </c>
      <c r="BE63" s="17" t="s">
        <v>2046</v>
      </c>
      <c r="BF63" s="21">
        <v>45477</v>
      </c>
      <c r="BG63" s="21">
        <v>45842</v>
      </c>
      <c r="BH63" s="17"/>
      <c r="BI63" s="21">
        <v>47365</v>
      </c>
      <c r="BJ63" s="17">
        <v>0</v>
      </c>
      <c r="BK63" s="17" t="s">
        <v>418</v>
      </c>
      <c r="BL63" s="17" t="s">
        <v>459</v>
      </c>
      <c r="BM63" s="17" t="b">
        <v>1</v>
      </c>
      <c r="BN63" s="17" t="b">
        <v>1</v>
      </c>
      <c r="BO63" s="17" t="b">
        <v>0</v>
      </c>
      <c r="BP63" s="17" t="b">
        <v>1</v>
      </c>
      <c r="BQ63" s="17" t="b">
        <v>1</v>
      </c>
      <c r="BR63" s="17" t="b">
        <v>0</v>
      </c>
      <c r="BS63" s="17" t="b">
        <v>1</v>
      </c>
      <c r="BT63" s="17" t="b">
        <v>1</v>
      </c>
      <c r="BU63" s="17" t="b">
        <v>1</v>
      </c>
      <c r="BV63" s="17">
        <v>0</v>
      </c>
      <c r="BW63" s="21">
        <v>44153</v>
      </c>
      <c r="BX63" s="17" t="s">
        <v>414</v>
      </c>
      <c r="BY63" s="17" t="s">
        <v>414</v>
      </c>
      <c r="BZ63" s="17">
        <v>0</v>
      </c>
      <c r="CA63" s="21">
        <v>45951</v>
      </c>
      <c r="CB63" s="17" t="s">
        <v>438</v>
      </c>
      <c r="CC63" s="17" t="s">
        <v>2047</v>
      </c>
      <c r="CD63" s="21"/>
      <c r="CE63" s="17"/>
      <c r="CF63" s="17" t="s">
        <v>872</v>
      </c>
      <c r="CG63" s="17" t="b">
        <v>0</v>
      </c>
      <c r="CH63" s="17" t="s">
        <v>425</v>
      </c>
      <c r="CI63" s="17">
        <v>523</v>
      </c>
      <c r="CJ63" s="21">
        <v>45853</v>
      </c>
      <c r="CK63" s="21">
        <v>45903</v>
      </c>
      <c r="CL63" s="17" t="s">
        <v>414</v>
      </c>
      <c r="CM63" s="21">
        <v>1</v>
      </c>
      <c r="CN63" s="21">
        <v>1</v>
      </c>
      <c r="CO63" s="21">
        <v>1</v>
      </c>
      <c r="CP63" s="17" t="b">
        <v>0</v>
      </c>
      <c r="CQ63" s="17" t="b">
        <v>1</v>
      </c>
      <c r="CR63" s="17" t="b">
        <v>0</v>
      </c>
      <c r="CS63">
        <v>7300</v>
      </c>
      <c r="CT63" t="s">
        <v>1911</v>
      </c>
      <c r="CU63">
        <v>5615.38</v>
      </c>
      <c r="CV63">
        <v>1684.62</v>
      </c>
      <c r="CW63" s="22"/>
    </row>
    <row r="64" spans="1:101" x14ac:dyDescent="0.25">
      <c r="A64" s="20">
        <v>354</v>
      </c>
      <c r="B64" s="17" t="s">
        <v>426</v>
      </c>
      <c r="C64" s="17" t="s">
        <v>587</v>
      </c>
      <c r="D64" s="17" t="s">
        <v>105</v>
      </c>
      <c r="E64" s="17" t="s">
        <v>873</v>
      </c>
      <c r="F64" s="17" t="s">
        <v>874</v>
      </c>
      <c r="G64" s="17" t="s">
        <v>414</v>
      </c>
      <c r="H64" s="17" t="s">
        <v>875</v>
      </c>
      <c r="I64" s="17" t="s">
        <v>414</v>
      </c>
      <c r="J64" s="17" t="s">
        <v>16</v>
      </c>
      <c r="K64" s="17" t="b">
        <v>0</v>
      </c>
      <c r="L64" s="17" t="s">
        <v>876</v>
      </c>
      <c r="M64" s="21">
        <v>36053</v>
      </c>
      <c r="N64" s="17" t="s">
        <v>871</v>
      </c>
      <c r="O64" s="17" t="s">
        <v>17</v>
      </c>
      <c r="P64" s="17" t="s">
        <v>18</v>
      </c>
      <c r="Q64" s="17">
        <v>4</v>
      </c>
      <c r="R64" s="17" t="s">
        <v>54</v>
      </c>
      <c r="S64" s="17">
        <v>4</v>
      </c>
      <c r="T64" s="17" t="s">
        <v>577</v>
      </c>
      <c r="U64" s="21">
        <v>44128</v>
      </c>
      <c r="V64" s="17" t="s">
        <v>58</v>
      </c>
      <c r="W64" s="21">
        <v>1.2361111111111112</v>
      </c>
      <c r="X64" s="17" t="s">
        <v>877</v>
      </c>
      <c r="Y64" s="17" t="s">
        <v>21</v>
      </c>
      <c r="Z64" s="17">
        <v>203100</v>
      </c>
      <c r="AA64" s="17" t="s">
        <v>55</v>
      </c>
      <c r="AB64" s="17" t="s">
        <v>418</v>
      </c>
      <c r="AC64" s="17">
        <v>205</v>
      </c>
      <c r="AD64" s="21">
        <v>45091</v>
      </c>
      <c r="AE64" s="21">
        <v>45091</v>
      </c>
      <c r="AF64" s="17"/>
      <c r="AG64" s="21">
        <v>45457</v>
      </c>
      <c r="AH64" s="17">
        <v>79107786</v>
      </c>
      <c r="AI64" s="21">
        <v>44240</v>
      </c>
      <c r="AJ64" s="17">
        <v>4115</v>
      </c>
      <c r="AK64" s="17">
        <v>0.29749999999999999</v>
      </c>
      <c r="AL64" s="17">
        <v>1224.21</v>
      </c>
      <c r="AM64" s="17" t="b">
        <v>1</v>
      </c>
      <c r="AN64" s="17" t="b">
        <v>1</v>
      </c>
      <c r="AO64" s="21">
        <v>44273</v>
      </c>
      <c r="AP64" s="21">
        <v>44292</v>
      </c>
      <c r="AQ64" s="17" t="b">
        <v>0</v>
      </c>
      <c r="AR64" s="21">
        <v>45434</v>
      </c>
      <c r="AS64" s="21">
        <v>45434</v>
      </c>
      <c r="AT64" s="21">
        <v>44148</v>
      </c>
      <c r="AU64" s="17" t="b">
        <v>0</v>
      </c>
      <c r="AV64" s="21">
        <v>44220</v>
      </c>
      <c r="AW64" s="17" t="s">
        <v>41</v>
      </c>
      <c r="AX64" s="17" t="s">
        <v>23</v>
      </c>
      <c r="AY64" s="17" t="s">
        <v>41</v>
      </c>
      <c r="AZ64" s="17" t="s">
        <v>414</v>
      </c>
      <c r="BA64" s="21">
        <v>45434</v>
      </c>
      <c r="BB64" s="17">
        <v>0</v>
      </c>
      <c r="BC64" s="17"/>
      <c r="BD64" s="17" t="b">
        <v>0</v>
      </c>
      <c r="BE64" s="17" t="s">
        <v>2048</v>
      </c>
      <c r="BF64" s="21">
        <v>45434</v>
      </c>
      <c r="BG64" s="21">
        <v>45799</v>
      </c>
      <c r="BH64" s="17"/>
      <c r="BI64" s="21">
        <v>47791</v>
      </c>
      <c r="BJ64" s="17">
        <v>0</v>
      </c>
      <c r="BK64" s="17" t="s">
        <v>418</v>
      </c>
      <c r="BL64" s="17" t="s">
        <v>459</v>
      </c>
      <c r="BM64" s="17" t="b">
        <v>1</v>
      </c>
      <c r="BN64" s="17" t="b">
        <v>1</v>
      </c>
      <c r="BO64" s="17" t="b">
        <v>1</v>
      </c>
      <c r="BP64" s="17" t="b">
        <v>1</v>
      </c>
      <c r="BQ64" s="17" t="b">
        <v>1</v>
      </c>
      <c r="BR64" s="17" t="b">
        <v>1</v>
      </c>
      <c r="BS64" s="17" t="b">
        <v>1</v>
      </c>
      <c r="BT64" s="17" t="b">
        <v>1</v>
      </c>
      <c r="BU64" s="17" t="b">
        <v>1</v>
      </c>
      <c r="BV64" s="17">
        <v>0</v>
      </c>
      <c r="BW64" s="21">
        <v>44159</v>
      </c>
      <c r="BX64" s="17" t="s">
        <v>414</v>
      </c>
      <c r="BY64" s="17" t="s">
        <v>414</v>
      </c>
      <c r="BZ64" s="17">
        <v>0</v>
      </c>
      <c r="CA64" s="21">
        <v>45951</v>
      </c>
      <c r="CB64" s="17" t="s">
        <v>438</v>
      </c>
      <c r="CC64" s="17" t="s">
        <v>2049</v>
      </c>
      <c r="CD64" s="21"/>
      <c r="CE64" s="17"/>
      <c r="CF64" s="17" t="s">
        <v>878</v>
      </c>
      <c r="CG64" s="17" t="b">
        <v>0</v>
      </c>
      <c r="CH64" s="17" t="s">
        <v>425</v>
      </c>
      <c r="CI64" s="17">
        <v>523</v>
      </c>
      <c r="CJ64" s="21">
        <v>45844</v>
      </c>
      <c r="CK64" s="21">
        <v>45903</v>
      </c>
      <c r="CL64" s="17" t="s">
        <v>414</v>
      </c>
      <c r="CM64" s="21">
        <v>1</v>
      </c>
      <c r="CN64" s="21">
        <v>1</v>
      </c>
      <c r="CO64" s="21">
        <v>1</v>
      </c>
      <c r="CP64" s="17" t="b">
        <v>0</v>
      </c>
      <c r="CQ64" s="17" t="b">
        <v>1</v>
      </c>
      <c r="CR64" s="17" t="b">
        <v>0</v>
      </c>
      <c r="CS64">
        <v>7300</v>
      </c>
      <c r="CT64" t="s">
        <v>1911</v>
      </c>
      <c r="CU64">
        <v>5615.38</v>
      </c>
      <c r="CV64">
        <v>1684.62</v>
      </c>
      <c r="CW64" s="22"/>
    </row>
    <row r="65" spans="1:101" x14ac:dyDescent="0.25">
      <c r="A65" s="20">
        <v>357</v>
      </c>
      <c r="B65" s="17" t="s">
        <v>880</v>
      </c>
      <c r="C65" s="17" t="s">
        <v>631</v>
      </c>
      <c r="D65" s="17" t="s">
        <v>106</v>
      </c>
      <c r="E65" s="17" t="s">
        <v>881</v>
      </c>
      <c r="F65" s="17" t="s">
        <v>882</v>
      </c>
      <c r="G65" s="17" t="s">
        <v>414</v>
      </c>
      <c r="H65" s="17" t="s">
        <v>883</v>
      </c>
      <c r="I65" s="17" t="s">
        <v>414</v>
      </c>
      <c r="J65" s="17" t="s">
        <v>25</v>
      </c>
      <c r="K65" s="17" t="b">
        <v>0</v>
      </c>
      <c r="L65" s="17" t="s">
        <v>884</v>
      </c>
      <c r="M65" s="21">
        <v>33664</v>
      </c>
      <c r="N65" s="17" t="s">
        <v>885</v>
      </c>
      <c r="O65" s="17" t="s">
        <v>26</v>
      </c>
      <c r="P65" s="17" t="s">
        <v>18</v>
      </c>
      <c r="Q65" s="17">
        <v>1</v>
      </c>
      <c r="R65" s="17" t="s">
        <v>19</v>
      </c>
      <c r="S65" s="17">
        <v>2</v>
      </c>
      <c r="T65" s="17" t="s">
        <v>441</v>
      </c>
      <c r="U65" s="21">
        <v>44179</v>
      </c>
      <c r="V65" s="17" t="s">
        <v>33</v>
      </c>
      <c r="W65" s="21">
        <v>1.28125</v>
      </c>
      <c r="X65" s="17" t="s">
        <v>489</v>
      </c>
      <c r="Y65" s="17" t="s">
        <v>21</v>
      </c>
      <c r="Z65" s="17">
        <v>949700</v>
      </c>
      <c r="AA65" s="17" t="s">
        <v>51</v>
      </c>
      <c r="AB65" s="17" t="s">
        <v>418</v>
      </c>
      <c r="AC65" s="17">
        <v>202</v>
      </c>
      <c r="AD65" s="21">
        <v>45004</v>
      </c>
      <c r="AE65" s="21">
        <v>45384</v>
      </c>
      <c r="AF65" s="17"/>
      <c r="AG65" s="21">
        <v>45749</v>
      </c>
      <c r="AH65" s="17">
        <v>74500475</v>
      </c>
      <c r="AI65" s="21">
        <v>44866</v>
      </c>
      <c r="AJ65" s="17">
        <v>4121</v>
      </c>
      <c r="AK65" s="17">
        <v>0.29749999999999999</v>
      </c>
      <c r="AL65" s="17">
        <v>1226</v>
      </c>
      <c r="AM65" s="17" t="b">
        <v>1</v>
      </c>
      <c r="AN65" s="17" t="b">
        <v>1</v>
      </c>
      <c r="AO65" s="21">
        <v>44892</v>
      </c>
      <c r="AP65" s="21">
        <v>44900</v>
      </c>
      <c r="AQ65" s="17" t="b">
        <v>0</v>
      </c>
      <c r="AR65" s="21">
        <v>45398</v>
      </c>
      <c r="AS65" s="21">
        <v>45398</v>
      </c>
      <c r="AT65" s="21">
        <v>44774</v>
      </c>
      <c r="AU65" s="17" t="b">
        <v>0</v>
      </c>
      <c r="AV65" s="21">
        <v>44269</v>
      </c>
      <c r="AW65" s="17" t="s">
        <v>27</v>
      </c>
      <c r="AX65" s="17" t="s">
        <v>27</v>
      </c>
      <c r="AY65" s="17" t="s">
        <v>414</v>
      </c>
      <c r="AZ65" s="17" t="s">
        <v>450</v>
      </c>
      <c r="BA65" s="21">
        <v>45398</v>
      </c>
      <c r="BB65" s="17">
        <v>37696</v>
      </c>
      <c r="BC65" s="17"/>
      <c r="BD65" s="17" t="b">
        <v>0</v>
      </c>
      <c r="BE65" s="17" t="s">
        <v>1906</v>
      </c>
      <c r="BF65" s="21">
        <v>45398</v>
      </c>
      <c r="BG65" s="21">
        <v>45763</v>
      </c>
      <c r="BH65" s="17"/>
      <c r="BI65" s="21">
        <v>46407</v>
      </c>
      <c r="BJ65" s="17">
        <v>0</v>
      </c>
      <c r="BK65" s="17" t="s">
        <v>443</v>
      </c>
      <c r="BL65" s="17" t="s">
        <v>424</v>
      </c>
      <c r="BM65" s="17" t="b">
        <v>1</v>
      </c>
      <c r="BN65" s="17" t="b">
        <v>1</v>
      </c>
      <c r="BO65" s="17" t="b">
        <v>1</v>
      </c>
      <c r="BP65" s="17" t="b">
        <v>1</v>
      </c>
      <c r="BQ65" s="17" t="b">
        <v>1</v>
      </c>
      <c r="BR65" s="17" t="b">
        <v>1</v>
      </c>
      <c r="BS65" s="17" t="b">
        <v>1</v>
      </c>
      <c r="BT65" s="17" t="b">
        <v>1</v>
      </c>
      <c r="BU65" s="17" t="b">
        <v>1</v>
      </c>
      <c r="BV65" s="17">
        <v>0</v>
      </c>
      <c r="BW65" s="21">
        <v>44210</v>
      </c>
      <c r="BX65" s="17" t="s">
        <v>414</v>
      </c>
      <c r="BY65" s="17" t="s">
        <v>414</v>
      </c>
      <c r="BZ65" s="17">
        <v>0</v>
      </c>
      <c r="CA65" s="21">
        <v>45951</v>
      </c>
      <c r="CB65" s="17" t="s">
        <v>419</v>
      </c>
      <c r="CC65" s="17" t="s">
        <v>2050</v>
      </c>
      <c r="CD65" s="21"/>
      <c r="CE65" s="17"/>
      <c r="CF65" s="17" t="s">
        <v>886</v>
      </c>
      <c r="CG65" s="17" t="b">
        <v>0</v>
      </c>
      <c r="CH65" s="17" t="s">
        <v>425</v>
      </c>
      <c r="CI65" s="17">
        <v>0</v>
      </c>
      <c r="CJ65" s="21">
        <v>45846</v>
      </c>
      <c r="CK65" s="21">
        <v>45903</v>
      </c>
      <c r="CL65" s="17" t="s">
        <v>414</v>
      </c>
      <c r="CM65" s="21">
        <v>1</v>
      </c>
      <c r="CN65" s="21">
        <v>1</v>
      </c>
      <c r="CO65" s="21">
        <v>1</v>
      </c>
      <c r="CP65" s="17" t="b">
        <v>0</v>
      </c>
      <c r="CQ65" s="17" t="b">
        <v>1</v>
      </c>
      <c r="CR65" s="17" t="b">
        <v>0</v>
      </c>
      <c r="CS65">
        <v>7000</v>
      </c>
      <c r="CT65" t="s">
        <v>1912</v>
      </c>
      <c r="CU65">
        <v>5384.62</v>
      </c>
      <c r="CV65">
        <v>1615.38</v>
      </c>
      <c r="CW65" s="22"/>
    </row>
    <row r="66" spans="1:101" x14ac:dyDescent="0.25">
      <c r="A66" s="20">
        <v>360</v>
      </c>
      <c r="B66" s="17" t="s">
        <v>420</v>
      </c>
      <c r="C66" s="17" t="s">
        <v>889</v>
      </c>
      <c r="D66" s="17" t="s">
        <v>890</v>
      </c>
      <c r="E66" s="17" t="s">
        <v>891</v>
      </c>
      <c r="F66" s="17" t="s">
        <v>892</v>
      </c>
      <c r="G66" s="17" t="s">
        <v>414</v>
      </c>
      <c r="H66" s="17" t="s">
        <v>893</v>
      </c>
      <c r="I66" s="17" t="s">
        <v>414</v>
      </c>
      <c r="J66" s="17" t="s">
        <v>96</v>
      </c>
      <c r="K66" s="17" t="b">
        <v>0</v>
      </c>
      <c r="L66" s="17" t="s">
        <v>414</v>
      </c>
      <c r="M66" s="21">
        <v>2</v>
      </c>
      <c r="N66" s="17" t="s">
        <v>414</v>
      </c>
      <c r="O66" s="17" t="s">
        <v>17</v>
      </c>
      <c r="P66" s="17" t="s">
        <v>18</v>
      </c>
      <c r="Q66" s="17">
        <v>8</v>
      </c>
      <c r="R66" s="17" t="s">
        <v>107</v>
      </c>
      <c r="S66" s="17">
        <v>61</v>
      </c>
      <c r="T66" s="17" t="s">
        <v>894</v>
      </c>
      <c r="U66" s="21">
        <v>44166</v>
      </c>
      <c r="V66" s="17" t="s">
        <v>108</v>
      </c>
      <c r="W66" s="21">
        <v>1.4548611111111112</v>
      </c>
      <c r="X66" s="17" t="s">
        <v>895</v>
      </c>
      <c r="Y66" s="17" t="s">
        <v>21</v>
      </c>
      <c r="Z66" s="17">
        <v>0</v>
      </c>
      <c r="AA66" s="17" t="s">
        <v>414</v>
      </c>
      <c r="AB66" s="17" t="s">
        <v>443</v>
      </c>
      <c r="AC66" s="17">
        <v>0</v>
      </c>
      <c r="AD66" s="21">
        <v>1</v>
      </c>
      <c r="AE66" s="21">
        <v>2</v>
      </c>
      <c r="AF66" s="17"/>
      <c r="AG66" s="21">
        <v>368</v>
      </c>
      <c r="AH66" s="17">
        <v>0</v>
      </c>
      <c r="AI66" s="21">
        <v>1</v>
      </c>
      <c r="AJ66" s="17">
        <v>0</v>
      </c>
      <c r="AK66" s="17">
        <v>0.29749999999999999</v>
      </c>
      <c r="AL66" s="17">
        <v>0</v>
      </c>
      <c r="AM66" s="17" t="b">
        <v>0</v>
      </c>
      <c r="AN66" s="17" t="b">
        <v>0</v>
      </c>
      <c r="AO66" s="21">
        <v>45455</v>
      </c>
      <c r="AP66" s="21">
        <v>45455</v>
      </c>
      <c r="AQ66" s="17" t="b">
        <v>0</v>
      </c>
      <c r="AR66" s="21">
        <v>45455</v>
      </c>
      <c r="AS66" s="21">
        <v>45455</v>
      </c>
      <c r="AT66" s="21">
        <v>-90</v>
      </c>
      <c r="AU66" s="17" t="b">
        <v>0</v>
      </c>
      <c r="AV66" s="21">
        <v>44256</v>
      </c>
      <c r="AW66" s="17" t="s">
        <v>414</v>
      </c>
      <c r="AX66" s="17" t="s">
        <v>414</v>
      </c>
      <c r="AY66" s="17"/>
      <c r="AZ66" s="17" t="s">
        <v>450</v>
      </c>
      <c r="BA66" s="21">
        <v>45455</v>
      </c>
      <c r="BB66" s="17">
        <v>0</v>
      </c>
      <c r="BC66" s="17"/>
      <c r="BD66" s="17" t="b">
        <v>0</v>
      </c>
      <c r="BE66" s="17" t="s">
        <v>2051</v>
      </c>
      <c r="BF66" s="21">
        <v>45455</v>
      </c>
      <c r="BG66" s="21">
        <v>45820</v>
      </c>
      <c r="BH66" s="17"/>
      <c r="BI66" s="21">
        <v>45455</v>
      </c>
      <c r="BJ66" s="17">
        <v>0</v>
      </c>
      <c r="BK66" s="17" t="s">
        <v>443</v>
      </c>
      <c r="BL66" s="17" t="s">
        <v>443</v>
      </c>
      <c r="BM66" s="17" t="b">
        <v>0</v>
      </c>
      <c r="BN66" s="17" t="b">
        <v>0</v>
      </c>
      <c r="BO66" s="17" t="b">
        <v>0</v>
      </c>
      <c r="BP66" s="17" t="b">
        <v>0</v>
      </c>
      <c r="BQ66" s="17" t="b">
        <v>0</v>
      </c>
      <c r="BR66" s="17" t="b">
        <v>0</v>
      </c>
      <c r="BS66" s="17" t="b">
        <v>0</v>
      </c>
      <c r="BT66" s="17" t="b">
        <v>0</v>
      </c>
      <c r="BU66" s="17" t="b">
        <v>0</v>
      </c>
      <c r="BV66" s="17">
        <v>0</v>
      </c>
      <c r="BW66" s="21">
        <v>44197</v>
      </c>
      <c r="BX66" s="17" t="s">
        <v>414</v>
      </c>
      <c r="BY66" s="17" t="s">
        <v>414</v>
      </c>
      <c r="BZ66" s="17">
        <v>0</v>
      </c>
      <c r="CA66" s="21">
        <v>45808</v>
      </c>
      <c r="CB66" s="17" t="s">
        <v>419</v>
      </c>
      <c r="CC66" s="17" t="s">
        <v>2052</v>
      </c>
      <c r="CD66" s="21"/>
      <c r="CE66" s="17"/>
      <c r="CF66" s="17" t="s">
        <v>414</v>
      </c>
      <c r="CG66" s="17" t="b">
        <v>0</v>
      </c>
      <c r="CH66" s="17" t="s">
        <v>414</v>
      </c>
      <c r="CI66" s="17"/>
      <c r="CJ66" s="21"/>
      <c r="CK66" s="21"/>
      <c r="CL66" s="17"/>
      <c r="CM66" s="21"/>
      <c r="CN66" s="21"/>
      <c r="CO66" s="21"/>
      <c r="CP66" s="17"/>
      <c r="CQ66" s="17"/>
      <c r="CR66" s="17"/>
      <c r="CW66" s="22"/>
    </row>
    <row r="67" spans="1:101" x14ac:dyDescent="0.25">
      <c r="A67" s="20">
        <v>363</v>
      </c>
      <c r="B67" s="17" t="s">
        <v>420</v>
      </c>
      <c r="C67" s="17" t="s">
        <v>426</v>
      </c>
      <c r="D67" s="17" t="s">
        <v>109</v>
      </c>
      <c r="E67" s="17" t="s">
        <v>897</v>
      </c>
      <c r="F67" s="17" t="s">
        <v>898</v>
      </c>
      <c r="G67" s="17" t="s">
        <v>414</v>
      </c>
      <c r="H67" s="17" t="s">
        <v>899</v>
      </c>
      <c r="I67" s="17" t="s">
        <v>414</v>
      </c>
      <c r="J67" s="17" t="s">
        <v>16</v>
      </c>
      <c r="K67" s="17" t="b">
        <v>0</v>
      </c>
      <c r="L67" s="17" t="s">
        <v>900</v>
      </c>
      <c r="M67" s="21">
        <v>29891</v>
      </c>
      <c r="N67" s="17" t="s">
        <v>901</v>
      </c>
      <c r="O67" s="17" t="s">
        <v>17</v>
      </c>
      <c r="P67" s="17" t="s">
        <v>18</v>
      </c>
      <c r="Q67" s="17">
        <v>1</v>
      </c>
      <c r="R67" s="17" t="s">
        <v>19</v>
      </c>
      <c r="S67" s="17">
        <v>13</v>
      </c>
      <c r="T67" s="17" t="s">
        <v>902</v>
      </c>
      <c r="U67" s="21">
        <v>44377</v>
      </c>
      <c r="V67" s="17" t="s">
        <v>110</v>
      </c>
      <c r="W67" s="21">
        <v>1.2673611111111112</v>
      </c>
      <c r="X67" s="17" t="s">
        <v>110</v>
      </c>
      <c r="Y67" s="17" t="s">
        <v>21</v>
      </c>
      <c r="Z67" s="17">
        <v>34220</v>
      </c>
      <c r="AA67" s="17" t="s">
        <v>46</v>
      </c>
      <c r="AB67" s="17" t="s">
        <v>418</v>
      </c>
      <c r="AC67" s="17">
        <v>206</v>
      </c>
      <c r="AD67" s="21">
        <v>45091</v>
      </c>
      <c r="AE67" s="21">
        <v>45091</v>
      </c>
      <c r="AF67" s="17"/>
      <c r="AG67" s="21">
        <v>45457</v>
      </c>
      <c r="AH67" s="17">
        <v>43547644</v>
      </c>
      <c r="AI67" s="21">
        <v>44766</v>
      </c>
      <c r="AJ67" s="17">
        <v>4100</v>
      </c>
      <c r="AK67" s="17">
        <v>0.29749999999999999</v>
      </c>
      <c r="AL67" s="17">
        <v>1219.75</v>
      </c>
      <c r="AM67" s="17" t="b">
        <v>1</v>
      </c>
      <c r="AN67" s="17" t="b">
        <v>1</v>
      </c>
      <c r="AO67" s="21">
        <v>44787</v>
      </c>
      <c r="AP67" s="21">
        <v>44789</v>
      </c>
      <c r="AQ67" s="17" t="b">
        <v>0</v>
      </c>
      <c r="AR67" s="21">
        <v>45617</v>
      </c>
      <c r="AS67" s="21">
        <v>45617</v>
      </c>
      <c r="AT67" s="21">
        <v>44675</v>
      </c>
      <c r="AU67" s="17" t="b">
        <v>0</v>
      </c>
      <c r="AV67" s="21">
        <v>44469</v>
      </c>
      <c r="AW67" s="17" t="s">
        <v>23</v>
      </c>
      <c r="AX67" s="17" t="s">
        <v>23</v>
      </c>
      <c r="AY67" s="17" t="s">
        <v>414</v>
      </c>
      <c r="AZ67" s="17" t="s">
        <v>903</v>
      </c>
      <c r="BA67" s="21">
        <v>45617</v>
      </c>
      <c r="BB67" s="17">
        <v>24535</v>
      </c>
      <c r="BC67" s="17"/>
      <c r="BD67" s="17" t="b">
        <v>0</v>
      </c>
      <c r="BE67" s="17" t="s">
        <v>2053</v>
      </c>
      <c r="BF67" s="21">
        <v>45617</v>
      </c>
      <c r="BG67" s="21">
        <v>45982</v>
      </c>
      <c r="BH67" s="17"/>
      <c r="BI67" s="21">
        <v>46089</v>
      </c>
      <c r="BJ67" s="17">
        <v>0</v>
      </c>
      <c r="BK67" s="17" t="s">
        <v>418</v>
      </c>
      <c r="BL67" s="17" t="s">
        <v>459</v>
      </c>
      <c r="BM67" s="17" t="b">
        <v>1</v>
      </c>
      <c r="BN67" s="17" t="b">
        <v>1</v>
      </c>
      <c r="BO67" s="17" t="b">
        <v>1</v>
      </c>
      <c r="BP67" s="17" t="b">
        <v>1</v>
      </c>
      <c r="BQ67" s="17" t="b">
        <v>1</v>
      </c>
      <c r="BR67" s="17" t="b">
        <v>1</v>
      </c>
      <c r="BS67" s="17" t="b">
        <v>1</v>
      </c>
      <c r="BT67" s="17" t="b">
        <v>1</v>
      </c>
      <c r="BU67" s="17" t="b">
        <v>1</v>
      </c>
      <c r="BV67" s="17">
        <v>0</v>
      </c>
      <c r="BW67" s="21">
        <v>44407</v>
      </c>
      <c r="BX67" s="17" t="s">
        <v>414</v>
      </c>
      <c r="BY67" s="17" t="s">
        <v>414</v>
      </c>
      <c r="BZ67" s="17">
        <v>0</v>
      </c>
      <c r="CA67" s="21">
        <v>45951</v>
      </c>
      <c r="CB67" s="17" t="s">
        <v>438</v>
      </c>
      <c r="CC67" s="17" t="s">
        <v>2054</v>
      </c>
      <c r="CD67" s="21"/>
      <c r="CE67" s="17"/>
      <c r="CF67" s="17" t="s">
        <v>414</v>
      </c>
      <c r="CG67" s="17" t="b">
        <v>0</v>
      </c>
      <c r="CH67" s="17" t="s">
        <v>414</v>
      </c>
      <c r="CI67" s="17">
        <v>0</v>
      </c>
      <c r="CJ67" s="21">
        <v>45852</v>
      </c>
      <c r="CK67" s="21">
        <v>45903</v>
      </c>
      <c r="CL67" s="17" t="s">
        <v>414</v>
      </c>
      <c r="CM67" s="21">
        <v>1</v>
      </c>
      <c r="CN67" s="21">
        <v>1</v>
      </c>
      <c r="CO67" s="21">
        <v>1</v>
      </c>
      <c r="CP67" s="17" t="b">
        <v>0</v>
      </c>
      <c r="CQ67" s="17" t="b">
        <v>1</v>
      </c>
      <c r="CR67" s="17" t="b">
        <v>0</v>
      </c>
      <c r="CS67">
        <v>7500</v>
      </c>
      <c r="CT67" t="s">
        <v>1916</v>
      </c>
      <c r="CU67">
        <v>5769.23</v>
      </c>
      <c r="CV67">
        <v>1730.77</v>
      </c>
      <c r="CW67" s="22"/>
    </row>
    <row r="68" spans="1:101" x14ac:dyDescent="0.25">
      <c r="A68" s="20">
        <v>366</v>
      </c>
      <c r="B68" s="17" t="s">
        <v>765</v>
      </c>
      <c r="C68" s="17" t="s">
        <v>426</v>
      </c>
      <c r="D68" s="17" t="s">
        <v>111</v>
      </c>
      <c r="E68" s="17" t="s">
        <v>905</v>
      </c>
      <c r="F68" s="17" t="s">
        <v>906</v>
      </c>
      <c r="G68" s="17" t="s">
        <v>414</v>
      </c>
      <c r="H68" s="17" t="s">
        <v>907</v>
      </c>
      <c r="I68" s="17" t="s">
        <v>414</v>
      </c>
      <c r="J68" s="17" t="s">
        <v>16</v>
      </c>
      <c r="K68" s="17" t="b">
        <v>0</v>
      </c>
      <c r="L68" s="17" t="s">
        <v>908</v>
      </c>
      <c r="M68" s="21">
        <v>36779</v>
      </c>
      <c r="N68" s="17" t="s">
        <v>555</v>
      </c>
      <c r="O68" s="17" t="s">
        <v>17</v>
      </c>
      <c r="P68" s="17" t="s">
        <v>18</v>
      </c>
      <c r="Q68" s="17">
        <v>1</v>
      </c>
      <c r="R68" s="17" t="s">
        <v>19</v>
      </c>
      <c r="S68" s="17">
        <v>9</v>
      </c>
      <c r="T68" s="17" t="s">
        <v>434</v>
      </c>
      <c r="U68" s="21">
        <v>44426</v>
      </c>
      <c r="V68" s="17" t="s">
        <v>29</v>
      </c>
      <c r="W68" s="21">
        <v>1.4097222222222223</v>
      </c>
      <c r="X68" s="17" t="s">
        <v>29</v>
      </c>
      <c r="Y68" s="17" t="s">
        <v>21</v>
      </c>
      <c r="Z68" s="17">
        <v>949700</v>
      </c>
      <c r="AA68" s="17" t="s">
        <v>51</v>
      </c>
      <c r="AB68" s="17" t="s">
        <v>418</v>
      </c>
      <c r="AC68" s="17">
        <v>195</v>
      </c>
      <c r="AD68" s="21">
        <v>45004</v>
      </c>
      <c r="AE68" s="21">
        <v>45389</v>
      </c>
      <c r="AF68" s="17"/>
      <c r="AG68" s="21">
        <v>45754</v>
      </c>
      <c r="AH68" s="17">
        <v>63201533</v>
      </c>
      <c r="AI68" s="21">
        <v>44593</v>
      </c>
      <c r="AJ68" s="17">
        <v>4121</v>
      </c>
      <c r="AK68" s="17">
        <v>0.29749999999999999</v>
      </c>
      <c r="AL68" s="17">
        <v>1226</v>
      </c>
      <c r="AM68" s="17" t="b">
        <v>1</v>
      </c>
      <c r="AN68" s="17" t="b">
        <v>1</v>
      </c>
      <c r="AO68" s="21">
        <v>44698</v>
      </c>
      <c r="AP68" s="21">
        <v>44706</v>
      </c>
      <c r="AQ68" s="17" t="b">
        <v>0</v>
      </c>
      <c r="AR68" s="21">
        <v>45449</v>
      </c>
      <c r="AS68" s="21">
        <v>45449</v>
      </c>
      <c r="AT68" s="21">
        <v>44501</v>
      </c>
      <c r="AU68" s="17" t="b">
        <v>0</v>
      </c>
      <c r="AV68" s="21">
        <v>44518</v>
      </c>
      <c r="AW68" s="17" t="s">
        <v>23</v>
      </c>
      <c r="AX68" s="17" t="s">
        <v>41</v>
      </c>
      <c r="AY68" s="17" t="s">
        <v>414</v>
      </c>
      <c r="AZ68" s="17" t="s">
        <v>414</v>
      </c>
      <c r="BA68" s="21">
        <v>45449</v>
      </c>
      <c r="BB68" s="17">
        <v>15835</v>
      </c>
      <c r="BC68" s="17"/>
      <c r="BD68" s="17" t="b">
        <v>0</v>
      </c>
      <c r="BE68" s="17" t="s">
        <v>2055</v>
      </c>
      <c r="BF68" s="21">
        <v>45449</v>
      </c>
      <c r="BG68" s="21">
        <v>45814</v>
      </c>
      <c r="BH68" s="17"/>
      <c r="BI68" s="21">
        <v>45806</v>
      </c>
      <c r="BJ68" s="17">
        <v>0</v>
      </c>
      <c r="BK68" s="17" t="s">
        <v>423</v>
      </c>
      <c r="BL68" s="17" t="s">
        <v>459</v>
      </c>
      <c r="BM68" s="17" t="b">
        <v>1</v>
      </c>
      <c r="BN68" s="17" t="b">
        <v>0</v>
      </c>
      <c r="BO68" s="17" t="b">
        <v>1</v>
      </c>
      <c r="BP68" s="17" t="b">
        <v>1</v>
      </c>
      <c r="BQ68" s="17" t="b">
        <v>1</v>
      </c>
      <c r="BR68" s="17" t="b">
        <v>1</v>
      </c>
      <c r="BS68" s="17" t="b">
        <v>1</v>
      </c>
      <c r="BT68" s="17" t="b">
        <v>1</v>
      </c>
      <c r="BU68" s="17" t="b">
        <v>1</v>
      </c>
      <c r="BV68" s="17">
        <v>0</v>
      </c>
      <c r="BW68" s="21">
        <v>44457</v>
      </c>
      <c r="BX68" s="17" t="s">
        <v>414</v>
      </c>
      <c r="BY68" s="17" t="s">
        <v>414</v>
      </c>
      <c r="BZ68" s="17">
        <v>0</v>
      </c>
      <c r="CA68" s="21">
        <v>45951</v>
      </c>
      <c r="CB68" s="17" t="s">
        <v>438</v>
      </c>
      <c r="CC68" s="17" t="s">
        <v>2056</v>
      </c>
      <c r="CD68" s="21"/>
      <c r="CE68" s="17"/>
      <c r="CF68" s="17" t="s">
        <v>909</v>
      </c>
      <c r="CG68" s="17" t="b">
        <v>0</v>
      </c>
      <c r="CH68" s="17" t="s">
        <v>425</v>
      </c>
      <c r="CI68" s="17">
        <v>0</v>
      </c>
      <c r="CJ68" s="21">
        <v>45845</v>
      </c>
      <c r="CK68" s="21">
        <v>45903</v>
      </c>
      <c r="CL68" s="17" t="s">
        <v>414</v>
      </c>
      <c r="CM68" s="21">
        <v>1</v>
      </c>
      <c r="CN68" s="21">
        <v>1</v>
      </c>
      <c r="CO68" s="21">
        <v>1</v>
      </c>
      <c r="CP68" s="17" t="b">
        <v>0</v>
      </c>
      <c r="CQ68" s="17" t="b">
        <v>1</v>
      </c>
      <c r="CR68" s="17" t="b">
        <v>0</v>
      </c>
      <c r="CS68">
        <v>7300</v>
      </c>
      <c r="CT68" t="s">
        <v>1911</v>
      </c>
      <c r="CU68">
        <v>5615.38</v>
      </c>
      <c r="CV68">
        <v>1684.62</v>
      </c>
      <c r="CW68" s="22"/>
    </row>
    <row r="69" spans="1:101" x14ac:dyDescent="0.25">
      <c r="A69" s="20">
        <v>370</v>
      </c>
      <c r="B69" s="17" t="s">
        <v>564</v>
      </c>
      <c r="C69" s="17" t="s">
        <v>653</v>
      </c>
      <c r="D69" s="17" t="s">
        <v>112</v>
      </c>
      <c r="E69" s="17" t="s">
        <v>911</v>
      </c>
      <c r="F69" s="17" t="s">
        <v>912</v>
      </c>
      <c r="G69" s="17" t="s">
        <v>414</v>
      </c>
      <c r="H69" s="17" t="s">
        <v>421</v>
      </c>
      <c r="I69" s="17" t="s">
        <v>414</v>
      </c>
      <c r="J69" s="17" t="s">
        <v>16</v>
      </c>
      <c r="K69" s="17" t="b">
        <v>0</v>
      </c>
      <c r="L69" s="17" t="s">
        <v>913</v>
      </c>
      <c r="M69" s="21">
        <v>32580</v>
      </c>
      <c r="N69" s="17" t="s">
        <v>666</v>
      </c>
      <c r="O69" s="17" t="s">
        <v>17</v>
      </c>
      <c r="P69" s="17" t="s">
        <v>18</v>
      </c>
      <c r="Q69" s="17">
        <v>1</v>
      </c>
      <c r="R69" s="17" t="s">
        <v>19</v>
      </c>
      <c r="S69" s="17">
        <v>1</v>
      </c>
      <c r="T69" s="17" t="s">
        <v>422</v>
      </c>
      <c r="U69" s="21">
        <v>44447</v>
      </c>
      <c r="V69" s="17" t="s">
        <v>58</v>
      </c>
      <c r="W69" s="21">
        <v>1.0763888888888888</v>
      </c>
      <c r="X69" s="17" t="s">
        <v>58</v>
      </c>
      <c r="Y69" s="17" t="s">
        <v>21</v>
      </c>
      <c r="Z69" s="17">
        <v>949700</v>
      </c>
      <c r="AA69" s="17" t="s">
        <v>51</v>
      </c>
      <c r="AB69" s="17" t="s">
        <v>443</v>
      </c>
      <c r="AC69" s="17">
        <v>0</v>
      </c>
      <c r="AD69" s="21">
        <v>1</v>
      </c>
      <c r="AE69" s="21">
        <v>2</v>
      </c>
      <c r="AF69" s="17"/>
      <c r="AG69" s="21">
        <v>368</v>
      </c>
      <c r="AH69" s="17">
        <v>66764474</v>
      </c>
      <c r="AI69" s="21">
        <v>44447</v>
      </c>
      <c r="AJ69" s="17">
        <v>4121</v>
      </c>
      <c r="AK69" s="17">
        <v>0.29749999999999999</v>
      </c>
      <c r="AL69" s="17">
        <v>1226</v>
      </c>
      <c r="AM69" s="17" t="b">
        <v>1</v>
      </c>
      <c r="AN69" s="17" t="b">
        <v>1</v>
      </c>
      <c r="AO69" s="21">
        <v>44550</v>
      </c>
      <c r="AP69" s="21">
        <v>44556</v>
      </c>
      <c r="AQ69" s="17" t="b">
        <v>0</v>
      </c>
      <c r="AR69" s="21">
        <v>45477</v>
      </c>
      <c r="AS69" s="21">
        <v>45477</v>
      </c>
      <c r="AT69" s="21">
        <v>44355</v>
      </c>
      <c r="AU69" s="17" t="b">
        <v>0</v>
      </c>
      <c r="AV69" s="21">
        <v>44538</v>
      </c>
      <c r="AW69" s="17" t="s">
        <v>41</v>
      </c>
      <c r="AX69" s="17" t="s">
        <v>41</v>
      </c>
      <c r="AY69" s="17" t="s">
        <v>23</v>
      </c>
      <c r="AZ69" s="17" t="s">
        <v>520</v>
      </c>
      <c r="BA69" s="21">
        <v>45477</v>
      </c>
      <c r="BB69" s="17">
        <v>0</v>
      </c>
      <c r="BC69" s="17"/>
      <c r="BD69" s="17" t="b">
        <v>0</v>
      </c>
      <c r="BE69" s="17" t="s">
        <v>2057</v>
      </c>
      <c r="BF69" s="21">
        <v>45839</v>
      </c>
      <c r="BG69" s="21">
        <v>46204</v>
      </c>
      <c r="BH69" s="17"/>
      <c r="BI69" s="21">
        <v>47377</v>
      </c>
      <c r="BJ69" s="17">
        <v>0</v>
      </c>
      <c r="BK69" s="17" t="s">
        <v>418</v>
      </c>
      <c r="BL69" s="17" t="s">
        <v>557</v>
      </c>
      <c r="BM69" s="17" t="b">
        <v>1</v>
      </c>
      <c r="BN69" s="17" t="b">
        <v>1</v>
      </c>
      <c r="BO69" s="17" t="b">
        <v>1</v>
      </c>
      <c r="BP69" s="17" t="b">
        <v>1</v>
      </c>
      <c r="BQ69" s="17" t="b">
        <v>1</v>
      </c>
      <c r="BR69" s="17" t="b">
        <v>1</v>
      </c>
      <c r="BS69" s="17" t="b">
        <v>1</v>
      </c>
      <c r="BT69" s="17" t="b">
        <v>1</v>
      </c>
      <c r="BU69" s="17" t="b">
        <v>1</v>
      </c>
      <c r="BV69" s="17">
        <v>0</v>
      </c>
      <c r="BW69" s="21">
        <v>44477</v>
      </c>
      <c r="BX69" s="17" t="s">
        <v>414</v>
      </c>
      <c r="BY69" s="17" t="s">
        <v>414</v>
      </c>
      <c r="BZ69" s="17">
        <v>0</v>
      </c>
      <c r="CA69" s="21">
        <v>45951</v>
      </c>
      <c r="CB69" s="17" t="s">
        <v>438</v>
      </c>
      <c r="CC69" s="17" t="s">
        <v>2058</v>
      </c>
      <c r="CD69" s="21"/>
      <c r="CE69" s="17"/>
      <c r="CF69" s="17" t="s">
        <v>914</v>
      </c>
      <c r="CG69" s="17" t="b">
        <v>0</v>
      </c>
      <c r="CH69" s="17" t="s">
        <v>425</v>
      </c>
      <c r="CI69" s="17">
        <v>537</v>
      </c>
      <c r="CJ69" s="21">
        <v>45839</v>
      </c>
      <c r="CK69" s="21">
        <v>45907</v>
      </c>
      <c r="CL69" s="17" t="s">
        <v>414</v>
      </c>
      <c r="CM69" s="21">
        <v>1</v>
      </c>
      <c r="CN69" s="21">
        <v>1</v>
      </c>
      <c r="CO69" s="21">
        <v>1</v>
      </c>
      <c r="CP69" s="17" t="b">
        <v>0</v>
      </c>
      <c r="CQ69" s="17" t="b">
        <v>1</v>
      </c>
      <c r="CR69" s="17" t="b">
        <v>0</v>
      </c>
      <c r="CS69">
        <v>7100</v>
      </c>
      <c r="CT69" t="s">
        <v>1913</v>
      </c>
      <c r="CU69">
        <v>5461.54</v>
      </c>
      <c r="CV69">
        <v>1638.46</v>
      </c>
      <c r="CW69" s="22"/>
    </row>
    <row r="70" spans="1:101" x14ac:dyDescent="0.25">
      <c r="A70" s="20">
        <v>381</v>
      </c>
      <c r="B70" s="17" t="s">
        <v>918</v>
      </c>
      <c r="C70" s="17" t="s">
        <v>594</v>
      </c>
      <c r="D70" s="17" t="s">
        <v>113</v>
      </c>
      <c r="E70" s="17" t="s">
        <v>919</v>
      </c>
      <c r="F70" s="17" t="s">
        <v>920</v>
      </c>
      <c r="G70" s="17" t="s">
        <v>414</v>
      </c>
      <c r="H70" s="17" t="s">
        <v>921</v>
      </c>
      <c r="I70" s="17" t="s">
        <v>414</v>
      </c>
      <c r="J70" s="17" t="s">
        <v>16</v>
      </c>
      <c r="K70" s="17" t="b">
        <v>1</v>
      </c>
      <c r="L70" s="17" t="s">
        <v>922</v>
      </c>
      <c r="M70" s="21">
        <v>35545</v>
      </c>
      <c r="N70" s="17" t="s">
        <v>923</v>
      </c>
      <c r="O70" s="17" t="s">
        <v>17</v>
      </c>
      <c r="P70" s="17" t="s">
        <v>18</v>
      </c>
      <c r="Q70" s="17">
        <v>1</v>
      </c>
      <c r="R70" s="17" t="s">
        <v>19</v>
      </c>
      <c r="S70" s="17">
        <v>1</v>
      </c>
      <c r="T70" s="17" t="s">
        <v>422</v>
      </c>
      <c r="U70" s="21">
        <v>44482</v>
      </c>
      <c r="V70" s="17" t="s">
        <v>114</v>
      </c>
      <c r="W70" s="21">
        <v>1.4375</v>
      </c>
      <c r="X70" s="17" t="s">
        <v>924</v>
      </c>
      <c r="Y70" s="17" t="s">
        <v>21</v>
      </c>
      <c r="Z70" s="17">
        <v>949700</v>
      </c>
      <c r="AA70" s="17" t="s">
        <v>51</v>
      </c>
      <c r="AB70" s="17" t="s">
        <v>443</v>
      </c>
      <c r="AC70" s="17">
        <v>0</v>
      </c>
      <c r="AD70" s="21">
        <v>45434</v>
      </c>
      <c r="AE70" s="21">
        <v>2</v>
      </c>
      <c r="AF70" s="17"/>
      <c r="AG70" s="21">
        <v>368</v>
      </c>
      <c r="AH70" s="17">
        <v>77212344</v>
      </c>
      <c r="AI70" s="21">
        <v>44482</v>
      </c>
      <c r="AJ70" s="17">
        <v>4121</v>
      </c>
      <c r="AK70" s="17">
        <v>0.29749999999999999</v>
      </c>
      <c r="AL70" s="17">
        <v>1226</v>
      </c>
      <c r="AM70" s="17" t="b">
        <v>1</v>
      </c>
      <c r="AN70" s="17" t="b">
        <v>1</v>
      </c>
      <c r="AO70" s="21">
        <v>44516</v>
      </c>
      <c r="AP70" s="21">
        <v>44529</v>
      </c>
      <c r="AQ70" s="17" t="b">
        <v>0</v>
      </c>
      <c r="AR70" s="21">
        <v>45434</v>
      </c>
      <c r="AS70" s="21">
        <v>45434</v>
      </c>
      <c r="AT70" s="21">
        <v>44390</v>
      </c>
      <c r="AU70" s="17" t="b">
        <v>0</v>
      </c>
      <c r="AV70" s="21">
        <v>44574</v>
      </c>
      <c r="AW70" s="17" t="s">
        <v>23</v>
      </c>
      <c r="AX70" s="17" t="s">
        <v>41</v>
      </c>
      <c r="AY70" s="17" t="s">
        <v>101</v>
      </c>
      <c r="AZ70" s="17" t="s">
        <v>414</v>
      </c>
      <c r="BA70" s="21">
        <v>45434</v>
      </c>
      <c r="BB70" s="17">
        <v>0</v>
      </c>
      <c r="BC70" s="17"/>
      <c r="BD70" s="17" t="b">
        <v>0</v>
      </c>
      <c r="BE70" s="17" t="s">
        <v>2059</v>
      </c>
      <c r="BF70" s="21">
        <v>45434</v>
      </c>
      <c r="BG70" s="21">
        <v>45799</v>
      </c>
      <c r="BH70" s="17"/>
      <c r="BI70" s="21">
        <v>48178</v>
      </c>
      <c r="BJ70" s="17">
        <v>0</v>
      </c>
      <c r="BK70" s="17" t="s">
        <v>418</v>
      </c>
      <c r="BL70" s="17" t="s">
        <v>459</v>
      </c>
      <c r="BM70" s="17" t="b">
        <v>1</v>
      </c>
      <c r="BN70" s="17" t="b">
        <v>0</v>
      </c>
      <c r="BO70" s="17" t="b">
        <v>1</v>
      </c>
      <c r="BP70" s="17" t="b">
        <v>1</v>
      </c>
      <c r="BQ70" s="17" t="b">
        <v>1</v>
      </c>
      <c r="BR70" s="17" t="b">
        <v>1</v>
      </c>
      <c r="BS70" s="17" t="b">
        <v>1</v>
      </c>
      <c r="BT70" s="17" t="b">
        <v>1</v>
      </c>
      <c r="BU70" s="17" t="b">
        <v>1</v>
      </c>
      <c r="BV70" s="17">
        <v>0</v>
      </c>
      <c r="BW70" s="21">
        <v>44513</v>
      </c>
      <c r="BX70" s="17" t="s">
        <v>414</v>
      </c>
      <c r="BY70" s="17" t="s">
        <v>414</v>
      </c>
      <c r="BZ70" s="17">
        <v>0</v>
      </c>
      <c r="CA70" s="21">
        <v>45951</v>
      </c>
      <c r="CB70" s="17" t="s">
        <v>438</v>
      </c>
      <c r="CC70" s="17" t="s">
        <v>2060</v>
      </c>
      <c r="CD70" s="21"/>
      <c r="CE70" s="17"/>
      <c r="CF70" s="17" t="s">
        <v>925</v>
      </c>
      <c r="CG70" s="17" t="b">
        <v>0</v>
      </c>
      <c r="CH70" s="17" t="s">
        <v>425</v>
      </c>
      <c r="CI70" s="17">
        <v>537</v>
      </c>
      <c r="CJ70" s="21">
        <v>45843</v>
      </c>
      <c r="CK70" s="21">
        <v>45903</v>
      </c>
      <c r="CL70" s="17" t="s">
        <v>414</v>
      </c>
      <c r="CM70" s="21">
        <v>1</v>
      </c>
      <c r="CN70" s="21">
        <v>1</v>
      </c>
      <c r="CO70" s="21">
        <v>1</v>
      </c>
      <c r="CP70" s="17" t="b">
        <v>0</v>
      </c>
      <c r="CQ70" s="17" t="b">
        <v>1</v>
      </c>
      <c r="CR70" s="17" t="b">
        <v>0</v>
      </c>
      <c r="CS70">
        <v>7000</v>
      </c>
      <c r="CT70" t="s">
        <v>1912</v>
      </c>
      <c r="CU70">
        <v>5384.62</v>
      </c>
      <c r="CV70">
        <v>1615.38</v>
      </c>
      <c r="CW70" s="22"/>
    </row>
    <row r="71" spans="1:101" x14ac:dyDescent="0.25">
      <c r="A71" s="20">
        <v>389</v>
      </c>
      <c r="B71" s="17" t="s">
        <v>420</v>
      </c>
      <c r="C71" s="17" t="s">
        <v>427</v>
      </c>
      <c r="D71" s="17" t="s">
        <v>115</v>
      </c>
      <c r="E71" s="17" t="s">
        <v>928</v>
      </c>
      <c r="F71" s="17" t="s">
        <v>929</v>
      </c>
      <c r="G71" s="17" t="s">
        <v>414</v>
      </c>
      <c r="H71" s="17" t="s">
        <v>930</v>
      </c>
      <c r="I71" s="17" t="s">
        <v>414</v>
      </c>
      <c r="J71" s="17" t="s">
        <v>16</v>
      </c>
      <c r="K71" s="17" t="b">
        <v>0</v>
      </c>
      <c r="L71" s="17" t="s">
        <v>931</v>
      </c>
      <c r="M71" s="21">
        <v>32887</v>
      </c>
      <c r="N71" s="17" t="s">
        <v>932</v>
      </c>
      <c r="O71" s="17" t="s">
        <v>17</v>
      </c>
      <c r="P71" s="17" t="s">
        <v>18</v>
      </c>
      <c r="Q71" s="17">
        <v>4</v>
      </c>
      <c r="R71" s="17" t="s">
        <v>54</v>
      </c>
      <c r="S71" s="17">
        <v>4</v>
      </c>
      <c r="T71" s="17" t="s">
        <v>577</v>
      </c>
      <c r="U71" s="21">
        <v>45878</v>
      </c>
      <c r="V71" s="17" t="s">
        <v>116</v>
      </c>
      <c r="W71" s="21">
        <v>1.2708333333333335</v>
      </c>
      <c r="X71" s="17" t="s">
        <v>116</v>
      </c>
      <c r="Y71" s="17" t="s">
        <v>21</v>
      </c>
      <c r="Z71" s="17">
        <v>203100</v>
      </c>
      <c r="AA71" s="17" t="s">
        <v>55</v>
      </c>
      <c r="AB71" s="17" t="s">
        <v>418</v>
      </c>
      <c r="AC71" s="17">
        <v>207</v>
      </c>
      <c r="AD71" s="21">
        <v>45091</v>
      </c>
      <c r="AE71" s="21">
        <v>45091</v>
      </c>
      <c r="AF71" s="17"/>
      <c r="AG71" s="21">
        <v>45457</v>
      </c>
      <c r="AH71" s="17">
        <v>35421961</v>
      </c>
      <c r="AI71" s="21">
        <v>44602</v>
      </c>
      <c r="AJ71" s="17">
        <v>2707</v>
      </c>
      <c r="AK71" s="17">
        <v>0.29749999999999999</v>
      </c>
      <c r="AL71" s="17">
        <v>805.33</v>
      </c>
      <c r="AM71" s="17" t="b">
        <v>1</v>
      </c>
      <c r="AN71" s="17" t="b">
        <v>0</v>
      </c>
      <c r="AO71" s="21">
        <v>44698</v>
      </c>
      <c r="AP71" s="21">
        <v>44706</v>
      </c>
      <c r="AQ71" s="17" t="b">
        <v>1</v>
      </c>
      <c r="AR71" s="21">
        <v>45477</v>
      </c>
      <c r="AS71" s="21">
        <v>45477</v>
      </c>
      <c r="AT71" s="21">
        <v>44510</v>
      </c>
      <c r="AU71" s="17" t="b">
        <v>0</v>
      </c>
      <c r="AV71" s="21">
        <v>45970</v>
      </c>
      <c r="AW71" s="17" t="s">
        <v>41</v>
      </c>
      <c r="AX71" s="17" t="s">
        <v>23</v>
      </c>
      <c r="AY71" s="17" t="s">
        <v>414</v>
      </c>
      <c r="AZ71" s="17" t="s">
        <v>414</v>
      </c>
      <c r="BA71" s="21">
        <v>45477</v>
      </c>
      <c r="BB71" s="17">
        <v>15837</v>
      </c>
      <c r="BC71" s="17"/>
      <c r="BD71" s="17" t="b">
        <v>0</v>
      </c>
      <c r="BE71" s="17" t="s">
        <v>1920</v>
      </c>
      <c r="BF71" s="21">
        <v>45477</v>
      </c>
      <c r="BG71" s="21">
        <v>45842</v>
      </c>
      <c r="BH71" s="17"/>
      <c r="BI71" s="21">
        <v>47861</v>
      </c>
      <c r="BJ71" s="17">
        <v>0</v>
      </c>
      <c r="BK71" s="17" t="s">
        <v>436</v>
      </c>
      <c r="BL71" s="17" t="s">
        <v>459</v>
      </c>
      <c r="BM71" s="17" t="b">
        <v>1</v>
      </c>
      <c r="BN71" s="17" t="b">
        <v>1</v>
      </c>
      <c r="BO71" s="17" t="b">
        <v>1</v>
      </c>
      <c r="BP71" s="17" t="b">
        <v>1</v>
      </c>
      <c r="BQ71" s="17" t="b">
        <v>1</v>
      </c>
      <c r="BR71" s="17" t="b">
        <v>1</v>
      </c>
      <c r="BS71" s="17" t="b">
        <v>1</v>
      </c>
      <c r="BT71" s="17" t="b">
        <v>1</v>
      </c>
      <c r="BU71" s="17" t="b">
        <v>1</v>
      </c>
      <c r="BV71" s="17">
        <v>0</v>
      </c>
      <c r="BW71" s="21">
        <v>45909</v>
      </c>
      <c r="BX71" s="17" t="s">
        <v>414</v>
      </c>
      <c r="BY71" s="17" t="s">
        <v>414</v>
      </c>
      <c r="BZ71" s="17">
        <v>0</v>
      </c>
      <c r="CA71" s="21">
        <v>45951</v>
      </c>
      <c r="CB71" s="17" t="s">
        <v>438</v>
      </c>
      <c r="CC71" s="17" t="s">
        <v>2061</v>
      </c>
      <c r="CD71" s="21">
        <v>45683</v>
      </c>
      <c r="CE71" s="17" t="s">
        <v>415</v>
      </c>
      <c r="CF71" s="17" t="s">
        <v>933</v>
      </c>
      <c r="CG71" s="17" t="b">
        <v>1</v>
      </c>
      <c r="CH71" s="17" t="s">
        <v>425</v>
      </c>
      <c r="CI71" s="17">
        <v>0</v>
      </c>
      <c r="CJ71" s="21">
        <v>1</v>
      </c>
      <c r="CK71" s="21">
        <v>45903</v>
      </c>
      <c r="CL71" s="17" t="s">
        <v>414</v>
      </c>
      <c r="CM71" s="21">
        <v>1</v>
      </c>
      <c r="CN71" s="21">
        <v>1</v>
      </c>
      <c r="CO71" s="21">
        <v>1</v>
      </c>
      <c r="CP71" s="17" t="b">
        <v>0</v>
      </c>
      <c r="CQ71" s="17" t="b">
        <v>0</v>
      </c>
      <c r="CR71" s="17" t="b">
        <v>0</v>
      </c>
      <c r="CS71">
        <v>7300</v>
      </c>
      <c r="CT71" t="s">
        <v>1911</v>
      </c>
      <c r="CU71">
        <v>5615.38</v>
      </c>
      <c r="CV71">
        <v>1684.62</v>
      </c>
      <c r="CW71" s="22"/>
    </row>
    <row r="72" spans="1:101" x14ac:dyDescent="0.25">
      <c r="A72" s="20">
        <v>392</v>
      </c>
      <c r="B72" s="17" t="s">
        <v>571</v>
      </c>
      <c r="C72" s="17" t="s">
        <v>420</v>
      </c>
      <c r="D72" s="17" t="s">
        <v>117</v>
      </c>
      <c r="E72" s="17" t="s">
        <v>935</v>
      </c>
      <c r="F72" s="17" t="s">
        <v>413</v>
      </c>
      <c r="G72" s="17" t="s">
        <v>414</v>
      </c>
      <c r="H72" s="17" t="s">
        <v>936</v>
      </c>
      <c r="I72" s="17" t="s">
        <v>414</v>
      </c>
      <c r="J72" s="17" t="s">
        <v>16</v>
      </c>
      <c r="K72" s="17" t="b">
        <v>1</v>
      </c>
      <c r="L72" s="17" t="s">
        <v>937</v>
      </c>
      <c r="M72" s="21">
        <v>37240</v>
      </c>
      <c r="N72" s="17" t="s">
        <v>938</v>
      </c>
      <c r="O72" s="17" t="s">
        <v>17</v>
      </c>
      <c r="P72" s="17" t="s">
        <v>18</v>
      </c>
      <c r="Q72" s="17">
        <v>1</v>
      </c>
      <c r="R72" s="17" t="s">
        <v>19</v>
      </c>
      <c r="S72" s="17">
        <v>1</v>
      </c>
      <c r="T72" s="17" t="s">
        <v>422</v>
      </c>
      <c r="U72" s="21">
        <v>44699</v>
      </c>
      <c r="V72" s="17" t="s">
        <v>31</v>
      </c>
      <c r="W72" s="21">
        <v>1</v>
      </c>
      <c r="X72" s="17" t="s">
        <v>887</v>
      </c>
      <c r="Y72" s="17" t="s">
        <v>45</v>
      </c>
      <c r="Z72" s="17">
        <v>949700</v>
      </c>
      <c r="AA72" s="17" t="s">
        <v>51</v>
      </c>
      <c r="AB72" s="17" t="s">
        <v>418</v>
      </c>
      <c r="AC72" s="17">
        <v>222</v>
      </c>
      <c r="AD72" s="21">
        <v>45189</v>
      </c>
      <c r="AE72" s="21">
        <v>45189</v>
      </c>
      <c r="AF72" s="17"/>
      <c r="AG72" s="21">
        <v>45555</v>
      </c>
      <c r="AH72" s="17">
        <v>68204577</v>
      </c>
      <c r="AI72" s="21">
        <v>44699</v>
      </c>
      <c r="AJ72" s="17">
        <v>4121</v>
      </c>
      <c r="AK72" s="17">
        <v>0.29749999999999999</v>
      </c>
      <c r="AL72" s="17">
        <v>1226</v>
      </c>
      <c r="AM72" s="17" t="b">
        <v>1</v>
      </c>
      <c r="AN72" s="17" t="b">
        <v>1</v>
      </c>
      <c r="AO72" s="21">
        <v>44818</v>
      </c>
      <c r="AP72" s="21">
        <v>44825</v>
      </c>
      <c r="AQ72" s="17" t="b">
        <v>0</v>
      </c>
      <c r="AR72" s="21">
        <v>45398</v>
      </c>
      <c r="AS72" s="21">
        <v>45398</v>
      </c>
      <c r="AT72" s="21">
        <v>44610</v>
      </c>
      <c r="AU72" s="17" t="b">
        <v>0</v>
      </c>
      <c r="AV72" s="21">
        <v>44791</v>
      </c>
      <c r="AW72" s="17" t="s">
        <v>414</v>
      </c>
      <c r="AX72" s="17" t="s">
        <v>414</v>
      </c>
      <c r="AY72" s="17" t="s">
        <v>414</v>
      </c>
      <c r="AZ72" s="17" t="s">
        <v>520</v>
      </c>
      <c r="BA72" s="21">
        <v>45398</v>
      </c>
      <c r="BB72" s="17">
        <v>27954</v>
      </c>
      <c r="BC72" s="17"/>
      <c r="BD72" s="17" t="b">
        <v>0</v>
      </c>
      <c r="BE72" s="17" t="s">
        <v>2062</v>
      </c>
      <c r="BF72" s="21">
        <v>45398</v>
      </c>
      <c r="BG72" s="21">
        <v>45763</v>
      </c>
      <c r="BH72" s="17"/>
      <c r="BI72" s="21">
        <v>45398</v>
      </c>
      <c r="BJ72" s="17">
        <v>0</v>
      </c>
      <c r="BK72" s="17" t="s">
        <v>418</v>
      </c>
      <c r="BL72" s="17" t="s">
        <v>459</v>
      </c>
      <c r="BM72" s="17" t="b">
        <v>1</v>
      </c>
      <c r="BN72" s="17" t="b">
        <v>1</v>
      </c>
      <c r="BO72" s="17" t="b">
        <v>1</v>
      </c>
      <c r="BP72" s="17" t="b">
        <v>1</v>
      </c>
      <c r="BQ72" s="17" t="b">
        <v>1</v>
      </c>
      <c r="BR72" s="17" t="b">
        <v>1</v>
      </c>
      <c r="BS72" s="17" t="b">
        <v>1</v>
      </c>
      <c r="BT72" s="17" t="b">
        <v>1</v>
      </c>
      <c r="BU72" s="17" t="b">
        <v>1</v>
      </c>
      <c r="BV72" s="17">
        <v>0</v>
      </c>
      <c r="BW72" s="21">
        <v>44730</v>
      </c>
      <c r="BX72" s="17" t="s">
        <v>414</v>
      </c>
      <c r="BY72" s="17" t="s">
        <v>414</v>
      </c>
      <c r="BZ72" s="17">
        <v>0</v>
      </c>
      <c r="CA72" s="21">
        <v>45951</v>
      </c>
      <c r="CB72" s="17" t="s">
        <v>419</v>
      </c>
      <c r="CC72" s="17" t="s">
        <v>2063</v>
      </c>
      <c r="CD72" s="21"/>
      <c r="CE72" s="17"/>
      <c r="CF72" s="17" t="s">
        <v>414</v>
      </c>
      <c r="CG72" s="17" t="b">
        <v>0</v>
      </c>
      <c r="CH72" s="17" t="s">
        <v>414</v>
      </c>
      <c r="CI72" s="17">
        <v>0</v>
      </c>
      <c r="CJ72" s="21">
        <v>1</v>
      </c>
      <c r="CK72" s="21">
        <v>1</v>
      </c>
      <c r="CL72" s="17" t="s">
        <v>414</v>
      </c>
      <c r="CM72" s="21">
        <v>1</v>
      </c>
      <c r="CN72" s="21">
        <v>1</v>
      </c>
      <c r="CO72" s="21">
        <v>1</v>
      </c>
      <c r="CP72" s="17" t="b">
        <v>0</v>
      </c>
      <c r="CQ72" s="17" t="b">
        <v>0</v>
      </c>
      <c r="CR72" s="17" t="b">
        <v>0</v>
      </c>
      <c r="CS72">
        <v>7000</v>
      </c>
      <c r="CT72" t="s">
        <v>1912</v>
      </c>
      <c r="CU72">
        <v>5384.62</v>
      </c>
      <c r="CV72">
        <v>1615.38</v>
      </c>
      <c r="CW72" s="22"/>
    </row>
    <row r="73" spans="1:101" x14ac:dyDescent="0.25">
      <c r="A73" s="20">
        <v>393</v>
      </c>
      <c r="B73" s="17" t="s">
        <v>619</v>
      </c>
      <c r="C73" s="17" t="s">
        <v>939</v>
      </c>
      <c r="D73" s="17" t="s">
        <v>118</v>
      </c>
      <c r="E73" s="17" t="s">
        <v>940</v>
      </c>
      <c r="F73" s="17" t="s">
        <v>941</v>
      </c>
      <c r="G73" s="17" t="s">
        <v>414</v>
      </c>
      <c r="H73" s="17" t="s">
        <v>942</v>
      </c>
      <c r="I73" s="17" t="s">
        <v>414</v>
      </c>
      <c r="J73" s="17" t="s">
        <v>16</v>
      </c>
      <c r="K73" s="17" t="b">
        <v>1</v>
      </c>
      <c r="L73" s="17" t="s">
        <v>943</v>
      </c>
      <c r="M73" s="21">
        <v>30313</v>
      </c>
      <c r="N73" s="17" t="s">
        <v>901</v>
      </c>
      <c r="O73" s="17" t="s">
        <v>17</v>
      </c>
      <c r="P73" s="17" t="s">
        <v>18</v>
      </c>
      <c r="Q73" s="17">
        <v>1</v>
      </c>
      <c r="R73" s="17" t="s">
        <v>19</v>
      </c>
      <c r="S73" s="17">
        <v>1</v>
      </c>
      <c r="T73" s="17" t="s">
        <v>422</v>
      </c>
      <c r="U73" s="21">
        <v>44774</v>
      </c>
      <c r="V73" s="17" t="s">
        <v>58</v>
      </c>
      <c r="W73" s="21">
        <v>1</v>
      </c>
      <c r="X73" s="17" t="s">
        <v>924</v>
      </c>
      <c r="Y73" s="17" t="s">
        <v>21</v>
      </c>
      <c r="Z73" s="17">
        <v>949700</v>
      </c>
      <c r="AA73" s="17" t="s">
        <v>51</v>
      </c>
      <c r="AB73" s="17" t="s">
        <v>418</v>
      </c>
      <c r="AC73" s="17">
        <v>241</v>
      </c>
      <c r="AD73" s="21">
        <v>45245</v>
      </c>
      <c r="AE73" s="21">
        <v>45245</v>
      </c>
      <c r="AF73" s="17"/>
      <c r="AG73" s="21">
        <v>45611</v>
      </c>
      <c r="AH73" s="17">
        <v>55288035</v>
      </c>
      <c r="AI73" s="21">
        <v>44774</v>
      </c>
      <c r="AJ73" s="17">
        <v>4121</v>
      </c>
      <c r="AK73" s="17">
        <v>0.29749999999999999</v>
      </c>
      <c r="AL73" s="17">
        <v>1226</v>
      </c>
      <c r="AM73" s="17" t="b">
        <v>1</v>
      </c>
      <c r="AN73" s="17" t="b">
        <v>1</v>
      </c>
      <c r="AO73" s="21">
        <v>44787</v>
      </c>
      <c r="AP73" s="21">
        <v>44789</v>
      </c>
      <c r="AQ73" s="17" t="b">
        <v>0</v>
      </c>
      <c r="AR73" s="21">
        <v>45617</v>
      </c>
      <c r="AS73" s="21">
        <v>45617</v>
      </c>
      <c r="AT73" s="21">
        <v>44682</v>
      </c>
      <c r="AU73" s="17" t="b">
        <v>0</v>
      </c>
      <c r="AV73" s="21">
        <v>44866</v>
      </c>
      <c r="AW73" s="17" t="s">
        <v>101</v>
      </c>
      <c r="AX73" s="17" t="s">
        <v>101</v>
      </c>
      <c r="AY73" s="17" t="s">
        <v>414</v>
      </c>
      <c r="AZ73" s="17" t="s">
        <v>450</v>
      </c>
      <c r="BA73" s="21">
        <v>45617</v>
      </c>
      <c r="BB73" s="17">
        <v>24536</v>
      </c>
      <c r="BC73" s="17"/>
      <c r="BD73" s="17" t="b">
        <v>0</v>
      </c>
      <c r="BE73" s="17" t="s">
        <v>2064</v>
      </c>
      <c r="BF73" s="21">
        <v>45617</v>
      </c>
      <c r="BG73" s="21">
        <v>45982</v>
      </c>
      <c r="BH73" s="17"/>
      <c r="BI73" s="21">
        <v>46572</v>
      </c>
      <c r="BJ73" s="17">
        <v>0</v>
      </c>
      <c r="BK73" s="17" t="s">
        <v>418</v>
      </c>
      <c r="BL73" s="17" t="s">
        <v>424</v>
      </c>
      <c r="BM73" s="17" t="b">
        <v>1</v>
      </c>
      <c r="BN73" s="17" t="b">
        <v>1</v>
      </c>
      <c r="BO73" s="17" t="b">
        <v>1</v>
      </c>
      <c r="BP73" s="17" t="b">
        <v>1</v>
      </c>
      <c r="BQ73" s="17" t="b">
        <v>1</v>
      </c>
      <c r="BR73" s="17" t="b">
        <v>1</v>
      </c>
      <c r="BS73" s="17" t="b">
        <v>1</v>
      </c>
      <c r="BT73" s="17" t="b">
        <v>1</v>
      </c>
      <c r="BU73" s="17" t="b">
        <v>1</v>
      </c>
      <c r="BV73" s="17">
        <v>0</v>
      </c>
      <c r="BW73" s="21">
        <v>44805</v>
      </c>
      <c r="BX73" s="17" t="s">
        <v>414</v>
      </c>
      <c r="BY73" s="17" t="s">
        <v>414</v>
      </c>
      <c r="BZ73" s="17">
        <v>0</v>
      </c>
      <c r="CA73" s="21">
        <v>45951</v>
      </c>
      <c r="CB73" s="17" t="s">
        <v>419</v>
      </c>
      <c r="CC73" s="17" t="s">
        <v>2065</v>
      </c>
      <c r="CD73" s="21"/>
      <c r="CE73" s="17"/>
      <c r="CF73" s="17" t="s">
        <v>944</v>
      </c>
      <c r="CG73" s="17" t="b">
        <v>0</v>
      </c>
      <c r="CH73" s="17" t="s">
        <v>425</v>
      </c>
      <c r="CI73" s="17">
        <v>0</v>
      </c>
      <c r="CJ73" s="21">
        <v>45850</v>
      </c>
      <c r="CK73" s="21">
        <v>45903</v>
      </c>
      <c r="CL73" s="17" t="s">
        <v>414</v>
      </c>
      <c r="CM73" s="21">
        <v>1</v>
      </c>
      <c r="CN73" s="21">
        <v>1</v>
      </c>
      <c r="CO73" s="21">
        <v>1</v>
      </c>
      <c r="CP73" s="17" t="b">
        <v>0</v>
      </c>
      <c r="CQ73" s="17" t="b">
        <v>1</v>
      </c>
      <c r="CR73" s="17" t="b">
        <v>0</v>
      </c>
      <c r="CS73">
        <v>7000</v>
      </c>
      <c r="CT73" t="s">
        <v>1912</v>
      </c>
      <c r="CU73">
        <v>5384.62</v>
      </c>
      <c r="CV73">
        <v>1615.38</v>
      </c>
      <c r="CW73" s="22"/>
    </row>
    <row r="74" spans="1:101" x14ac:dyDescent="0.25">
      <c r="A74" s="20">
        <v>394</v>
      </c>
      <c r="B74" s="17" t="s">
        <v>426</v>
      </c>
      <c r="C74" s="17" t="s">
        <v>792</v>
      </c>
      <c r="D74" s="17" t="s">
        <v>119</v>
      </c>
      <c r="E74" s="17" t="s">
        <v>945</v>
      </c>
      <c r="F74" s="17" t="s">
        <v>946</v>
      </c>
      <c r="G74" s="17" t="s">
        <v>414</v>
      </c>
      <c r="H74" s="17" t="s">
        <v>934</v>
      </c>
      <c r="I74" s="17" t="s">
        <v>414</v>
      </c>
      <c r="J74" s="17" t="s">
        <v>16</v>
      </c>
      <c r="K74" s="17" t="b">
        <v>1</v>
      </c>
      <c r="L74" s="17" t="s">
        <v>947</v>
      </c>
      <c r="M74" s="21">
        <v>36069</v>
      </c>
      <c r="N74" s="17" t="s">
        <v>948</v>
      </c>
      <c r="O74" s="17" t="s">
        <v>17</v>
      </c>
      <c r="P74" s="17" t="s">
        <v>18</v>
      </c>
      <c r="Q74" s="17">
        <v>1</v>
      </c>
      <c r="R74" s="17" t="s">
        <v>19</v>
      </c>
      <c r="S74" s="17">
        <v>1</v>
      </c>
      <c r="T74" s="17" t="s">
        <v>422</v>
      </c>
      <c r="U74" s="21">
        <v>44779</v>
      </c>
      <c r="V74" s="17" t="s">
        <v>114</v>
      </c>
      <c r="W74" s="21">
        <v>1</v>
      </c>
      <c r="X74" s="17" t="s">
        <v>916</v>
      </c>
      <c r="Y74" s="17" t="s">
        <v>21</v>
      </c>
      <c r="Z74" s="17">
        <v>949700</v>
      </c>
      <c r="AA74" s="17" t="s">
        <v>51</v>
      </c>
      <c r="AB74" s="17" t="s">
        <v>443</v>
      </c>
      <c r="AC74" s="17">
        <v>0</v>
      </c>
      <c r="AD74" s="21">
        <v>45398</v>
      </c>
      <c r="AE74" s="21">
        <v>2</v>
      </c>
      <c r="AF74" s="17"/>
      <c r="AG74" s="21">
        <v>368</v>
      </c>
      <c r="AH74" s="17">
        <v>59227684</v>
      </c>
      <c r="AI74" s="21">
        <v>44779</v>
      </c>
      <c r="AJ74" s="17">
        <v>4121</v>
      </c>
      <c r="AK74" s="17">
        <v>0.29749999999999999</v>
      </c>
      <c r="AL74" s="17">
        <v>1226</v>
      </c>
      <c r="AM74" s="17" t="b">
        <v>1</v>
      </c>
      <c r="AN74" s="17" t="b">
        <v>1</v>
      </c>
      <c r="AO74" s="21">
        <v>44787</v>
      </c>
      <c r="AP74" s="21">
        <v>44789</v>
      </c>
      <c r="AQ74" s="17" t="b">
        <v>0</v>
      </c>
      <c r="AR74" s="21">
        <v>45398</v>
      </c>
      <c r="AS74" s="21">
        <v>45398</v>
      </c>
      <c r="AT74" s="21">
        <v>44687</v>
      </c>
      <c r="AU74" s="17" t="b">
        <v>0</v>
      </c>
      <c r="AV74" s="21">
        <v>44871</v>
      </c>
      <c r="AW74" s="17" t="s">
        <v>101</v>
      </c>
      <c r="AX74" s="17" t="s">
        <v>101</v>
      </c>
      <c r="AY74" s="17" t="s">
        <v>414</v>
      </c>
      <c r="AZ74" s="17" t="s">
        <v>450</v>
      </c>
      <c r="BA74" s="21">
        <v>45398</v>
      </c>
      <c r="BB74" s="17">
        <v>24537</v>
      </c>
      <c r="BC74" s="17"/>
      <c r="BD74" s="17" t="b">
        <v>0</v>
      </c>
      <c r="BE74" s="17" t="s">
        <v>2066</v>
      </c>
      <c r="BF74" s="21">
        <v>45398</v>
      </c>
      <c r="BG74" s="21">
        <v>45763</v>
      </c>
      <c r="BH74" s="17"/>
      <c r="BI74" s="21">
        <v>44985</v>
      </c>
      <c r="BJ74" s="17">
        <v>0</v>
      </c>
      <c r="BK74" s="17" t="s">
        <v>418</v>
      </c>
      <c r="BL74" s="17" t="s">
        <v>461</v>
      </c>
      <c r="BM74" s="17" t="b">
        <v>1</v>
      </c>
      <c r="BN74" s="17" t="b">
        <v>1</v>
      </c>
      <c r="BO74" s="17" t="b">
        <v>1</v>
      </c>
      <c r="BP74" s="17" t="b">
        <v>1</v>
      </c>
      <c r="BQ74" s="17" t="b">
        <v>1</v>
      </c>
      <c r="BR74" s="17" t="b">
        <v>1</v>
      </c>
      <c r="BS74" s="17" t="b">
        <v>1</v>
      </c>
      <c r="BT74" s="17" t="b">
        <v>1</v>
      </c>
      <c r="BU74" s="17" t="b">
        <v>1</v>
      </c>
      <c r="BV74" s="17">
        <v>0</v>
      </c>
      <c r="BW74" s="21">
        <v>44810</v>
      </c>
      <c r="BX74" s="17" t="s">
        <v>414</v>
      </c>
      <c r="BY74" s="17" t="s">
        <v>414</v>
      </c>
      <c r="BZ74" s="17">
        <v>0</v>
      </c>
      <c r="CA74" s="21">
        <v>45951</v>
      </c>
      <c r="CB74" s="17" t="s">
        <v>419</v>
      </c>
      <c r="CC74" s="17" t="s">
        <v>1925</v>
      </c>
      <c r="CD74" s="21"/>
      <c r="CE74" s="17"/>
      <c r="CF74" s="17" t="s">
        <v>949</v>
      </c>
      <c r="CG74" s="17" t="b">
        <v>0</v>
      </c>
      <c r="CH74" s="17" t="s">
        <v>425</v>
      </c>
      <c r="CI74" s="17">
        <v>0</v>
      </c>
      <c r="CJ74" s="21">
        <v>45850</v>
      </c>
      <c r="CK74" s="21">
        <v>1</v>
      </c>
      <c r="CL74" s="17" t="s">
        <v>414</v>
      </c>
      <c r="CM74" s="21">
        <v>1</v>
      </c>
      <c r="CN74" s="21">
        <v>1</v>
      </c>
      <c r="CO74" s="21">
        <v>1</v>
      </c>
      <c r="CP74" s="17" t="b">
        <v>0</v>
      </c>
      <c r="CQ74" s="17" t="b">
        <v>1</v>
      </c>
      <c r="CR74" s="17" t="b">
        <v>0</v>
      </c>
      <c r="CS74">
        <v>7000</v>
      </c>
      <c r="CT74" t="s">
        <v>1912</v>
      </c>
      <c r="CU74">
        <v>5384.62</v>
      </c>
      <c r="CV74">
        <v>1615.38</v>
      </c>
      <c r="CW74" s="22"/>
    </row>
    <row r="75" spans="1:101" x14ac:dyDescent="0.25">
      <c r="A75" s="20">
        <v>410</v>
      </c>
      <c r="B75" s="17" t="s">
        <v>515</v>
      </c>
      <c r="C75" s="17" t="s">
        <v>570</v>
      </c>
      <c r="D75" s="17" t="s">
        <v>120</v>
      </c>
      <c r="E75" s="17" t="s">
        <v>951</v>
      </c>
      <c r="F75" s="17" t="s">
        <v>952</v>
      </c>
      <c r="G75" s="17" t="s">
        <v>414</v>
      </c>
      <c r="H75" s="17" t="s">
        <v>875</v>
      </c>
      <c r="I75" s="17" t="s">
        <v>414</v>
      </c>
      <c r="J75" s="17" t="s">
        <v>16</v>
      </c>
      <c r="K75" s="17" t="b">
        <v>0</v>
      </c>
      <c r="L75" s="17" t="s">
        <v>953</v>
      </c>
      <c r="M75" s="21">
        <v>33111</v>
      </c>
      <c r="N75" s="17" t="s">
        <v>954</v>
      </c>
      <c r="O75" s="17" t="s">
        <v>17</v>
      </c>
      <c r="P75" s="17" t="s">
        <v>18</v>
      </c>
      <c r="Q75" s="17">
        <v>1</v>
      </c>
      <c r="R75" s="17" t="s">
        <v>19</v>
      </c>
      <c r="S75" s="17">
        <v>1</v>
      </c>
      <c r="T75" s="17" t="s">
        <v>422</v>
      </c>
      <c r="U75" s="21">
        <v>44999</v>
      </c>
      <c r="V75" s="17" t="s">
        <v>58</v>
      </c>
      <c r="W75" s="21">
        <v>1.0763888888888888</v>
      </c>
      <c r="X75" s="17" t="s">
        <v>58</v>
      </c>
      <c r="Y75" s="17" t="s">
        <v>21</v>
      </c>
      <c r="Z75" s="17">
        <v>949700</v>
      </c>
      <c r="AA75" s="17" t="s">
        <v>51</v>
      </c>
      <c r="AB75" s="17" t="s">
        <v>418</v>
      </c>
      <c r="AC75" s="17">
        <v>228</v>
      </c>
      <c r="AD75" s="21">
        <v>45189</v>
      </c>
      <c r="AE75" s="21">
        <v>45189</v>
      </c>
      <c r="AF75" s="17"/>
      <c r="AG75" s="21">
        <v>45555</v>
      </c>
      <c r="AH75" s="17">
        <v>61949870</v>
      </c>
      <c r="AI75" s="21">
        <v>44999</v>
      </c>
      <c r="AJ75" s="17">
        <v>4100</v>
      </c>
      <c r="AK75" s="17">
        <v>0.29749999999999999</v>
      </c>
      <c r="AL75" s="17">
        <v>1219.75</v>
      </c>
      <c r="AM75" s="17" t="b">
        <v>1</v>
      </c>
      <c r="AN75" s="17" t="b">
        <v>1</v>
      </c>
      <c r="AO75" s="21">
        <v>45019</v>
      </c>
      <c r="AP75" s="21">
        <v>45034</v>
      </c>
      <c r="AQ75" s="17" t="b">
        <v>0</v>
      </c>
      <c r="AR75" s="21">
        <v>45449</v>
      </c>
      <c r="AS75" s="21">
        <v>45449</v>
      </c>
      <c r="AT75" s="21">
        <v>44909</v>
      </c>
      <c r="AU75" s="17" t="b">
        <v>0</v>
      </c>
      <c r="AV75" s="21">
        <v>45091</v>
      </c>
      <c r="AW75" s="17" t="s">
        <v>41</v>
      </c>
      <c r="AX75" s="17" t="s">
        <v>23</v>
      </c>
      <c r="AY75" s="17" t="s">
        <v>23</v>
      </c>
      <c r="AZ75" s="17" t="s">
        <v>414</v>
      </c>
      <c r="BA75" s="21">
        <v>45449</v>
      </c>
      <c r="BB75" s="17">
        <v>11509</v>
      </c>
      <c r="BC75" s="17"/>
      <c r="BD75" s="17" t="b">
        <v>0</v>
      </c>
      <c r="BE75" s="17" t="s">
        <v>2067</v>
      </c>
      <c r="BF75" s="21">
        <v>45449</v>
      </c>
      <c r="BG75" s="21">
        <v>45814</v>
      </c>
      <c r="BH75" s="17"/>
      <c r="BI75" s="21">
        <v>47552</v>
      </c>
      <c r="BJ75" s="17">
        <v>0</v>
      </c>
      <c r="BK75" s="17" t="s">
        <v>423</v>
      </c>
      <c r="BL75" s="17" t="s">
        <v>459</v>
      </c>
      <c r="BM75" s="17" t="b">
        <v>1</v>
      </c>
      <c r="BN75" s="17" t="b">
        <v>1</v>
      </c>
      <c r="BO75" s="17" t="b">
        <v>1</v>
      </c>
      <c r="BP75" s="17" t="b">
        <v>1</v>
      </c>
      <c r="BQ75" s="17" t="b">
        <v>1</v>
      </c>
      <c r="BR75" s="17" t="b">
        <v>1</v>
      </c>
      <c r="BS75" s="17" t="b">
        <v>1</v>
      </c>
      <c r="BT75" s="17" t="b">
        <v>1</v>
      </c>
      <c r="BU75" s="17" t="b">
        <v>1</v>
      </c>
      <c r="BV75" s="17">
        <v>0</v>
      </c>
      <c r="BW75" s="21">
        <v>45030</v>
      </c>
      <c r="BX75" s="17" t="s">
        <v>414</v>
      </c>
      <c r="BY75" s="17" t="s">
        <v>414</v>
      </c>
      <c r="BZ75" s="17">
        <v>0</v>
      </c>
      <c r="CA75" s="21">
        <v>45951</v>
      </c>
      <c r="CB75" s="17" t="s">
        <v>438</v>
      </c>
      <c r="CC75" s="17" t="s">
        <v>2068</v>
      </c>
      <c r="CD75" s="21"/>
      <c r="CE75" s="17"/>
      <c r="CF75" s="17" t="s">
        <v>659</v>
      </c>
      <c r="CG75" s="17" t="b">
        <v>0</v>
      </c>
      <c r="CH75" s="17" t="s">
        <v>425</v>
      </c>
      <c r="CI75" s="17">
        <v>0</v>
      </c>
      <c r="CJ75" s="21">
        <v>45845</v>
      </c>
      <c r="CK75" s="21">
        <v>45903</v>
      </c>
      <c r="CL75" s="17" t="s">
        <v>414</v>
      </c>
      <c r="CM75" s="21">
        <v>1</v>
      </c>
      <c r="CN75" s="21">
        <v>1</v>
      </c>
      <c r="CO75" s="21">
        <v>1</v>
      </c>
      <c r="CP75" s="17" t="b">
        <v>0</v>
      </c>
      <c r="CQ75" s="17" t="b">
        <v>1</v>
      </c>
      <c r="CR75" s="17" t="b">
        <v>0</v>
      </c>
      <c r="CS75">
        <v>7300</v>
      </c>
      <c r="CT75" t="s">
        <v>1911</v>
      </c>
      <c r="CU75">
        <v>5615.38</v>
      </c>
      <c r="CV75">
        <v>1684.62</v>
      </c>
      <c r="CW75" s="22"/>
    </row>
    <row r="76" spans="1:101" x14ac:dyDescent="0.25">
      <c r="A76" s="20">
        <v>411</v>
      </c>
      <c r="B76" s="17" t="s">
        <v>758</v>
      </c>
      <c r="C76" s="17" t="s">
        <v>620</v>
      </c>
      <c r="D76" s="17" t="s">
        <v>121</v>
      </c>
      <c r="E76" s="17" t="s">
        <v>955</v>
      </c>
      <c r="F76" s="17" t="s">
        <v>956</v>
      </c>
      <c r="G76" s="17" t="s">
        <v>414</v>
      </c>
      <c r="H76" s="17" t="s">
        <v>957</v>
      </c>
      <c r="I76" s="17" t="s">
        <v>414</v>
      </c>
      <c r="J76" s="17" t="s">
        <v>16</v>
      </c>
      <c r="K76" s="17" t="b">
        <v>0</v>
      </c>
      <c r="L76" s="17" t="s">
        <v>958</v>
      </c>
      <c r="M76" s="21">
        <v>33208</v>
      </c>
      <c r="N76" s="17" t="s">
        <v>861</v>
      </c>
      <c r="O76" s="17" t="s">
        <v>17</v>
      </c>
      <c r="P76" s="17" t="s">
        <v>18</v>
      </c>
      <c r="Q76" s="17">
        <v>1</v>
      </c>
      <c r="R76" s="17" t="s">
        <v>19</v>
      </c>
      <c r="S76" s="17">
        <v>1</v>
      </c>
      <c r="T76" s="17" t="s">
        <v>422</v>
      </c>
      <c r="U76" s="21">
        <v>44999</v>
      </c>
      <c r="V76" s="17" t="s">
        <v>20</v>
      </c>
      <c r="W76" s="21">
        <v>1.78125</v>
      </c>
      <c r="X76" s="17" t="s">
        <v>959</v>
      </c>
      <c r="Y76" s="17" t="s">
        <v>21</v>
      </c>
      <c r="Z76" s="17">
        <v>949700</v>
      </c>
      <c r="AA76" s="17" t="s">
        <v>51</v>
      </c>
      <c r="AB76" s="17" t="s">
        <v>418</v>
      </c>
      <c r="AC76" s="17">
        <v>229</v>
      </c>
      <c r="AD76" s="21">
        <v>45189</v>
      </c>
      <c r="AE76" s="21">
        <v>45189</v>
      </c>
      <c r="AF76" s="17"/>
      <c r="AG76" s="21">
        <v>45555</v>
      </c>
      <c r="AH76" s="17">
        <v>68616424</v>
      </c>
      <c r="AI76" s="21">
        <v>44999</v>
      </c>
      <c r="AJ76" s="17">
        <v>4100</v>
      </c>
      <c r="AK76" s="17">
        <v>0.29749999999999999</v>
      </c>
      <c r="AL76" s="17">
        <v>1219.75</v>
      </c>
      <c r="AM76" s="17" t="b">
        <v>1</v>
      </c>
      <c r="AN76" s="17" t="b">
        <v>1</v>
      </c>
      <c r="AO76" s="21">
        <v>45005</v>
      </c>
      <c r="AP76" s="21">
        <v>45012</v>
      </c>
      <c r="AQ76" s="17" t="b">
        <v>0</v>
      </c>
      <c r="AR76" s="21">
        <v>45490</v>
      </c>
      <c r="AS76" s="21">
        <v>45490</v>
      </c>
      <c r="AT76" s="21">
        <v>44909</v>
      </c>
      <c r="AU76" s="17" t="b">
        <v>0</v>
      </c>
      <c r="AV76" s="21">
        <v>45091</v>
      </c>
      <c r="AW76" s="17" t="s">
        <v>41</v>
      </c>
      <c r="AX76" s="17" t="s">
        <v>23</v>
      </c>
      <c r="AY76" s="17" t="s">
        <v>414</v>
      </c>
      <c r="AZ76" s="17" t="s">
        <v>414</v>
      </c>
      <c r="BA76" s="21">
        <v>45490</v>
      </c>
      <c r="BB76" s="17">
        <v>10458</v>
      </c>
      <c r="BC76" s="17"/>
      <c r="BD76" s="17" t="b">
        <v>0</v>
      </c>
      <c r="BE76" s="17" t="s">
        <v>2067</v>
      </c>
      <c r="BF76" s="21">
        <v>45490</v>
      </c>
      <c r="BG76" s="21">
        <v>45855</v>
      </c>
      <c r="BH76" s="17"/>
      <c r="BI76" s="21">
        <v>47907</v>
      </c>
      <c r="BJ76" s="17">
        <v>0</v>
      </c>
      <c r="BK76" s="17" t="s">
        <v>423</v>
      </c>
      <c r="BL76" s="17" t="s">
        <v>428</v>
      </c>
      <c r="BM76" s="17" t="b">
        <v>1</v>
      </c>
      <c r="BN76" s="17" t="b">
        <v>1</v>
      </c>
      <c r="BO76" s="17" t="b">
        <v>1</v>
      </c>
      <c r="BP76" s="17" t="b">
        <v>1</v>
      </c>
      <c r="BQ76" s="17" t="b">
        <v>1</v>
      </c>
      <c r="BR76" s="17" t="b">
        <v>1</v>
      </c>
      <c r="BS76" s="17" t="b">
        <v>1</v>
      </c>
      <c r="BT76" s="17" t="b">
        <v>1</v>
      </c>
      <c r="BU76" s="17" t="b">
        <v>1</v>
      </c>
      <c r="BV76" s="17">
        <v>0</v>
      </c>
      <c r="BW76" s="21">
        <v>45030</v>
      </c>
      <c r="BX76" s="17" t="s">
        <v>414</v>
      </c>
      <c r="BY76" s="17" t="s">
        <v>414</v>
      </c>
      <c r="BZ76" s="17">
        <v>0</v>
      </c>
      <c r="CA76" s="21">
        <v>45951</v>
      </c>
      <c r="CB76" s="17" t="s">
        <v>438</v>
      </c>
      <c r="CC76" s="17" t="s">
        <v>2069</v>
      </c>
      <c r="CD76" s="21"/>
      <c r="CE76" s="17"/>
      <c r="CF76" s="17" t="s">
        <v>960</v>
      </c>
      <c r="CG76" s="17" t="b">
        <v>0</v>
      </c>
      <c r="CH76" s="17" t="s">
        <v>850</v>
      </c>
      <c r="CI76" s="17">
        <v>0</v>
      </c>
      <c r="CJ76" s="21">
        <v>45843</v>
      </c>
      <c r="CK76" s="21">
        <v>1</v>
      </c>
      <c r="CL76" s="17" t="s">
        <v>414</v>
      </c>
      <c r="CM76" s="21">
        <v>1</v>
      </c>
      <c r="CN76" s="21">
        <v>1</v>
      </c>
      <c r="CO76" s="21">
        <v>1</v>
      </c>
      <c r="CP76" s="17" t="b">
        <v>0</v>
      </c>
      <c r="CQ76" s="17" t="b">
        <v>1</v>
      </c>
      <c r="CR76" s="17" t="b">
        <v>0</v>
      </c>
      <c r="CS76">
        <v>7100</v>
      </c>
      <c r="CT76" t="s">
        <v>1913</v>
      </c>
      <c r="CU76">
        <v>5461.54</v>
      </c>
      <c r="CV76">
        <v>1638.46</v>
      </c>
      <c r="CW76" s="22"/>
    </row>
    <row r="77" spans="1:101" x14ac:dyDescent="0.25">
      <c r="A77" s="20">
        <v>413</v>
      </c>
      <c r="B77" s="17" t="s">
        <v>420</v>
      </c>
      <c r="C77" s="17" t="s">
        <v>792</v>
      </c>
      <c r="D77" s="17" t="s">
        <v>122</v>
      </c>
      <c r="E77" s="17" t="s">
        <v>961</v>
      </c>
      <c r="F77" s="17" t="s">
        <v>962</v>
      </c>
      <c r="G77" s="17" t="s">
        <v>414</v>
      </c>
      <c r="H77" s="17" t="s">
        <v>963</v>
      </c>
      <c r="I77" s="17" t="s">
        <v>414</v>
      </c>
      <c r="J77" s="17" t="s">
        <v>16</v>
      </c>
      <c r="K77" s="17" t="b">
        <v>0</v>
      </c>
      <c r="L77" s="17" t="s">
        <v>964</v>
      </c>
      <c r="M77" s="21">
        <v>34851</v>
      </c>
      <c r="N77" s="17" t="s">
        <v>965</v>
      </c>
      <c r="O77" s="17" t="s">
        <v>17</v>
      </c>
      <c r="P77" s="17" t="s">
        <v>18</v>
      </c>
      <c r="Q77" s="17">
        <v>1</v>
      </c>
      <c r="R77" s="17" t="s">
        <v>19</v>
      </c>
      <c r="S77" s="17">
        <v>9</v>
      </c>
      <c r="T77" s="17" t="s">
        <v>434</v>
      </c>
      <c r="U77" s="21">
        <v>45003</v>
      </c>
      <c r="V77" s="17" t="s">
        <v>110</v>
      </c>
      <c r="W77" s="21">
        <v>1.2708333333333335</v>
      </c>
      <c r="X77" s="17" t="s">
        <v>966</v>
      </c>
      <c r="Y77" s="17" t="s">
        <v>21</v>
      </c>
      <c r="Z77" s="17">
        <v>949700</v>
      </c>
      <c r="AA77" s="17" t="s">
        <v>51</v>
      </c>
      <c r="AB77" s="17" t="s">
        <v>418</v>
      </c>
      <c r="AC77" s="17">
        <v>230</v>
      </c>
      <c r="AD77" s="21">
        <v>45189</v>
      </c>
      <c r="AE77" s="21">
        <v>45189</v>
      </c>
      <c r="AF77" s="17"/>
      <c r="AG77" s="21">
        <v>45555</v>
      </c>
      <c r="AH77" s="17">
        <v>74693753</v>
      </c>
      <c r="AI77" s="21">
        <v>45004</v>
      </c>
      <c r="AJ77" s="17">
        <v>4100</v>
      </c>
      <c r="AK77" s="17">
        <v>0.29749999999999999</v>
      </c>
      <c r="AL77" s="17">
        <v>1219.75</v>
      </c>
      <c r="AM77" s="17" t="b">
        <v>1</v>
      </c>
      <c r="AN77" s="17" t="b">
        <v>1</v>
      </c>
      <c r="AO77" s="21">
        <v>45034</v>
      </c>
      <c r="AP77" s="21">
        <v>45053</v>
      </c>
      <c r="AQ77" s="17" t="b">
        <v>0</v>
      </c>
      <c r="AR77" s="21">
        <v>45477</v>
      </c>
      <c r="AS77" s="21">
        <v>45477</v>
      </c>
      <c r="AT77" s="21">
        <v>44914</v>
      </c>
      <c r="AU77" s="17" t="b">
        <v>0</v>
      </c>
      <c r="AV77" s="21">
        <v>45095</v>
      </c>
      <c r="AW77" s="17" t="s">
        <v>23</v>
      </c>
      <c r="AX77" s="17" t="s">
        <v>41</v>
      </c>
      <c r="AY77" s="17" t="s">
        <v>414</v>
      </c>
      <c r="AZ77" s="17" t="s">
        <v>414</v>
      </c>
      <c r="BA77" s="21">
        <v>45477</v>
      </c>
      <c r="BB77" s="17">
        <v>13027</v>
      </c>
      <c r="BC77" s="17"/>
      <c r="BD77" s="17" t="b">
        <v>0</v>
      </c>
      <c r="BE77" s="17" t="s">
        <v>2070</v>
      </c>
      <c r="BF77" s="21">
        <v>45477</v>
      </c>
      <c r="BG77" s="21">
        <v>45842</v>
      </c>
      <c r="BH77" s="17"/>
      <c r="BI77" s="21">
        <v>47714</v>
      </c>
      <c r="BJ77" s="17">
        <v>0</v>
      </c>
      <c r="BK77" s="17" t="s">
        <v>967</v>
      </c>
      <c r="BL77" s="17" t="s">
        <v>968</v>
      </c>
      <c r="BM77" s="17" t="b">
        <v>1</v>
      </c>
      <c r="BN77" s="17" t="b">
        <v>1</v>
      </c>
      <c r="BO77" s="17" t="b">
        <v>1</v>
      </c>
      <c r="BP77" s="17" t="b">
        <v>1</v>
      </c>
      <c r="BQ77" s="17" t="b">
        <v>1</v>
      </c>
      <c r="BR77" s="17" t="b">
        <v>1</v>
      </c>
      <c r="BS77" s="17" t="b">
        <v>1</v>
      </c>
      <c r="BT77" s="17" t="b">
        <v>1</v>
      </c>
      <c r="BU77" s="17" t="b">
        <v>1</v>
      </c>
      <c r="BV77" s="17">
        <v>0</v>
      </c>
      <c r="BW77" s="21">
        <v>45034</v>
      </c>
      <c r="BX77" s="17" t="s">
        <v>414</v>
      </c>
      <c r="BY77" s="17" t="s">
        <v>414</v>
      </c>
      <c r="BZ77" s="17">
        <v>0</v>
      </c>
      <c r="CA77" s="21">
        <v>45951</v>
      </c>
      <c r="CB77" s="17" t="s">
        <v>438</v>
      </c>
      <c r="CC77" s="17" t="s">
        <v>2071</v>
      </c>
      <c r="CD77" s="21"/>
      <c r="CE77" s="17"/>
      <c r="CF77" s="17" t="s">
        <v>969</v>
      </c>
      <c r="CG77" s="17" t="b">
        <v>0</v>
      </c>
      <c r="CH77" s="17" t="s">
        <v>425</v>
      </c>
      <c r="CI77" s="17">
        <v>0</v>
      </c>
      <c r="CJ77" s="21">
        <v>45845</v>
      </c>
      <c r="CK77" s="21">
        <v>1</v>
      </c>
      <c r="CL77" s="17" t="s">
        <v>414</v>
      </c>
      <c r="CM77" s="21">
        <v>1</v>
      </c>
      <c r="CN77" s="21">
        <v>1</v>
      </c>
      <c r="CO77" s="21">
        <v>1</v>
      </c>
      <c r="CP77" s="17" t="b">
        <v>0</v>
      </c>
      <c r="CQ77" s="17" t="b">
        <v>1</v>
      </c>
      <c r="CR77" s="17" t="b">
        <v>0</v>
      </c>
      <c r="CS77">
        <v>7300</v>
      </c>
      <c r="CT77" t="s">
        <v>1911</v>
      </c>
      <c r="CU77">
        <v>5615.38</v>
      </c>
      <c r="CV77">
        <v>1684.62</v>
      </c>
      <c r="CW77" s="22"/>
    </row>
    <row r="78" spans="1:101" x14ac:dyDescent="0.25">
      <c r="A78" s="20">
        <v>418</v>
      </c>
      <c r="B78" s="17" t="s">
        <v>426</v>
      </c>
      <c r="C78" s="17" t="s">
        <v>971</v>
      </c>
      <c r="D78" s="17" t="s">
        <v>123</v>
      </c>
      <c r="E78" s="17" t="s">
        <v>972</v>
      </c>
      <c r="F78" s="17" t="s">
        <v>973</v>
      </c>
      <c r="G78" s="17" t="s">
        <v>414</v>
      </c>
      <c r="H78" s="17" t="s">
        <v>974</v>
      </c>
      <c r="I78" s="17" t="s">
        <v>414</v>
      </c>
      <c r="J78" s="17" t="s">
        <v>16</v>
      </c>
      <c r="K78" s="17" t="b">
        <v>0</v>
      </c>
      <c r="L78" s="17" t="s">
        <v>975</v>
      </c>
      <c r="M78" s="21">
        <v>36259</v>
      </c>
      <c r="N78" s="17" t="s">
        <v>976</v>
      </c>
      <c r="O78" s="17" t="s">
        <v>17</v>
      </c>
      <c r="P78" s="17" t="s">
        <v>18</v>
      </c>
      <c r="Q78" s="17">
        <v>1</v>
      </c>
      <c r="R78" s="17" t="s">
        <v>19</v>
      </c>
      <c r="S78" s="17">
        <v>1</v>
      </c>
      <c r="T78" s="17" t="s">
        <v>422</v>
      </c>
      <c r="U78" s="21">
        <v>45004</v>
      </c>
      <c r="V78" s="17" t="s">
        <v>114</v>
      </c>
      <c r="W78" s="21">
        <v>1.1041666666666665</v>
      </c>
      <c r="X78" s="17" t="s">
        <v>977</v>
      </c>
      <c r="Y78" s="17" t="s">
        <v>21</v>
      </c>
      <c r="Z78" s="17">
        <v>949700</v>
      </c>
      <c r="AA78" s="17" t="s">
        <v>51</v>
      </c>
      <c r="AB78" s="17" t="s">
        <v>418</v>
      </c>
      <c r="AC78" s="17">
        <v>233</v>
      </c>
      <c r="AD78" s="21">
        <v>45189</v>
      </c>
      <c r="AE78" s="21">
        <v>45189</v>
      </c>
      <c r="AF78" s="17"/>
      <c r="AG78" s="21">
        <v>45555</v>
      </c>
      <c r="AH78" s="17">
        <v>71783837</v>
      </c>
      <c r="AI78" s="21">
        <v>45004</v>
      </c>
      <c r="AJ78" s="17">
        <v>4100</v>
      </c>
      <c r="AK78" s="17">
        <v>0.29749999999999999</v>
      </c>
      <c r="AL78" s="17">
        <v>1219.75</v>
      </c>
      <c r="AM78" s="17" t="b">
        <v>1</v>
      </c>
      <c r="AN78" s="17" t="b">
        <v>1</v>
      </c>
      <c r="AO78" s="21">
        <v>45019</v>
      </c>
      <c r="AP78" s="21">
        <v>45034</v>
      </c>
      <c r="AQ78" s="17" t="b">
        <v>0</v>
      </c>
      <c r="AR78" s="21">
        <v>45477</v>
      </c>
      <c r="AS78" s="21">
        <v>45477</v>
      </c>
      <c r="AT78" s="21">
        <v>44914</v>
      </c>
      <c r="AU78" s="17" t="b">
        <v>0</v>
      </c>
      <c r="AV78" s="21">
        <v>45096</v>
      </c>
      <c r="AW78" s="17" t="s">
        <v>23</v>
      </c>
      <c r="AX78" s="17" t="s">
        <v>41</v>
      </c>
      <c r="AY78" s="17" t="s">
        <v>23</v>
      </c>
      <c r="AZ78" s="17" t="s">
        <v>414</v>
      </c>
      <c r="BA78" s="21">
        <v>45477</v>
      </c>
      <c r="BB78" s="17">
        <v>11512</v>
      </c>
      <c r="BC78" s="17"/>
      <c r="BD78" s="17" t="b">
        <v>0</v>
      </c>
      <c r="BE78" s="17" t="s">
        <v>2072</v>
      </c>
      <c r="BF78" s="21">
        <v>45477</v>
      </c>
      <c r="BG78" s="21">
        <v>45842</v>
      </c>
      <c r="BH78" s="17"/>
      <c r="BI78" s="21">
        <v>46293</v>
      </c>
      <c r="BJ78" s="17">
        <v>0</v>
      </c>
      <c r="BK78" s="17" t="s">
        <v>423</v>
      </c>
      <c r="BL78" s="17" t="s">
        <v>459</v>
      </c>
      <c r="BM78" s="17" t="b">
        <v>1</v>
      </c>
      <c r="BN78" s="17" t="b">
        <v>1</v>
      </c>
      <c r="BO78" s="17" t="b">
        <v>1</v>
      </c>
      <c r="BP78" s="17" t="b">
        <v>1</v>
      </c>
      <c r="BQ78" s="17" t="b">
        <v>1</v>
      </c>
      <c r="BR78" s="17" t="b">
        <v>1</v>
      </c>
      <c r="BS78" s="17" t="b">
        <v>1</v>
      </c>
      <c r="BT78" s="17" t="b">
        <v>1</v>
      </c>
      <c r="BU78" s="17" t="b">
        <v>1</v>
      </c>
      <c r="BV78" s="17">
        <v>0</v>
      </c>
      <c r="BW78" s="21">
        <v>45035</v>
      </c>
      <c r="BX78" s="17" t="s">
        <v>414</v>
      </c>
      <c r="BY78" s="17" t="s">
        <v>414</v>
      </c>
      <c r="BZ78" s="17">
        <v>0</v>
      </c>
      <c r="CA78" s="21">
        <v>45951</v>
      </c>
      <c r="CB78" s="17" t="s">
        <v>438</v>
      </c>
      <c r="CC78" s="17" t="s">
        <v>2073</v>
      </c>
      <c r="CD78" s="21"/>
      <c r="CE78" s="17"/>
      <c r="CF78" s="17" t="s">
        <v>978</v>
      </c>
      <c r="CG78" s="17" t="b">
        <v>0</v>
      </c>
      <c r="CH78" s="17" t="s">
        <v>425</v>
      </c>
      <c r="CI78" s="17">
        <v>0</v>
      </c>
      <c r="CJ78" s="21">
        <v>45843</v>
      </c>
      <c r="CK78" s="21">
        <v>45903</v>
      </c>
      <c r="CL78" s="17" t="s">
        <v>414</v>
      </c>
      <c r="CM78" s="21">
        <v>1</v>
      </c>
      <c r="CN78" s="21">
        <v>1</v>
      </c>
      <c r="CO78" s="21">
        <v>1</v>
      </c>
      <c r="CP78" s="17" t="b">
        <v>0</v>
      </c>
      <c r="CQ78" s="17" t="b">
        <v>1</v>
      </c>
      <c r="CR78" s="17" t="b">
        <v>0</v>
      </c>
      <c r="CS78">
        <v>7100</v>
      </c>
      <c r="CT78" t="s">
        <v>1913</v>
      </c>
      <c r="CU78">
        <v>5461.54</v>
      </c>
      <c r="CV78">
        <v>1638.46</v>
      </c>
      <c r="CW78" s="22"/>
    </row>
    <row r="79" spans="1:101" x14ac:dyDescent="0.25">
      <c r="A79" s="20">
        <v>421</v>
      </c>
      <c r="B79" s="17" t="s">
        <v>426</v>
      </c>
      <c r="C79" s="17" t="s">
        <v>420</v>
      </c>
      <c r="D79" s="17" t="s">
        <v>124</v>
      </c>
      <c r="E79" s="17" t="s">
        <v>980</v>
      </c>
      <c r="F79" s="17" t="s">
        <v>981</v>
      </c>
      <c r="G79" s="17" t="s">
        <v>414</v>
      </c>
      <c r="H79" s="17" t="s">
        <v>899</v>
      </c>
      <c r="I79" s="17" t="s">
        <v>414</v>
      </c>
      <c r="J79" s="17" t="s">
        <v>16</v>
      </c>
      <c r="K79" s="17" t="b">
        <v>0</v>
      </c>
      <c r="L79" s="17" t="s">
        <v>982</v>
      </c>
      <c r="M79" s="21">
        <v>37111</v>
      </c>
      <c r="N79" s="17" t="s">
        <v>901</v>
      </c>
      <c r="O79" s="17" t="s">
        <v>17</v>
      </c>
      <c r="P79" s="17" t="s">
        <v>18</v>
      </c>
      <c r="Q79" s="17">
        <v>1</v>
      </c>
      <c r="R79" s="17" t="s">
        <v>19</v>
      </c>
      <c r="S79" s="17">
        <v>9</v>
      </c>
      <c r="T79" s="17" t="s">
        <v>434</v>
      </c>
      <c r="U79" s="21">
        <v>45157</v>
      </c>
      <c r="V79" s="17" t="s">
        <v>58</v>
      </c>
      <c r="W79" s="21">
        <v>1.2708333333333335</v>
      </c>
      <c r="X79" s="17" t="s">
        <v>983</v>
      </c>
      <c r="Y79" s="17" t="s">
        <v>21</v>
      </c>
      <c r="Z79" s="17">
        <v>834000</v>
      </c>
      <c r="AA79" s="17" t="s">
        <v>69</v>
      </c>
      <c r="AB79" s="17" t="s">
        <v>443</v>
      </c>
      <c r="AC79" s="17">
        <v>0</v>
      </c>
      <c r="AD79" s="21">
        <v>1</v>
      </c>
      <c r="AE79" s="21">
        <v>2</v>
      </c>
      <c r="AF79" s="17"/>
      <c r="AG79" s="21">
        <v>368</v>
      </c>
      <c r="AH79" s="17">
        <v>84239151</v>
      </c>
      <c r="AI79" s="21">
        <v>45231</v>
      </c>
      <c r="AJ79" s="17">
        <v>2707</v>
      </c>
      <c r="AK79" s="17">
        <v>0.29749999999999999</v>
      </c>
      <c r="AL79" s="17">
        <v>805.33</v>
      </c>
      <c r="AM79" s="17" t="b">
        <v>1</v>
      </c>
      <c r="AN79" s="17" t="b">
        <v>1</v>
      </c>
      <c r="AO79" s="21">
        <v>45267</v>
      </c>
      <c r="AP79" s="21">
        <v>45448</v>
      </c>
      <c r="AQ79" s="17" t="b">
        <v>0</v>
      </c>
      <c r="AR79" s="21">
        <v>45448</v>
      </c>
      <c r="AS79" s="21">
        <v>45448</v>
      </c>
      <c r="AT79" s="21">
        <v>45139</v>
      </c>
      <c r="AU79" s="17" t="b">
        <v>0</v>
      </c>
      <c r="AV79" s="21">
        <v>45249</v>
      </c>
      <c r="AW79" s="17" t="s">
        <v>23</v>
      </c>
      <c r="AX79" s="17" t="s">
        <v>41</v>
      </c>
      <c r="AY79" s="17" t="s">
        <v>414</v>
      </c>
      <c r="AZ79" s="17" t="s">
        <v>414</v>
      </c>
      <c r="BA79" s="21">
        <v>45448</v>
      </c>
      <c r="BB79" s="17">
        <v>0</v>
      </c>
      <c r="BC79" s="17"/>
      <c r="BD79" s="17" t="b">
        <v>0</v>
      </c>
      <c r="BE79" s="17" t="s">
        <v>2074</v>
      </c>
      <c r="BF79" s="21">
        <v>45448</v>
      </c>
      <c r="BG79" s="21">
        <v>45813</v>
      </c>
      <c r="BH79" s="17"/>
      <c r="BI79" s="21">
        <v>47148</v>
      </c>
      <c r="BJ79" s="17">
        <v>0</v>
      </c>
      <c r="BK79" s="17" t="s">
        <v>443</v>
      </c>
      <c r="BL79" s="17" t="s">
        <v>459</v>
      </c>
      <c r="BM79" s="17" t="b">
        <v>1</v>
      </c>
      <c r="BN79" s="17" t="b">
        <v>1</v>
      </c>
      <c r="BO79" s="17" t="b">
        <v>1</v>
      </c>
      <c r="BP79" s="17" t="b">
        <v>1</v>
      </c>
      <c r="BQ79" s="17" t="b">
        <v>1</v>
      </c>
      <c r="BR79" s="17" t="b">
        <v>1</v>
      </c>
      <c r="BS79" s="17" t="b">
        <v>0</v>
      </c>
      <c r="BT79" s="17" t="b">
        <v>1</v>
      </c>
      <c r="BU79" s="17" t="b">
        <v>1</v>
      </c>
      <c r="BV79" s="17">
        <v>0</v>
      </c>
      <c r="BW79" s="21">
        <v>45188</v>
      </c>
      <c r="BX79" s="17" t="s">
        <v>414</v>
      </c>
      <c r="BY79" s="17" t="s">
        <v>414</v>
      </c>
      <c r="BZ79" s="17">
        <v>0</v>
      </c>
      <c r="CA79" s="21">
        <v>45951</v>
      </c>
      <c r="CB79" s="17" t="s">
        <v>438</v>
      </c>
      <c r="CC79" s="17" t="s">
        <v>2075</v>
      </c>
      <c r="CD79" s="21"/>
      <c r="CE79" s="17"/>
      <c r="CF79" s="17" t="s">
        <v>984</v>
      </c>
      <c r="CG79" s="17" t="b">
        <v>0</v>
      </c>
      <c r="CH79" s="17" t="s">
        <v>425</v>
      </c>
      <c r="CI79" s="17">
        <v>0</v>
      </c>
      <c r="CJ79" s="21">
        <v>45843</v>
      </c>
      <c r="CK79" s="21">
        <v>45903</v>
      </c>
      <c r="CL79" s="17" t="s">
        <v>414</v>
      </c>
      <c r="CM79" s="21">
        <v>1</v>
      </c>
      <c r="CN79" s="21">
        <v>1</v>
      </c>
      <c r="CO79" s="21">
        <v>1</v>
      </c>
      <c r="CP79" s="17" t="b">
        <v>0</v>
      </c>
      <c r="CQ79" s="17" t="b">
        <v>1</v>
      </c>
      <c r="CR79" s="17" t="b">
        <v>0</v>
      </c>
      <c r="CS79">
        <v>7300</v>
      </c>
      <c r="CT79" t="s">
        <v>1911</v>
      </c>
      <c r="CU79">
        <v>5615.38</v>
      </c>
      <c r="CV79">
        <v>1684.62</v>
      </c>
      <c r="CW79" s="22"/>
    </row>
    <row r="80" spans="1:101" x14ac:dyDescent="0.25">
      <c r="A80" s="20">
        <v>422</v>
      </c>
      <c r="B80" s="17" t="s">
        <v>985</v>
      </c>
      <c r="C80" s="17" t="s">
        <v>986</v>
      </c>
      <c r="D80" s="17" t="s">
        <v>125</v>
      </c>
      <c r="E80" s="17" t="s">
        <v>414</v>
      </c>
      <c r="F80" s="17" t="s">
        <v>414</v>
      </c>
      <c r="G80" s="17" t="s">
        <v>414</v>
      </c>
      <c r="H80" s="17" t="s">
        <v>987</v>
      </c>
      <c r="I80" s="17" t="s">
        <v>739</v>
      </c>
      <c r="J80" s="17" t="s">
        <v>16</v>
      </c>
      <c r="K80" s="17" t="b">
        <v>1</v>
      </c>
      <c r="L80" s="17" t="s">
        <v>988</v>
      </c>
      <c r="M80" s="21">
        <v>37555</v>
      </c>
      <c r="N80" s="17" t="s">
        <v>989</v>
      </c>
      <c r="O80" s="17" t="s">
        <v>17</v>
      </c>
      <c r="P80" s="17" t="s">
        <v>18</v>
      </c>
      <c r="Q80" s="17">
        <v>1</v>
      </c>
      <c r="R80" s="17" t="s">
        <v>19</v>
      </c>
      <c r="S80" s="17">
        <v>1</v>
      </c>
      <c r="T80" s="17" t="s">
        <v>422</v>
      </c>
      <c r="U80" s="21">
        <v>45710</v>
      </c>
      <c r="V80" s="17" t="s">
        <v>31</v>
      </c>
      <c r="W80" s="21">
        <v>45684</v>
      </c>
      <c r="X80" s="17" t="s">
        <v>414</v>
      </c>
      <c r="Y80" s="17" t="s">
        <v>45</v>
      </c>
      <c r="Z80" s="17">
        <v>949700</v>
      </c>
      <c r="AA80" s="17" t="s">
        <v>51</v>
      </c>
      <c r="AB80" s="17" t="s">
        <v>443</v>
      </c>
      <c r="AC80" s="17">
        <v>0</v>
      </c>
      <c r="AD80" s="21">
        <v>1</v>
      </c>
      <c r="AE80" s="21">
        <v>1</v>
      </c>
      <c r="AF80" s="17"/>
      <c r="AG80" s="21">
        <v>367</v>
      </c>
      <c r="AH80" s="17">
        <v>65542312</v>
      </c>
      <c r="AI80" s="21">
        <v>45715</v>
      </c>
      <c r="AJ80" s="17">
        <v>4121</v>
      </c>
      <c r="AK80" s="17">
        <v>0.29749999999999999</v>
      </c>
      <c r="AL80" s="17">
        <v>1226</v>
      </c>
      <c r="AM80" s="17" t="b">
        <v>1</v>
      </c>
      <c r="AN80" s="17" t="b">
        <v>1</v>
      </c>
      <c r="AO80" s="21">
        <v>45684</v>
      </c>
      <c r="AP80" s="21">
        <v>45684</v>
      </c>
      <c r="AQ80" s="17" t="b">
        <v>0</v>
      </c>
      <c r="AR80" s="21">
        <v>45684</v>
      </c>
      <c r="AS80" s="21">
        <v>45684</v>
      </c>
      <c r="AT80" s="21">
        <v>45623</v>
      </c>
      <c r="AU80" s="17" t="b">
        <v>0</v>
      </c>
      <c r="AV80" s="21">
        <v>45799</v>
      </c>
      <c r="AW80" s="17" t="s">
        <v>414</v>
      </c>
      <c r="AX80" s="17" t="s">
        <v>414</v>
      </c>
      <c r="AY80" s="17" t="s">
        <v>414</v>
      </c>
      <c r="AZ80" s="17" t="s">
        <v>414</v>
      </c>
      <c r="BA80" s="21">
        <v>45733</v>
      </c>
      <c r="BB80" s="17">
        <v>28314</v>
      </c>
      <c r="BC80" s="17"/>
      <c r="BD80" s="17" t="b">
        <v>0</v>
      </c>
      <c r="BE80" s="17" t="s">
        <v>2076</v>
      </c>
      <c r="BF80" s="21">
        <v>45684</v>
      </c>
      <c r="BG80" s="21">
        <v>46049</v>
      </c>
      <c r="BH80" s="17"/>
      <c r="BI80" s="21">
        <v>45970</v>
      </c>
      <c r="BJ80" s="17">
        <v>0</v>
      </c>
      <c r="BK80" s="17" t="s">
        <v>443</v>
      </c>
      <c r="BL80" s="17" t="s">
        <v>437</v>
      </c>
      <c r="BM80" s="17" t="b">
        <v>1</v>
      </c>
      <c r="BN80" s="17" t="b">
        <v>1</v>
      </c>
      <c r="BO80" s="17" t="b">
        <v>1</v>
      </c>
      <c r="BP80" s="17" t="b">
        <v>1</v>
      </c>
      <c r="BQ80" s="17" t="b">
        <v>1</v>
      </c>
      <c r="BR80" s="17" t="b">
        <v>0</v>
      </c>
      <c r="BS80" s="17" t="b">
        <v>1</v>
      </c>
      <c r="BT80" s="17" t="b">
        <v>0</v>
      </c>
      <c r="BU80" s="17" t="b">
        <v>1</v>
      </c>
      <c r="BV80" s="17">
        <v>1344</v>
      </c>
      <c r="BW80" s="21">
        <v>45738</v>
      </c>
      <c r="BX80" s="17" t="s">
        <v>990</v>
      </c>
      <c r="BY80" s="17" t="s">
        <v>983</v>
      </c>
      <c r="BZ80" s="17">
        <v>0</v>
      </c>
      <c r="CA80" s="21">
        <v>45951</v>
      </c>
      <c r="CB80" s="17" t="s">
        <v>419</v>
      </c>
      <c r="CC80" s="17" t="s">
        <v>2077</v>
      </c>
      <c r="CD80" s="21"/>
      <c r="CE80" s="17"/>
      <c r="CF80" s="17" t="s">
        <v>991</v>
      </c>
      <c r="CG80" s="17" t="b">
        <v>0</v>
      </c>
      <c r="CH80" s="17" t="s">
        <v>992</v>
      </c>
      <c r="CI80" s="17">
        <v>0</v>
      </c>
      <c r="CJ80" s="21">
        <v>1</v>
      </c>
      <c r="CK80" s="21">
        <v>1</v>
      </c>
      <c r="CL80" s="17" t="s">
        <v>414</v>
      </c>
      <c r="CM80" s="21">
        <v>1</v>
      </c>
      <c r="CN80" s="21">
        <v>1</v>
      </c>
      <c r="CO80" s="21">
        <v>1</v>
      </c>
      <c r="CP80" s="17" t="b">
        <v>0</v>
      </c>
      <c r="CQ80" s="17" t="b">
        <v>0</v>
      </c>
      <c r="CR80" s="17" t="b">
        <v>0</v>
      </c>
      <c r="CS80">
        <v>7000</v>
      </c>
      <c r="CT80" t="s">
        <v>1912</v>
      </c>
      <c r="CU80">
        <v>5384.62</v>
      </c>
      <c r="CV80">
        <v>1615.38</v>
      </c>
      <c r="CW80" s="22"/>
    </row>
    <row r="81" spans="1:101" x14ac:dyDescent="0.25">
      <c r="A81" s="20">
        <v>423</v>
      </c>
      <c r="B81" s="17" t="s">
        <v>993</v>
      </c>
      <c r="C81" s="17" t="s">
        <v>611</v>
      </c>
      <c r="D81" s="17" t="s">
        <v>126</v>
      </c>
      <c r="E81" s="17" t="s">
        <v>414</v>
      </c>
      <c r="F81" s="17" t="s">
        <v>994</v>
      </c>
      <c r="G81" s="17" t="s">
        <v>414</v>
      </c>
      <c r="H81" s="17" t="s">
        <v>995</v>
      </c>
      <c r="I81" s="17" t="s">
        <v>739</v>
      </c>
      <c r="J81" s="17" t="s">
        <v>16</v>
      </c>
      <c r="K81" s="17" t="b">
        <v>0</v>
      </c>
      <c r="L81" s="17" t="s">
        <v>996</v>
      </c>
      <c r="M81" s="21">
        <v>37348</v>
      </c>
      <c r="N81" s="17" t="s">
        <v>997</v>
      </c>
      <c r="O81" s="17" t="s">
        <v>17</v>
      </c>
      <c r="P81" s="17" t="s">
        <v>18</v>
      </c>
      <c r="Q81" s="17">
        <v>5</v>
      </c>
      <c r="R81" s="17" t="s">
        <v>44</v>
      </c>
      <c r="S81" s="17">
        <v>5</v>
      </c>
      <c r="T81" s="17" t="s">
        <v>537</v>
      </c>
      <c r="U81" s="21">
        <v>45780</v>
      </c>
      <c r="V81" s="17" t="s">
        <v>58</v>
      </c>
      <c r="W81" s="21">
        <v>45782</v>
      </c>
      <c r="X81" s="17" t="s">
        <v>998</v>
      </c>
      <c r="Y81" s="17" t="s">
        <v>21</v>
      </c>
      <c r="Z81" s="17">
        <v>0</v>
      </c>
      <c r="AA81" s="17" t="s">
        <v>414</v>
      </c>
      <c r="AB81" s="17" t="s">
        <v>443</v>
      </c>
      <c r="AC81" s="17">
        <v>0</v>
      </c>
      <c r="AD81" s="21">
        <v>1</v>
      </c>
      <c r="AE81" s="21">
        <v>1</v>
      </c>
      <c r="AF81" s="17"/>
      <c r="AG81" s="21">
        <v>367</v>
      </c>
      <c r="AH81" s="17">
        <v>74623358</v>
      </c>
      <c r="AI81" s="21">
        <v>45782</v>
      </c>
      <c r="AJ81" s="17">
        <v>0</v>
      </c>
      <c r="AK81" s="17">
        <v>0</v>
      </c>
      <c r="AL81" s="17">
        <v>0</v>
      </c>
      <c r="AM81" s="17" t="b">
        <v>0</v>
      </c>
      <c r="AN81" s="17" t="b">
        <v>0</v>
      </c>
      <c r="AO81" s="21">
        <v>45782</v>
      </c>
      <c r="AP81" s="21">
        <v>45782</v>
      </c>
      <c r="AQ81" s="17" t="b">
        <v>0</v>
      </c>
      <c r="AR81" s="21">
        <v>45782</v>
      </c>
      <c r="AS81" s="21">
        <v>45782</v>
      </c>
      <c r="AT81" s="21">
        <v>45693</v>
      </c>
      <c r="AU81" s="17" t="b">
        <v>0</v>
      </c>
      <c r="AV81" s="21">
        <v>45872</v>
      </c>
      <c r="AW81" s="17" t="s">
        <v>23</v>
      </c>
      <c r="AX81" s="17" t="s">
        <v>41</v>
      </c>
      <c r="AY81" s="17" t="s">
        <v>414</v>
      </c>
      <c r="AZ81" s="17" t="s">
        <v>414</v>
      </c>
      <c r="BA81" s="21">
        <v>45782</v>
      </c>
      <c r="BB81" s="17">
        <v>0</v>
      </c>
      <c r="BC81" s="17"/>
      <c r="BD81" s="17" t="b">
        <v>0</v>
      </c>
      <c r="BE81" s="17" t="s">
        <v>2078</v>
      </c>
      <c r="BF81" s="21">
        <v>45782</v>
      </c>
      <c r="BG81" s="21">
        <v>46147</v>
      </c>
      <c r="BH81" s="17"/>
      <c r="BI81" s="21">
        <v>45791</v>
      </c>
      <c r="BJ81" s="17">
        <v>0</v>
      </c>
      <c r="BK81" s="17" t="s">
        <v>999</v>
      </c>
      <c r="BL81" s="17" t="s">
        <v>437</v>
      </c>
      <c r="BM81" s="17" t="b">
        <v>1</v>
      </c>
      <c r="BN81" s="17" t="b">
        <v>1</v>
      </c>
      <c r="BO81" s="17" t="b">
        <v>1</v>
      </c>
      <c r="BP81" s="17" t="b">
        <v>1</v>
      </c>
      <c r="BQ81" s="17" t="b">
        <v>0</v>
      </c>
      <c r="BR81" s="17" t="b">
        <v>0</v>
      </c>
      <c r="BS81" s="17" t="b">
        <v>0</v>
      </c>
      <c r="BT81" s="17" t="b">
        <v>0</v>
      </c>
      <c r="BU81" s="17" t="b">
        <v>1</v>
      </c>
      <c r="BV81" s="17">
        <v>202501</v>
      </c>
      <c r="BW81" s="21">
        <v>45811</v>
      </c>
      <c r="BX81" s="17" t="s">
        <v>1000</v>
      </c>
      <c r="BY81" s="17" t="s">
        <v>1001</v>
      </c>
      <c r="BZ81" s="17">
        <v>0</v>
      </c>
      <c r="CA81" s="21">
        <v>45951</v>
      </c>
      <c r="CB81" s="17" t="s">
        <v>438</v>
      </c>
      <c r="CC81" s="17" t="s">
        <v>2079</v>
      </c>
      <c r="CD81" s="21"/>
      <c r="CE81" s="17"/>
      <c r="CF81" s="17" t="s">
        <v>1002</v>
      </c>
      <c r="CG81" s="17" t="b">
        <v>0</v>
      </c>
      <c r="CH81" s="17" t="s">
        <v>992</v>
      </c>
      <c r="CI81" s="17">
        <v>0</v>
      </c>
      <c r="CJ81" s="21">
        <v>1</v>
      </c>
      <c r="CK81" s="21">
        <v>45904</v>
      </c>
      <c r="CL81" s="17" t="s">
        <v>414</v>
      </c>
      <c r="CM81" s="21">
        <v>1</v>
      </c>
      <c r="CN81" s="21">
        <v>1</v>
      </c>
      <c r="CO81" s="21">
        <v>1</v>
      </c>
      <c r="CP81" s="17" t="b">
        <v>0</v>
      </c>
      <c r="CQ81" s="17" t="b">
        <v>0</v>
      </c>
      <c r="CR81" s="17" t="b">
        <v>0</v>
      </c>
      <c r="CS81">
        <v>7300</v>
      </c>
      <c r="CT81" t="s">
        <v>1911</v>
      </c>
      <c r="CU81">
        <v>5615.38</v>
      </c>
      <c r="CV81">
        <v>1684.62</v>
      </c>
      <c r="CW81" s="22"/>
    </row>
    <row r="82" spans="1:101" x14ac:dyDescent="0.25">
      <c r="A82" s="20">
        <v>425</v>
      </c>
      <c r="B82" s="17" t="s">
        <v>420</v>
      </c>
      <c r="C82" s="17" t="s">
        <v>1003</v>
      </c>
      <c r="D82" s="17" t="s">
        <v>127</v>
      </c>
      <c r="E82" s="17" t="s">
        <v>414</v>
      </c>
      <c r="F82" s="17" t="s">
        <v>414</v>
      </c>
      <c r="G82" s="17" t="s">
        <v>414</v>
      </c>
      <c r="H82" s="17" t="s">
        <v>1004</v>
      </c>
      <c r="I82" s="17" t="s">
        <v>739</v>
      </c>
      <c r="J82" s="17" t="s">
        <v>16</v>
      </c>
      <c r="K82" s="17" t="b">
        <v>0</v>
      </c>
      <c r="L82" s="17" t="s">
        <v>1005</v>
      </c>
      <c r="M82" s="21">
        <v>34760</v>
      </c>
      <c r="N82" s="17" t="s">
        <v>1006</v>
      </c>
      <c r="O82" s="17" t="s">
        <v>17</v>
      </c>
      <c r="P82" s="17" t="s">
        <v>18</v>
      </c>
      <c r="Q82" s="17">
        <v>1</v>
      </c>
      <c r="R82" s="17" t="s">
        <v>19</v>
      </c>
      <c r="S82" s="17">
        <v>1</v>
      </c>
      <c r="T82" s="17" t="s">
        <v>422</v>
      </c>
      <c r="U82" s="21">
        <v>45809</v>
      </c>
      <c r="V82" s="17" t="s">
        <v>29</v>
      </c>
      <c r="W82" s="21">
        <v>45819</v>
      </c>
      <c r="X82" s="17" t="s">
        <v>29</v>
      </c>
      <c r="Y82" s="17" t="s">
        <v>21</v>
      </c>
      <c r="Z82" s="17">
        <v>0</v>
      </c>
      <c r="AA82" s="17" t="s">
        <v>414</v>
      </c>
      <c r="AB82" s="17" t="s">
        <v>443</v>
      </c>
      <c r="AC82" s="17">
        <v>0</v>
      </c>
      <c r="AD82" s="21">
        <v>1</v>
      </c>
      <c r="AE82" s="21">
        <v>1</v>
      </c>
      <c r="AF82" s="17"/>
      <c r="AG82" s="21">
        <v>367</v>
      </c>
      <c r="AH82" s="17">
        <v>86977273</v>
      </c>
      <c r="AI82" s="21">
        <v>45819</v>
      </c>
      <c r="AJ82" s="17">
        <v>0</v>
      </c>
      <c r="AK82" s="17">
        <v>0</v>
      </c>
      <c r="AL82" s="17">
        <v>0</v>
      </c>
      <c r="AM82" s="17" t="b">
        <v>0</v>
      </c>
      <c r="AN82" s="17" t="b">
        <v>0</v>
      </c>
      <c r="AO82" s="21">
        <v>45819</v>
      </c>
      <c r="AP82" s="21">
        <v>45819</v>
      </c>
      <c r="AQ82" s="17" t="b">
        <v>0</v>
      </c>
      <c r="AR82" s="21">
        <v>45819</v>
      </c>
      <c r="AS82" s="21">
        <v>45819</v>
      </c>
      <c r="AT82" s="21">
        <v>45727</v>
      </c>
      <c r="AU82" s="17" t="b">
        <v>0</v>
      </c>
      <c r="AV82" s="21">
        <v>45901</v>
      </c>
      <c r="AW82" s="17" t="s">
        <v>23</v>
      </c>
      <c r="AX82" s="17" t="s">
        <v>23</v>
      </c>
      <c r="AY82" s="17" t="s">
        <v>41</v>
      </c>
      <c r="AZ82" s="17" t="s">
        <v>520</v>
      </c>
      <c r="BA82" s="21">
        <v>45819</v>
      </c>
      <c r="BB82" s="17">
        <v>0</v>
      </c>
      <c r="BC82" s="17"/>
      <c r="BD82" s="17" t="b">
        <v>0</v>
      </c>
      <c r="BE82" s="17" t="s">
        <v>2080</v>
      </c>
      <c r="BF82" s="21">
        <v>45819</v>
      </c>
      <c r="BG82" s="21">
        <v>46184</v>
      </c>
      <c r="BH82" s="17"/>
      <c r="BI82" s="21">
        <v>48280</v>
      </c>
      <c r="BJ82" s="17">
        <v>0</v>
      </c>
      <c r="BK82" s="17" t="s">
        <v>436</v>
      </c>
      <c r="BL82" s="17" t="s">
        <v>776</v>
      </c>
      <c r="BM82" s="17" t="b">
        <v>1</v>
      </c>
      <c r="BN82" s="17" t="b">
        <v>1</v>
      </c>
      <c r="BO82" s="17" t="b">
        <v>1</v>
      </c>
      <c r="BP82" s="17" t="b">
        <v>1</v>
      </c>
      <c r="BQ82" s="17" t="b">
        <v>1</v>
      </c>
      <c r="BR82" s="17" t="b">
        <v>1</v>
      </c>
      <c r="BS82" s="17" t="b">
        <v>1</v>
      </c>
      <c r="BT82" s="17" t="b">
        <v>0</v>
      </c>
      <c r="BU82" s="17" t="b">
        <v>1</v>
      </c>
      <c r="BV82" s="17">
        <v>202501</v>
      </c>
      <c r="BW82" s="21">
        <v>45839</v>
      </c>
      <c r="BX82" s="17" t="s">
        <v>414</v>
      </c>
      <c r="BY82" s="17" t="s">
        <v>414</v>
      </c>
      <c r="BZ82" s="17">
        <v>0</v>
      </c>
      <c r="CA82" s="21">
        <v>45951</v>
      </c>
      <c r="CB82" s="17" t="s">
        <v>438</v>
      </c>
      <c r="CC82" s="17" t="s">
        <v>2081</v>
      </c>
      <c r="CD82" s="21"/>
      <c r="CE82" s="17"/>
      <c r="CF82" s="17" t="s">
        <v>1007</v>
      </c>
      <c r="CG82" s="17" t="b">
        <v>0</v>
      </c>
      <c r="CH82" s="17" t="s">
        <v>992</v>
      </c>
      <c r="CI82" s="17">
        <v>0</v>
      </c>
      <c r="CJ82" s="21">
        <v>1</v>
      </c>
      <c r="CK82" s="21">
        <v>45904</v>
      </c>
      <c r="CL82" s="17" t="s">
        <v>414</v>
      </c>
      <c r="CM82" s="21">
        <v>1</v>
      </c>
      <c r="CN82" s="21">
        <v>1</v>
      </c>
      <c r="CO82" s="21">
        <v>1</v>
      </c>
      <c r="CP82" s="17" t="b">
        <v>0</v>
      </c>
      <c r="CQ82" s="17" t="b">
        <v>0</v>
      </c>
      <c r="CR82" s="17" t="b">
        <v>0</v>
      </c>
      <c r="CS82">
        <v>7100</v>
      </c>
      <c r="CT82" t="s">
        <v>1913</v>
      </c>
      <c r="CU82">
        <v>5461.54</v>
      </c>
      <c r="CV82">
        <v>1638.46</v>
      </c>
      <c r="CW82" s="22"/>
    </row>
    <row r="83" spans="1:101" x14ac:dyDescent="0.25">
      <c r="A83" s="20">
        <v>426</v>
      </c>
      <c r="B83" s="17" t="s">
        <v>830</v>
      </c>
      <c r="C83" s="17" t="s">
        <v>568</v>
      </c>
      <c r="D83" s="17" t="s">
        <v>128</v>
      </c>
      <c r="E83" s="17" t="s">
        <v>414</v>
      </c>
      <c r="F83" s="17" t="s">
        <v>414</v>
      </c>
      <c r="G83" s="17" t="s">
        <v>414</v>
      </c>
      <c r="H83" s="17" t="s">
        <v>1008</v>
      </c>
      <c r="I83" s="17" t="s">
        <v>432</v>
      </c>
      <c r="J83" s="17" t="s">
        <v>16</v>
      </c>
      <c r="K83" s="17" t="b">
        <v>0</v>
      </c>
      <c r="L83" s="17" t="s">
        <v>1009</v>
      </c>
      <c r="M83" s="21">
        <v>36091</v>
      </c>
      <c r="N83" s="17" t="s">
        <v>1010</v>
      </c>
      <c r="O83" s="17" t="s">
        <v>17</v>
      </c>
      <c r="P83" s="17" t="s">
        <v>18</v>
      </c>
      <c r="Q83" s="17">
        <v>1</v>
      </c>
      <c r="R83" s="17" t="s">
        <v>19</v>
      </c>
      <c r="S83" s="17">
        <v>1</v>
      </c>
      <c r="T83" s="17" t="s">
        <v>422</v>
      </c>
      <c r="U83" s="21">
        <v>45825</v>
      </c>
      <c r="V83" s="17" t="s">
        <v>116</v>
      </c>
      <c r="W83" s="21">
        <v>45827</v>
      </c>
      <c r="X83" s="17" t="s">
        <v>414</v>
      </c>
      <c r="Y83" s="17" t="s">
        <v>21</v>
      </c>
      <c r="Z83" s="17">
        <v>0</v>
      </c>
      <c r="AA83" s="17" t="s">
        <v>414</v>
      </c>
      <c r="AB83" s="17" t="s">
        <v>443</v>
      </c>
      <c r="AC83" s="17">
        <v>0</v>
      </c>
      <c r="AD83" s="21">
        <v>1</v>
      </c>
      <c r="AE83" s="21">
        <v>1</v>
      </c>
      <c r="AF83" s="17"/>
      <c r="AG83" s="21">
        <v>367</v>
      </c>
      <c r="AH83" s="17">
        <v>0</v>
      </c>
      <c r="AI83" s="21">
        <v>45827</v>
      </c>
      <c r="AJ83" s="17">
        <v>0</v>
      </c>
      <c r="AK83" s="17">
        <v>0</v>
      </c>
      <c r="AL83" s="17">
        <v>0</v>
      </c>
      <c r="AM83" s="17" t="b">
        <v>0</v>
      </c>
      <c r="AN83" s="17" t="b">
        <v>0</v>
      </c>
      <c r="AO83" s="21">
        <v>45827</v>
      </c>
      <c r="AP83" s="21">
        <v>45827</v>
      </c>
      <c r="AQ83" s="17" t="b">
        <v>0</v>
      </c>
      <c r="AR83" s="21">
        <v>45827</v>
      </c>
      <c r="AS83" s="21">
        <v>45827</v>
      </c>
      <c r="AT83" s="21">
        <v>45735</v>
      </c>
      <c r="AU83" s="17" t="b">
        <v>0</v>
      </c>
      <c r="AV83" s="21">
        <v>45917</v>
      </c>
      <c r="AW83" s="17" t="s">
        <v>41</v>
      </c>
      <c r="AX83" s="17" t="s">
        <v>23</v>
      </c>
      <c r="AY83" s="17" t="s">
        <v>414</v>
      </c>
      <c r="AZ83" s="17" t="s">
        <v>414</v>
      </c>
      <c r="BA83" s="21">
        <v>45827</v>
      </c>
      <c r="BB83" s="17">
        <v>0</v>
      </c>
      <c r="BC83" s="17"/>
      <c r="BD83" s="17" t="b">
        <v>0</v>
      </c>
      <c r="BE83" s="17" t="s">
        <v>2082</v>
      </c>
      <c r="BF83" s="21">
        <v>45827</v>
      </c>
      <c r="BG83" s="21">
        <v>46192</v>
      </c>
      <c r="BH83" s="17"/>
      <c r="BI83" s="21">
        <v>1</v>
      </c>
      <c r="BJ83" s="17">
        <v>0</v>
      </c>
      <c r="BK83" s="17" t="s">
        <v>436</v>
      </c>
      <c r="BL83" s="17" t="s">
        <v>776</v>
      </c>
      <c r="BM83" s="17" t="b">
        <v>1</v>
      </c>
      <c r="BN83" s="17" t="b">
        <v>1</v>
      </c>
      <c r="BO83" s="17" t="b">
        <v>1</v>
      </c>
      <c r="BP83" s="17" t="b">
        <v>1</v>
      </c>
      <c r="BQ83" s="17" t="b">
        <v>0</v>
      </c>
      <c r="BR83" s="17" t="b">
        <v>0</v>
      </c>
      <c r="BS83" s="17" t="b">
        <v>0</v>
      </c>
      <c r="BT83" s="17" t="b">
        <v>0</v>
      </c>
      <c r="BU83" s="17" t="b">
        <v>1</v>
      </c>
      <c r="BV83" s="17">
        <v>826108</v>
      </c>
      <c r="BW83" s="21">
        <v>45855</v>
      </c>
      <c r="BX83" s="17" t="s">
        <v>983</v>
      </c>
      <c r="BY83" s="17" t="s">
        <v>414</v>
      </c>
      <c r="BZ83" s="17">
        <v>0</v>
      </c>
      <c r="CA83" s="21">
        <v>45951</v>
      </c>
      <c r="CB83" s="17" t="s">
        <v>438</v>
      </c>
      <c r="CC83" s="17" t="s">
        <v>2083</v>
      </c>
      <c r="CD83" s="21"/>
      <c r="CE83" s="17"/>
      <c r="CF83" s="17" t="s">
        <v>1011</v>
      </c>
      <c r="CG83" s="17" t="b">
        <v>0</v>
      </c>
      <c r="CH83" s="17" t="s">
        <v>992</v>
      </c>
      <c r="CI83" s="17">
        <v>0</v>
      </c>
      <c r="CJ83" s="21">
        <v>1</v>
      </c>
      <c r="CK83" s="21">
        <v>1</v>
      </c>
      <c r="CL83" s="17" t="s">
        <v>414</v>
      </c>
      <c r="CM83" s="21">
        <v>1</v>
      </c>
      <c r="CN83" s="21">
        <v>1</v>
      </c>
      <c r="CO83" s="21">
        <v>1</v>
      </c>
      <c r="CP83" s="17" t="b">
        <v>0</v>
      </c>
      <c r="CQ83" s="17" t="b">
        <v>0</v>
      </c>
      <c r="CR83" s="17" t="b">
        <v>0</v>
      </c>
      <c r="CS83">
        <v>7100</v>
      </c>
      <c r="CT83" t="s">
        <v>1913</v>
      </c>
      <c r="CU83">
        <v>5461.54</v>
      </c>
      <c r="CV83">
        <v>1638.46</v>
      </c>
      <c r="CW83" s="22"/>
    </row>
    <row r="84" spans="1:101" x14ac:dyDescent="0.25">
      <c r="A84" s="20">
        <v>428</v>
      </c>
      <c r="B84" s="17" t="s">
        <v>550</v>
      </c>
      <c r="C84" s="17" t="s">
        <v>460</v>
      </c>
      <c r="D84" s="17" t="s">
        <v>129</v>
      </c>
      <c r="E84" s="17" t="s">
        <v>414</v>
      </c>
      <c r="F84" s="17" t="s">
        <v>1013</v>
      </c>
      <c r="G84" s="17" t="s">
        <v>414</v>
      </c>
      <c r="H84" s="17" t="s">
        <v>1014</v>
      </c>
      <c r="I84" s="17" t="s">
        <v>739</v>
      </c>
      <c r="J84" s="17" t="s">
        <v>16</v>
      </c>
      <c r="K84" s="17" t="b">
        <v>0</v>
      </c>
      <c r="L84" s="17" t="s">
        <v>1015</v>
      </c>
      <c r="M84" s="21">
        <v>38431</v>
      </c>
      <c r="N84" s="17" t="s">
        <v>555</v>
      </c>
      <c r="O84" s="17" t="s">
        <v>17</v>
      </c>
      <c r="P84" s="17" t="s">
        <v>18</v>
      </c>
      <c r="Q84" s="17">
        <v>8</v>
      </c>
      <c r="R84" s="17" t="s">
        <v>107</v>
      </c>
      <c r="S84" s="17">
        <v>40</v>
      </c>
      <c r="T84" s="17" t="s">
        <v>188</v>
      </c>
      <c r="U84" s="21">
        <v>45870</v>
      </c>
      <c r="V84" s="17" t="s">
        <v>29</v>
      </c>
      <c r="W84" s="21">
        <v>45883</v>
      </c>
      <c r="X84" s="17" t="s">
        <v>661</v>
      </c>
      <c r="Y84" s="17" t="s">
        <v>21</v>
      </c>
      <c r="Z84" s="17">
        <v>0</v>
      </c>
      <c r="AA84" s="17" t="s">
        <v>414</v>
      </c>
      <c r="AB84" s="17" t="s">
        <v>414</v>
      </c>
      <c r="AC84" s="17">
        <v>0</v>
      </c>
      <c r="AD84" s="21">
        <v>1</v>
      </c>
      <c r="AE84" s="21">
        <v>1</v>
      </c>
      <c r="AF84" s="17"/>
      <c r="AG84" s="21">
        <v>367</v>
      </c>
      <c r="AH84" s="17">
        <v>0</v>
      </c>
      <c r="AI84" s="21">
        <v>45883</v>
      </c>
      <c r="AJ84" s="17">
        <v>0</v>
      </c>
      <c r="AK84" s="17">
        <v>0</v>
      </c>
      <c r="AL84" s="17">
        <v>0</v>
      </c>
      <c r="AM84" s="17" t="b">
        <v>0</v>
      </c>
      <c r="AN84" s="17" t="b">
        <v>0</v>
      </c>
      <c r="AO84" s="21">
        <v>45883</v>
      </c>
      <c r="AP84" s="21">
        <v>45883</v>
      </c>
      <c r="AQ84" s="17" t="b">
        <v>0</v>
      </c>
      <c r="AR84" s="21">
        <v>45883</v>
      </c>
      <c r="AS84" s="21">
        <v>45883</v>
      </c>
      <c r="AT84" s="21">
        <v>45791</v>
      </c>
      <c r="AU84" s="17" t="b">
        <v>0</v>
      </c>
      <c r="AV84" s="21">
        <v>45962</v>
      </c>
      <c r="AW84" s="17" t="s">
        <v>41</v>
      </c>
      <c r="AX84" s="17" t="s">
        <v>41</v>
      </c>
      <c r="AY84" s="17" t="s">
        <v>414</v>
      </c>
      <c r="AZ84" s="17" t="s">
        <v>450</v>
      </c>
      <c r="BA84" s="21">
        <v>45883</v>
      </c>
      <c r="BB84" s="17">
        <v>0</v>
      </c>
      <c r="BC84" s="17"/>
      <c r="BD84" s="17" t="b">
        <v>0</v>
      </c>
      <c r="BE84" s="17" t="s">
        <v>2084</v>
      </c>
      <c r="BF84" s="21">
        <v>45883</v>
      </c>
      <c r="BG84" s="21">
        <v>46248</v>
      </c>
      <c r="BH84" s="17"/>
      <c r="BI84" s="21">
        <v>46881</v>
      </c>
      <c r="BJ84" s="17">
        <v>0</v>
      </c>
      <c r="BK84" s="17" t="s">
        <v>1016</v>
      </c>
      <c r="BL84" s="17" t="s">
        <v>776</v>
      </c>
      <c r="BM84" s="17" t="b">
        <v>1</v>
      </c>
      <c r="BN84" s="17" t="b">
        <v>0</v>
      </c>
      <c r="BO84" s="17" t="b">
        <v>0</v>
      </c>
      <c r="BP84" s="17" t="b">
        <v>0</v>
      </c>
      <c r="BQ84" s="17" t="b">
        <v>0</v>
      </c>
      <c r="BR84" s="17" t="b">
        <v>0</v>
      </c>
      <c r="BS84" s="17" t="b">
        <v>0</v>
      </c>
      <c r="BT84" s="17" t="b">
        <v>0</v>
      </c>
      <c r="BU84" s="17" t="b">
        <v>0</v>
      </c>
      <c r="BV84" s="17">
        <v>0</v>
      </c>
      <c r="BW84" s="21">
        <v>45901</v>
      </c>
      <c r="BX84" s="17" t="s">
        <v>414</v>
      </c>
      <c r="BY84" s="17" t="s">
        <v>414</v>
      </c>
      <c r="BZ84" s="17">
        <v>0</v>
      </c>
      <c r="CA84" s="21">
        <v>45951</v>
      </c>
      <c r="CB84" s="17" t="s">
        <v>419</v>
      </c>
      <c r="CC84" s="17" t="s">
        <v>2085</v>
      </c>
      <c r="CD84" s="21"/>
      <c r="CE84" s="17"/>
      <c r="CF84" s="17" t="s">
        <v>414</v>
      </c>
      <c r="CG84" s="17" t="b">
        <v>0</v>
      </c>
      <c r="CH84" s="17" t="s">
        <v>425</v>
      </c>
      <c r="CI84" s="17">
        <v>622</v>
      </c>
      <c r="CJ84" s="21">
        <v>1</v>
      </c>
      <c r="CK84" s="21">
        <v>1</v>
      </c>
      <c r="CL84" s="17" t="s">
        <v>414</v>
      </c>
      <c r="CM84" s="21">
        <v>1</v>
      </c>
      <c r="CN84" s="21">
        <v>1</v>
      </c>
      <c r="CO84" s="21">
        <v>1</v>
      </c>
      <c r="CP84" s="17" t="b">
        <v>0</v>
      </c>
      <c r="CQ84" s="17" t="b">
        <v>0</v>
      </c>
      <c r="CR84" s="17" t="b">
        <v>0</v>
      </c>
      <c r="CS84">
        <v>7200</v>
      </c>
      <c r="CT84" t="s">
        <v>1914</v>
      </c>
      <c r="CU84">
        <v>5538.46</v>
      </c>
      <c r="CV84">
        <v>1661.54</v>
      </c>
      <c r="CW84" s="22"/>
    </row>
    <row r="85" spans="1:101" x14ac:dyDescent="0.25">
      <c r="A85" s="20">
        <v>429</v>
      </c>
      <c r="B85" s="17" t="s">
        <v>1017</v>
      </c>
      <c r="C85" s="17" t="s">
        <v>1018</v>
      </c>
      <c r="D85" s="17" t="s">
        <v>130</v>
      </c>
      <c r="E85" s="17" t="s">
        <v>414</v>
      </c>
      <c r="F85" s="17" t="s">
        <v>1019</v>
      </c>
      <c r="G85" s="17" t="s">
        <v>1020</v>
      </c>
      <c r="H85" s="17" t="s">
        <v>1021</v>
      </c>
      <c r="I85" s="17" t="s">
        <v>739</v>
      </c>
      <c r="J85" s="17" t="s">
        <v>16</v>
      </c>
      <c r="K85" s="17" t="b">
        <v>0</v>
      </c>
      <c r="L85" s="17" t="s">
        <v>1022</v>
      </c>
      <c r="M85" s="21">
        <v>39306</v>
      </c>
      <c r="N85" s="17" t="s">
        <v>1023</v>
      </c>
      <c r="O85" s="17" t="s">
        <v>17</v>
      </c>
      <c r="P85" s="17" t="s">
        <v>18</v>
      </c>
      <c r="Q85" s="17">
        <v>1</v>
      </c>
      <c r="R85" s="17" t="s">
        <v>19</v>
      </c>
      <c r="S85" s="17">
        <v>1</v>
      </c>
      <c r="T85" s="17" t="s">
        <v>422</v>
      </c>
      <c r="U85" s="21">
        <v>45923</v>
      </c>
      <c r="V85" s="17" t="s">
        <v>58</v>
      </c>
      <c r="W85" s="21">
        <v>45923</v>
      </c>
      <c r="X85" s="17" t="s">
        <v>58</v>
      </c>
      <c r="Y85" s="17" t="s">
        <v>21</v>
      </c>
      <c r="Z85" s="17">
        <v>0</v>
      </c>
      <c r="AA85" s="17" t="s">
        <v>414</v>
      </c>
      <c r="AB85" s="17" t="s">
        <v>414</v>
      </c>
      <c r="AC85" s="17">
        <v>0</v>
      </c>
      <c r="AD85" s="21">
        <v>1</v>
      </c>
      <c r="AE85" s="21">
        <v>1</v>
      </c>
      <c r="AF85" s="17"/>
      <c r="AG85" s="21">
        <v>367</v>
      </c>
      <c r="AH85" s="17">
        <v>0</v>
      </c>
      <c r="AI85" s="21">
        <v>45923</v>
      </c>
      <c r="AJ85" s="17">
        <v>0</v>
      </c>
      <c r="AK85" s="17">
        <v>0</v>
      </c>
      <c r="AL85" s="17">
        <v>0</v>
      </c>
      <c r="AM85" s="17" t="b">
        <v>0</v>
      </c>
      <c r="AN85" s="17" t="b">
        <v>0</v>
      </c>
      <c r="AO85" s="21">
        <v>45923</v>
      </c>
      <c r="AP85" s="21">
        <v>45923</v>
      </c>
      <c r="AQ85" s="17" t="b">
        <v>0</v>
      </c>
      <c r="AR85" s="21">
        <v>45923</v>
      </c>
      <c r="AS85" s="21">
        <v>45923</v>
      </c>
      <c r="AT85" s="21">
        <v>45831</v>
      </c>
      <c r="AU85" s="17" t="b">
        <v>0</v>
      </c>
      <c r="AV85" s="21">
        <v>46014</v>
      </c>
      <c r="AW85" s="17" t="s">
        <v>23</v>
      </c>
      <c r="AX85" s="17" t="s">
        <v>41</v>
      </c>
      <c r="AY85" s="17" t="s">
        <v>23</v>
      </c>
      <c r="AZ85" s="17" t="s">
        <v>414</v>
      </c>
      <c r="BA85" s="21">
        <v>45923</v>
      </c>
      <c r="BB85" s="17">
        <v>0</v>
      </c>
      <c r="BC85" s="17"/>
      <c r="BD85" s="17" t="b">
        <v>0</v>
      </c>
      <c r="BE85" s="17" t="s">
        <v>2086</v>
      </c>
      <c r="BF85" s="21">
        <v>45923</v>
      </c>
      <c r="BG85" s="21">
        <v>46288</v>
      </c>
      <c r="BH85" s="17"/>
      <c r="BI85" s="21">
        <v>47470</v>
      </c>
      <c r="BJ85" s="17">
        <v>0</v>
      </c>
      <c r="BK85" s="17" t="s">
        <v>879</v>
      </c>
      <c r="BL85" s="17" t="s">
        <v>776</v>
      </c>
      <c r="BM85" s="17" t="b">
        <v>1</v>
      </c>
      <c r="BN85" s="17" t="b">
        <v>1</v>
      </c>
      <c r="BO85" s="17" t="b">
        <v>1</v>
      </c>
      <c r="BP85" s="17" t="b">
        <v>1</v>
      </c>
      <c r="BQ85" s="17" t="b">
        <v>0</v>
      </c>
      <c r="BR85" s="17" t="b">
        <v>1</v>
      </c>
      <c r="BS85" s="17" t="b">
        <v>1</v>
      </c>
      <c r="BT85" s="17" t="b">
        <v>0</v>
      </c>
      <c r="BU85" s="17" t="b">
        <v>1</v>
      </c>
      <c r="BV85" s="17">
        <v>0</v>
      </c>
      <c r="BW85" s="21">
        <v>45953</v>
      </c>
      <c r="BX85" s="17" t="s">
        <v>414</v>
      </c>
      <c r="BY85" s="17" t="s">
        <v>414</v>
      </c>
      <c r="BZ85" s="17">
        <v>0</v>
      </c>
      <c r="CA85" s="21">
        <v>45951</v>
      </c>
      <c r="CB85" s="17" t="s">
        <v>438</v>
      </c>
      <c r="CC85" s="17" t="s">
        <v>1928</v>
      </c>
      <c r="CD85" s="21"/>
      <c r="CE85" s="17"/>
      <c r="CF85" s="17" t="s">
        <v>1024</v>
      </c>
      <c r="CG85" s="17" t="b">
        <v>0</v>
      </c>
      <c r="CH85" s="17" t="s">
        <v>992</v>
      </c>
      <c r="CI85" s="17">
        <v>0</v>
      </c>
      <c r="CJ85" s="21">
        <v>1</v>
      </c>
      <c r="CK85" s="21">
        <v>1</v>
      </c>
      <c r="CL85" s="17" t="s">
        <v>414</v>
      </c>
      <c r="CM85" s="21">
        <v>1</v>
      </c>
      <c r="CN85" s="21">
        <v>1</v>
      </c>
      <c r="CO85" s="21">
        <v>1</v>
      </c>
      <c r="CP85" s="17" t="b">
        <v>0</v>
      </c>
      <c r="CQ85" s="17" t="b">
        <v>0</v>
      </c>
      <c r="CR85" s="17" t="b">
        <v>0</v>
      </c>
      <c r="CS85">
        <v>7100</v>
      </c>
      <c r="CT85" t="s">
        <v>1913</v>
      </c>
      <c r="CU85">
        <v>5461.54</v>
      </c>
      <c r="CV85">
        <v>1638.46</v>
      </c>
      <c r="CW85" s="22"/>
    </row>
    <row r="86" spans="1:101" x14ac:dyDescent="0.25">
      <c r="A86" s="20">
        <v>430</v>
      </c>
      <c r="B86" s="17" t="s">
        <v>985</v>
      </c>
      <c r="C86" s="17" t="s">
        <v>1025</v>
      </c>
      <c r="D86" s="17" t="s">
        <v>131</v>
      </c>
      <c r="E86" s="17" t="s">
        <v>414</v>
      </c>
      <c r="F86" s="17" t="s">
        <v>1026</v>
      </c>
      <c r="G86" s="17" t="s">
        <v>414</v>
      </c>
      <c r="H86" s="17" t="s">
        <v>414</v>
      </c>
      <c r="I86" s="17" t="s">
        <v>432</v>
      </c>
      <c r="J86" s="17" t="s">
        <v>16</v>
      </c>
      <c r="K86" s="17" t="b">
        <v>0</v>
      </c>
      <c r="L86" s="17" t="s">
        <v>1027</v>
      </c>
      <c r="M86" s="21">
        <v>30688</v>
      </c>
      <c r="N86" s="17" t="s">
        <v>1028</v>
      </c>
      <c r="O86" s="17" t="s">
        <v>17</v>
      </c>
      <c r="P86" s="17" t="s">
        <v>18</v>
      </c>
      <c r="Q86" s="17">
        <v>2</v>
      </c>
      <c r="R86" s="17" t="s">
        <v>50</v>
      </c>
      <c r="S86" s="17">
        <v>42</v>
      </c>
      <c r="T86" s="17" t="s">
        <v>643</v>
      </c>
      <c r="U86" s="21">
        <v>45927</v>
      </c>
      <c r="V86" s="17" t="s">
        <v>61</v>
      </c>
      <c r="W86" s="21">
        <v>45928</v>
      </c>
      <c r="X86" s="17" t="s">
        <v>1029</v>
      </c>
      <c r="Y86" s="17" t="s">
        <v>21</v>
      </c>
      <c r="Z86" s="17">
        <v>0</v>
      </c>
      <c r="AA86" s="17" t="s">
        <v>414</v>
      </c>
      <c r="AB86" s="17" t="s">
        <v>414</v>
      </c>
      <c r="AC86" s="17">
        <v>0</v>
      </c>
      <c r="AD86" s="21">
        <v>1</v>
      </c>
      <c r="AE86" s="21">
        <v>1</v>
      </c>
      <c r="AF86" s="17"/>
      <c r="AG86" s="21">
        <v>367</v>
      </c>
      <c r="AH86" s="17">
        <v>0</v>
      </c>
      <c r="AI86" s="21">
        <v>45928</v>
      </c>
      <c r="AJ86" s="17">
        <v>0</v>
      </c>
      <c r="AK86" s="17">
        <v>0</v>
      </c>
      <c r="AL86" s="17">
        <v>0</v>
      </c>
      <c r="AM86" s="17" t="b">
        <v>0</v>
      </c>
      <c r="AN86" s="17" t="b">
        <v>0</v>
      </c>
      <c r="AO86" s="21">
        <v>45928</v>
      </c>
      <c r="AP86" s="21">
        <v>45928</v>
      </c>
      <c r="AQ86" s="17" t="b">
        <v>0</v>
      </c>
      <c r="AR86" s="21">
        <v>45928</v>
      </c>
      <c r="AS86" s="21">
        <v>45928</v>
      </c>
      <c r="AT86" s="21">
        <v>45836</v>
      </c>
      <c r="AU86" s="17" t="b">
        <v>1</v>
      </c>
      <c r="AV86" s="21">
        <v>46018</v>
      </c>
      <c r="AW86" s="17" t="s">
        <v>23</v>
      </c>
      <c r="AX86" s="17" t="s">
        <v>23</v>
      </c>
      <c r="AY86" s="17" t="s">
        <v>414</v>
      </c>
      <c r="AZ86" s="17" t="s">
        <v>450</v>
      </c>
      <c r="BA86" s="21">
        <v>45928</v>
      </c>
      <c r="BB86" s="17">
        <v>0</v>
      </c>
      <c r="BC86" s="17"/>
      <c r="BD86" s="17" t="b">
        <v>0</v>
      </c>
      <c r="BE86" s="17" t="s">
        <v>2087</v>
      </c>
      <c r="BF86" s="21">
        <v>45928</v>
      </c>
      <c r="BG86" s="21">
        <v>46293</v>
      </c>
      <c r="BH86" s="17"/>
      <c r="BI86" s="21">
        <v>1</v>
      </c>
      <c r="BJ86" s="17">
        <v>0</v>
      </c>
      <c r="BK86" s="17" t="s">
        <v>999</v>
      </c>
      <c r="BL86" s="17" t="s">
        <v>776</v>
      </c>
      <c r="BM86" s="17" t="b">
        <v>1</v>
      </c>
      <c r="BN86" s="17" t="b">
        <v>1</v>
      </c>
      <c r="BO86" s="17" t="b">
        <v>1</v>
      </c>
      <c r="BP86" s="17" t="b">
        <v>1</v>
      </c>
      <c r="BQ86" s="17" t="b">
        <v>0</v>
      </c>
      <c r="BR86" s="17" t="b">
        <v>1</v>
      </c>
      <c r="BS86" s="17" t="b">
        <v>1</v>
      </c>
      <c r="BT86" s="17" t="b">
        <v>0</v>
      </c>
      <c r="BU86" s="17" t="b">
        <v>1</v>
      </c>
      <c r="BV86" s="17">
        <v>0</v>
      </c>
      <c r="BW86" s="21">
        <v>45957</v>
      </c>
      <c r="BX86" s="17" t="s">
        <v>414</v>
      </c>
      <c r="BY86" s="17" t="s">
        <v>414</v>
      </c>
      <c r="BZ86" s="17">
        <v>0</v>
      </c>
      <c r="CA86" s="21">
        <v>45951</v>
      </c>
      <c r="CB86" s="17" t="s">
        <v>438</v>
      </c>
      <c r="CC86" s="17" t="s">
        <v>2088</v>
      </c>
      <c r="CD86" s="21"/>
      <c r="CE86" s="17"/>
      <c r="CF86" s="17" t="s">
        <v>1030</v>
      </c>
      <c r="CG86" s="17" t="b">
        <v>0</v>
      </c>
      <c r="CH86" s="17" t="s">
        <v>992</v>
      </c>
      <c r="CI86" s="17">
        <v>0</v>
      </c>
      <c r="CJ86" s="21">
        <v>1</v>
      </c>
      <c r="CK86" s="21">
        <v>1</v>
      </c>
      <c r="CL86" s="17" t="s">
        <v>414</v>
      </c>
      <c r="CM86" s="21">
        <v>1</v>
      </c>
      <c r="CN86" s="21">
        <v>1</v>
      </c>
      <c r="CO86" s="21">
        <v>1</v>
      </c>
      <c r="CP86" s="17" t="b">
        <v>0</v>
      </c>
      <c r="CQ86" s="17" t="b">
        <v>0</v>
      </c>
      <c r="CR86" s="17" t="b">
        <v>0</v>
      </c>
      <c r="CS86">
        <v>7500</v>
      </c>
      <c r="CT86" t="s">
        <v>1916</v>
      </c>
      <c r="CU86">
        <v>5769.23</v>
      </c>
      <c r="CV86">
        <v>1730.77</v>
      </c>
      <c r="CW86" s="22"/>
    </row>
    <row r="87" spans="1:101" x14ac:dyDescent="0.25">
      <c r="A87" s="20">
        <v>431</v>
      </c>
      <c r="B87" s="17" t="s">
        <v>1031</v>
      </c>
      <c r="C87" s="17" t="s">
        <v>1032</v>
      </c>
      <c r="D87" s="17" t="s">
        <v>132</v>
      </c>
      <c r="E87" s="17" t="s">
        <v>414</v>
      </c>
      <c r="F87" s="17" t="s">
        <v>414</v>
      </c>
      <c r="G87" s="17" t="s">
        <v>414</v>
      </c>
      <c r="H87" s="17" t="s">
        <v>1033</v>
      </c>
      <c r="I87" s="17" t="s">
        <v>432</v>
      </c>
      <c r="J87" s="17" t="s">
        <v>16</v>
      </c>
      <c r="K87" s="17" t="b">
        <v>0</v>
      </c>
      <c r="L87" s="17" t="s">
        <v>1034</v>
      </c>
      <c r="M87" s="21">
        <v>30681</v>
      </c>
      <c r="N87" s="17" t="s">
        <v>1035</v>
      </c>
      <c r="O87" s="17" t="s">
        <v>17</v>
      </c>
      <c r="P87" s="17" t="s">
        <v>18</v>
      </c>
      <c r="Q87" s="17">
        <v>2</v>
      </c>
      <c r="R87" s="17" t="s">
        <v>50</v>
      </c>
      <c r="S87" s="17">
        <v>20</v>
      </c>
      <c r="T87" s="17" t="s">
        <v>1036</v>
      </c>
      <c r="U87" s="21">
        <v>45927</v>
      </c>
      <c r="V87" s="17" t="s">
        <v>58</v>
      </c>
      <c r="W87" s="21">
        <v>45930</v>
      </c>
      <c r="X87" s="17" t="s">
        <v>1037</v>
      </c>
      <c r="Y87" s="17" t="s">
        <v>21</v>
      </c>
      <c r="Z87" s="17">
        <v>0</v>
      </c>
      <c r="AA87" s="17" t="s">
        <v>414</v>
      </c>
      <c r="AB87" s="17" t="s">
        <v>414</v>
      </c>
      <c r="AC87" s="17">
        <v>0</v>
      </c>
      <c r="AD87" s="21">
        <v>1</v>
      </c>
      <c r="AE87" s="21">
        <v>1</v>
      </c>
      <c r="AF87" s="17"/>
      <c r="AG87" s="21">
        <v>367</v>
      </c>
      <c r="AH87" s="17">
        <v>0</v>
      </c>
      <c r="AI87" s="21">
        <v>45930</v>
      </c>
      <c r="AJ87" s="17">
        <v>0</v>
      </c>
      <c r="AK87" s="17">
        <v>0</v>
      </c>
      <c r="AL87" s="17">
        <v>0</v>
      </c>
      <c r="AM87" s="17" t="b">
        <v>0</v>
      </c>
      <c r="AN87" s="17" t="b">
        <v>0</v>
      </c>
      <c r="AO87" s="21">
        <v>45930</v>
      </c>
      <c r="AP87" s="21">
        <v>45930</v>
      </c>
      <c r="AQ87" s="17" t="b">
        <v>0</v>
      </c>
      <c r="AR87" s="21">
        <v>45930</v>
      </c>
      <c r="AS87" s="21">
        <v>45930</v>
      </c>
      <c r="AT87" s="21">
        <v>45838</v>
      </c>
      <c r="AU87" s="17" t="b">
        <v>0</v>
      </c>
      <c r="AV87" s="21">
        <v>46018</v>
      </c>
      <c r="AW87" s="17" t="s">
        <v>27</v>
      </c>
      <c r="AX87" s="17" t="s">
        <v>27</v>
      </c>
      <c r="AY87" s="17" t="s">
        <v>414</v>
      </c>
      <c r="AZ87" s="17" t="s">
        <v>450</v>
      </c>
      <c r="BA87" s="21">
        <v>45930</v>
      </c>
      <c r="BB87" s="17">
        <v>0</v>
      </c>
      <c r="BC87" s="17"/>
      <c r="BD87" s="17" t="b">
        <v>0</v>
      </c>
      <c r="BE87" s="17" t="s">
        <v>2087</v>
      </c>
      <c r="BF87" s="21">
        <v>45930</v>
      </c>
      <c r="BG87" s="21">
        <v>46295</v>
      </c>
      <c r="BH87" s="17"/>
      <c r="BI87" s="21">
        <v>47925</v>
      </c>
      <c r="BJ87" s="17">
        <v>0</v>
      </c>
      <c r="BK87" s="17" t="s">
        <v>443</v>
      </c>
      <c r="BL87" s="17" t="s">
        <v>1038</v>
      </c>
      <c r="BM87" s="17" t="b">
        <v>0</v>
      </c>
      <c r="BN87" s="17" t="b">
        <v>0</v>
      </c>
      <c r="BO87" s="17" t="b">
        <v>0</v>
      </c>
      <c r="BP87" s="17" t="b">
        <v>0</v>
      </c>
      <c r="BQ87" s="17" t="b">
        <v>0</v>
      </c>
      <c r="BR87" s="17" t="b">
        <v>0</v>
      </c>
      <c r="BS87" s="17" t="b">
        <v>0</v>
      </c>
      <c r="BT87" s="17" t="b">
        <v>0</v>
      </c>
      <c r="BU87" s="17" t="b">
        <v>0</v>
      </c>
      <c r="BV87" s="17">
        <v>0</v>
      </c>
      <c r="BW87" s="21">
        <v>45957</v>
      </c>
      <c r="BX87" s="17" t="s">
        <v>414</v>
      </c>
      <c r="BY87" s="17" t="s">
        <v>414</v>
      </c>
      <c r="BZ87" s="17">
        <v>0</v>
      </c>
      <c r="CA87" s="21">
        <v>45951</v>
      </c>
      <c r="CB87" s="17" t="s">
        <v>438</v>
      </c>
      <c r="CC87" s="17" t="s">
        <v>2089</v>
      </c>
      <c r="CD87" s="21"/>
      <c r="CE87" s="17"/>
      <c r="CF87" s="17" t="s">
        <v>1039</v>
      </c>
      <c r="CG87" s="17" t="b">
        <v>0</v>
      </c>
      <c r="CH87" s="17" t="s">
        <v>1012</v>
      </c>
      <c r="CI87" s="17">
        <v>0</v>
      </c>
      <c r="CJ87" s="21">
        <v>1</v>
      </c>
      <c r="CK87" s="21">
        <v>1</v>
      </c>
      <c r="CL87" s="17" t="s">
        <v>414</v>
      </c>
      <c r="CM87" s="21">
        <v>1</v>
      </c>
      <c r="CN87" s="21">
        <v>1</v>
      </c>
      <c r="CO87" s="21">
        <v>1</v>
      </c>
      <c r="CP87" s="17" t="b">
        <v>0</v>
      </c>
      <c r="CQ87" s="17" t="b">
        <v>0</v>
      </c>
      <c r="CR87" s="17" t="b">
        <v>0</v>
      </c>
      <c r="CS87">
        <v>7500</v>
      </c>
      <c r="CT87" t="s">
        <v>1916</v>
      </c>
      <c r="CU87">
        <v>5769.23</v>
      </c>
      <c r="CV87">
        <v>1730.77</v>
      </c>
      <c r="CW87" s="22"/>
    </row>
    <row r="88" spans="1:101" x14ac:dyDescent="0.25">
      <c r="A88" s="20">
        <v>432</v>
      </c>
      <c r="B88" s="17" t="s">
        <v>1040</v>
      </c>
      <c r="C88" s="17" t="s">
        <v>1041</v>
      </c>
      <c r="D88" s="17" t="s">
        <v>133</v>
      </c>
      <c r="E88" s="17" t="s">
        <v>414</v>
      </c>
      <c r="F88" s="17" t="s">
        <v>1042</v>
      </c>
      <c r="G88" s="17" t="s">
        <v>414</v>
      </c>
      <c r="H88" s="17" t="s">
        <v>1043</v>
      </c>
      <c r="I88" s="17" t="s">
        <v>432</v>
      </c>
      <c r="J88" s="17" t="s">
        <v>16</v>
      </c>
      <c r="K88" s="17" t="b">
        <v>0</v>
      </c>
      <c r="L88" s="17" t="s">
        <v>1044</v>
      </c>
      <c r="M88" s="21">
        <v>35096</v>
      </c>
      <c r="N88" s="17" t="s">
        <v>1045</v>
      </c>
      <c r="O88" s="17" t="s">
        <v>17</v>
      </c>
      <c r="P88" s="17" t="s">
        <v>18</v>
      </c>
      <c r="Q88" s="17">
        <v>1</v>
      </c>
      <c r="R88" s="17" t="s">
        <v>19</v>
      </c>
      <c r="S88" s="17">
        <v>1</v>
      </c>
      <c r="T88" s="17" t="s">
        <v>422</v>
      </c>
      <c r="U88" s="21">
        <v>45927</v>
      </c>
      <c r="V88" s="17" t="s">
        <v>58</v>
      </c>
      <c r="W88" s="21">
        <v>45928</v>
      </c>
      <c r="X88" s="17" t="s">
        <v>58</v>
      </c>
      <c r="Y88" s="17" t="s">
        <v>21</v>
      </c>
      <c r="Z88" s="17">
        <v>0</v>
      </c>
      <c r="AA88" s="17" t="s">
        <v>414</v>
      </c>
      <c r="AB88" s="17" t="s">
        <v>414</v>
      </c>
      <c r="AC88" s="17">
        <v>0</v>
      </c>
      <c r="AD88" s="21">
        <v>1</v>
      </c>
      <c r="AE88" s="21">
        <v>1</v>
      </c>
      <c r="AF88" s="17"/>
      <c r="AG88" s="21">
        <v>367</v>
      </c>
      <c r="AH88" s="17">
        <v>0</v>
      </c>
      <c r="AI88" s="21">
        <v>45928</v>
      </c>
      <c r="AJ88" s="17">
        <v>0</v>
      </c>
      <c r="AK88" s="17">
        <v>0</v>
      </c>
      <c r="AL88" s="17">
        <v>0</v>
      </c>
      <c r="AM88" s="17" t="b">
        <v>0</v>
      </c>
      <c r="AN88" s="17" t="b">
        <v>0</v>
      </c>
      <c r="AO88" s="21">
        <v>45928</v>
      </c>
      <c r="AP88" s="21">
        <v>45928</v>
      </c>
      <c r="AQ88" s="17" t="b">
        <v>0</v>
      </c>
      <c r="AR88" s="21">
        <v>45928</v>
      </c>
      <c r="AS88" s="21">
        <v>45928</v>
      </c>
      <c r="AT88" s="21">
        <v>45836</v>
      </c>
      <c r="AU88" s="17" t="b">
        <v>0</v>
      </c>
      <c r="AV88" s="21">
        <v>46018</v>
      </c>
      <c r="AW88" s="17" t="s">
        <v>41</v>
      </c>
      <c r="AX88" s="17" t="s">
        <v>23</v>
      </c>
      <c r="AY88" s="17" t="s">
        <v>41</v>
      </c>
      <c r="AZ88" s="17" t="s">
        <v>414</v>
      </c>
      <c r="BA88" s="21">
        <v>45928</v>
      </c>
      <c r="BB88" s="17">
        <v>0</v>
      </c>
      <c r="BC88" s="17"/>
      <c r="BD88" s="17" t="b">
        <v>0</v>
      </c>
      <c r="BE88" s="17" t="s">
        <v>2087</v>
      </c>
      <c r="BF88" s="21">
        <v>45928</v>
      </c>
      <c r="BG88" s="21">
        <v>46293</v>
      </c>
      <c r="BH88" s="17"/>
      <c r="BI88" s="21">
        <v>47147</v>
      </c>
      <c r="BJ88" s="17">
        <v>0</v>
      </c>
      <c r="BK88" s="17" t="s">
        <v>436</v>
      </c>
      <c r="BL88" s="17" t="s">
        <v>1046</v>
      </c>
      <c r="BM88" s="17" t="b">
        <v>1</v>
      </c>
      <c r="BN88" s="17" t="b">
        <v>1</v>
      </c>
      <c r="BO88" s="17" t="b">
        <v>1</v>
      </c>
      <c r="BP88" s="17" t="b">
        <v>1</v>
      </c>
      <c r="BQ88" s="17" t="b">
        <v>0</v>
      </c>
      <c r="BR88" s="17" t="b">
        <v>1</v>
      </c>
      <c r="BS88" s="17" t="b">
        <v>1</v>
      </c>
      <c r="BT88" s="17" t="b">
        <v>0</v>
      </c>
      <c r="BU88" s="17" t="b">
        <v>1</v>
      </c>
      <c r="BV88" s="17">
        <v>0</v>
      </c>
      <c r="BW88" s="21">
        <v>45957</v>
      </c>
      <c r="BX88" s="17" t="s">
        <v>414</v>
      </c>
      <c r="BY88" s="17" t="s">
        <v>414</v>
      </c>
      <c r="BZ88" s="17">
        <v>0</v>
      </c>
      <c r="CA88" s="21">
        <v>45951</v>
      </c>
      <c r="CB88" s="17" t="s">
        <v>438</v>
      </c>
      <c r="CC88" s="17" t="s">
        <v>2090</v>
      </c>
      <c r="CD88" s="21"/>
      <c r="CE88" s="17"/>
      <c r="CF88" s="17" t="s">
        <v>1047</v>
      </c>
      <c r="CG88" s="17" t="b">
        <v>0</v>
      </c>
      <c r="CH88" s="17" t="s">
        <v>1012</v>
      </c>
      <c r="CI88" s="17">
        <v>0</v>
      </c>
      <c r="CJ88" s="21">
        <v>1</v>
      </c>
      <c r="CK88" s="21">
        <v>1</v>
      </c>
      <c r="CL88" s="17" t="s">
        <v>414</v>
      </c>
      <c r="CM88" s="21">
        <v>1</v>
      </c>
      <c r="CN88" s="21">
        <v>1</v>
      </c>
      <c r="CO88" s="21">
        <v>1</v>
      </c>
      <c r="CP88" s="17" t="b">
        <v>0</v>
      </c>
      <c r="CQ88" s="17" t="b">
        <v>0</v>
      </c>
      <c r="CR88" s="17" t="b">
        <v>0</v>
      </c>
      <c r="CS88">
        <v>7100</v>
      </c>
      <c r="CT88" t="s">
        <v>1913</v>
      </c>
      <c r="CU88">
        <v>5461.54</v>
      </c>
      <c r="CV88">
        <v>1638.46</v>
      </c>
      <c r="CW88" s="22"/>
    </row>
    <row r="89" spans="1:101" x14ac:dyDescent="0.25">
      <c r="A89" s="20">
        <v>433</v>
      </c>
      <c r="B89" s="17" t="s">
        <v>426</v>
      </c>
      <c r="C89" s="17" t="s">
        <v>691</v>
      </c>
      <c r="D89" s="17" t="s">
        <v>134</v>
      </c>
      <c r="E89" s="17" t="s">
        <v>414</v>
      </c>
      <c r="F89" s="17" t="s">
        <v>1048</v>
      </c>
      <c r="G89" s="17" t="s">
        <v>414</v>
      </c>
      <c r="H89" s="17" t="s">
        <v>1049</v>
      </c>
      <c r="I89" s="17" t="s">
        <v>432</v>
      </c>
      <c r="J89" s="17" t="s">
        <v>16</v>
      </c>
      <c r="K89" s="17" t="b">
        <v>0</v>
      </c>
      <c r="L89" s="17" t="s">
        <v>1050</v>
      </c>
      <c r="M89" s="21">
        <v>37156</v>
      </c>
      <c r="N89" s="17" t="s">
        <v>1051</v>
      </c>
      <c r="O89" s="17" t="s">
        <v>17</v>
      </c>
      <c r="P89" s="17" t="s">
        <v>18</v>
      </c>
      <c r="Q89" s="17">
        <v>1</v>
      </c>
      <c r="R89" s="17" t="s">
        <v>19</v>
      </c>
      <c r="S89" s="17">
        <v>1</v>
      </c>
      <c r="T89" s="17" t="s">
        <v>422</v>
      </c>
      <c r="U89" s="21">
        <v>45928</v>
      </c>
      <c r="V89" s="17" t="s">
        <v>29</v>
      </c>
      <c r="W89" s="21">
        <v>45928</v>
      </c>
      <c r="X89" s="17" t="s">
        <v>29</v>
      </c>
      <c r="Y89" s="17" t="s">
        <v>21</v>
      </c>
      <c r="Z89" s="17">
        <v>0</v>
      </c>
      <c r="AA89" s="17" t="s">
        <v>414</v>
      </c>
      <c r="AB89" s="17" t="s">
        <v>414</v>
      </c>
      <c r="AC89" s="17">
        <v>0</v>
      </c>
      <c r="AD89" s="21">
        <v>1</v>
      </c>
      <c r="AE89" s="21">
        <v>1</v>
      </c>
      <c r="AF89" s="17"/>
      <c r="AG89" s="21">
        <v>367</v>
      </c>
      <c r="AH89" s="17">
        <v>0</v>
      </c>
      <c r="AI89" s="21">
        <v>45928</v>
      </c>
      <c r="AJ89" s="17">
        <v>0</v>
      </c>
      <c r="AK89" s="17">
        <v>0</v>
      </c>
      <c r="AL89" s="17">
        <v>0</v>
      </c>
      <c r="AM89" s="17" t="b">
        <v>0</v>
      </c>
      <c r="AN89" s="17" t="b">
        <v>0</v>
      </c>
      <c r="AO89" s="21">
        <v>45928</v>
      </c>
      <c r="AP89" s="21">
        <v>45928</v>
      </c>
      <c r="AQ89" s="17" t="b">
        <v>0</v>
      </c>
      <c r="AR89" s="21">
        <v>45928</v>
      </c>
      <c r="AS89" s="21">
        <v>45928</v>
      </c>
      <c r="AT89" s="21">
        <v>45836</v>
      </c>
      <c r="AU89" s="17" t="b">
        <v>0</v>
      </c>
      <c r="AV89" s="21">
        <v>46019</v>
      </c>
      <c r="AW89" s="17" t="s">
        <v>23</v>
      </c>
      <c r="AX89" s="17" t="s">
        <v>41</v>
      </c>
      <c r="AY89" s="17" t="s">
        <v>23</v>
      </c>
      <c r="AZ89" s="17" t="s">
        <v>414</v>
      </c>
      <c r="BA89" s="21">
        <v>45928</v>
      </c>
      <c r="BB89" s="17">
        <v>0</v>
      </c>
      <c r="BC89" s="17"/>
      <c r="BD89" s="17" t="b">
        <v>0</v>
      </c>
      <c r="BE89" s="17" t="s">
        <v>2091</v>
      </c>
      <c r="BF89" s="21">
        <v>45928</v>
      </c>
      <c r="BG89" s="21">
        <v>46293</v>
      </c>
      <c r="BH89" s="17"/>
      <c r="BI89" s="21">
        <v>48062</v>
      </c>
      <c r="BJ89" s="17">
        <v>0</v>
      </c>
      <c r="BK89" s="17" t="s">
        <v>436</v>
      </c>
      <c r="BL89" s="17" t="s">
        <v>776</v>
      </c>
      <c r="BM89" s="17" t="b">
        <v>1</v>
      </c>
      <c r="BN89" s="17" t="b">
        <v>1</v>
      </c>
      <c r="BO89" s="17" t="b">
        <v>1</v>
      </c>
      <c r="BP89" s="17" t="b">
        <v>1</v>
      </c>
      <c r="BQ89" s="17" t="b">
        <v>0</v>
      </c>
      <c r="BR89" s="17" t="b">
        <v>1</v>
      </c>
      <c r="BS89" s="17" t="b">
        <v>1</v>
      </c>
      <c r="BT89" s="17" t="b">
        <v>0</v>
      </c>
      <c r="BU89" s="17" t="b">
        <v>1</v>
      </c>
      <c r="BV89" s="17">
        <v>0</v>
      </c>
      <c r="BW89" s="21">
        <v>45958</v>
      </c>
      <c r="BX89" s="17" t="s">
        <v>414</v>
      </c>
      <c r="BY89" s="17" t="s">
        <v>414</v>
      </c>
      <c r="BZ89" s="17">
        <v>0</v>
      </c>
      <c r="CA89" s="21">
        <v>45951</v>
      </c>
      <c r="CB89" s="17" t="s">
        <v>438</v>
      </c>
      <c r="CC89" s="17" t="s">
        <v>2092</v>
      </c>
      <c r="CD89" s="21"/>
      <c r="CE89" s="17"/>
      <c r="CF89" s="17" t="s">
        <v>1052</v>
      </c>
      <c r="CG89" s="17" t="b">
        <v>0</v>
      </c>
      <c r="CH89" s="17" t="s">
        <v>1012</v>
      </c>
      <c r="CI89" s="17">
        <v>0</v>
      </c>
      <c r="CJ89" s="21">
        <v>1</v>
      </c>
      <c r="CK89" s="21">
        <v>1</v>
      </c>
      <c r="CL89" s="17" t="s">
        <v>414</v>
      </c>
      <c r="CM89" s="21">
        <v>1</v>
      </c>
      <c r="CN89" s="21">
        <v>1</v>
      </c>
      <c r="CO89" s="21">
        <v>1</v>
      </c>
      <c r="CP89" s="17" t="b">
        <v>0</v>
      </c>
      <c r="CQ89" s="17" t="b">
        <v>0</v>
      </c>
      <c r="CR89" s="17" t="b">
        <v>0</v>
      </c>
      <c r="CS89">
        <v>7100</v>
      </c>
      <c r="CT89" t="s">
        <v>1913</v>
      </c>
      <c r="CU89">
        <v>5461.54</v>
      </c>
      <c r="CV89">
        <v>1638.46</v>
      </c>
      <c r="CW89" s="22"/>
    </row>
    <row r="90" spans="1:101" x14ac:dyDescent="0.25">
      <c r="A90" s="20">
        <v>434</v>
      </c>
      <c r="B90" s="17" t="s">
        <v>1053</v>
      </c>
      <c r="C90" s="17" t="s">
        <v>985</v>
      </c>
      <c r="D90" s="17" t="s">
        <v>135</v>
      </c>
      <c r="E90" s="17" t="s">
        <v>414</v>
      </c>
      <c r="F90" s="17" t="s">
        <v>668</v>
      </c>
      <c r="G90" s="17" t="s">
        <v>414</v>
      </c>
      <c r="H90" s="17" t="s">
        <v>1054</v>
      </c>
      <c r="I90" s="17" t="s">
        <v>432</v>
      </c>
      <c r="J90" s="17" t="s">
        <v>16</v>
      </c>
      <c r="K90" s="17" t="b">
        <v>0</v>
      </c>
      <c r="L90" s="17" t="s">
        <v>1055</v>
      </c>
      <c r="M90" s="21">
        <v>34634</v>
      </c>
      <c r="N90" s="17" t="s">
        <v>1056</v>
      </c>
      <c r="O90" s="17" t="s">
        <v>17</v>
      </c>
      <c r="P90" s="17" t="s">
        <v>18</v>
      </c>
      <c r="Q90" s="17">
        <v>1</v>
      </c>
      <c r="R90" s="17" t="s">
        <v>19</v>
      </c>
      <c r="S90" s="17">
        <v>1</v>
      </c>
      <c r="T90" s="17" t="s">
        <v>422</v>
      </c>
      <c r="U90" s="21">
        <v>45929</v>
      </c>
      <c r="V90" s="17" t="s">
        <v>29</v>
      </c>
      <c r="W90" s="21">
        <v>45929</v>
      </c>
      <c r="X90" s="17" t="s">
        <v>29</v>
      </c>
      <c r="Y90" s="17" t="s">
        <v>21</v>
      </c>
      <c r="Z90" s="17">
        <v>0</v>
      </c>
      <c r="AA90" s="17" t="s">
        <v>414</v>
      </c>
      <c r="AB90" s="17" t="s">
        <v>414</v>
      </c>
      <c r="AC90" s="17">
        <v>0</v>
      </c>
      <c r="AD90" s="21">
        <v>1</v>
      </c>
      <c r="AE90" s="21">
        <v>1</v>
      </c>
      <c r="AF90" s="17"/>
      <c r="AG90" s="21">
        <v>367</v>
      </c>
      <c r="AH90" s="17">
        <v>0</v>
      </c>
      <c r="AI90" s="21">
        <v>45929</v>
      </c>
      <c r="AJ90" s="17">
        <v>0</v>
      </c>
      <c r="AK90" s="17">
        <v>0</v>
      </c>
      <c r="AL90" s="17">
        <v>0</v>
      </c>
      <c r="AM90" s="17" t="b">
        <v>0</v>
      </c>
      <c r="AN90" s="17" t="b">
        <v>0</v>
      </c>
      <c r="AO90" s="21">
        <v>45929</v>
      </c>
      <c r="AP90" s="21">
        <v>45929</v>
      </c>
      <c r="AQ90" s="17" t="b">
        <v>0</v>
      </c>
      <c r="AR90" s="21">
        <v>45929</v>
      </c>
      <c r="AS90" s="21">
        <v>45929</v>
      </c>
      <c r="AT90" s="21">
        <v>45837</v>
      </c>
      <c r="AU90" s="17" t="b">
        <v>0</v>
      </c>
      <c r="AV90" s="21">
        <v>46020</v>
      </c>
      <c r="AW90" s="17" t="s">
        <v>23</v>
      </c>
      <c r="AX90" s="17" t="s">
        <v>41</v>
      </c>
      <c r="AY90" s="17" t="s">
        <v>23</v>
      </c>
      <c r="AZ90" s="17" t="s">
        <v>414</v>
      </c>
      <c r="BA90" s="21">
        <v>45929</v>
      </c>
      <c r="BB90" s="17">
        <v>0</v>
      </c>
      <c r="BC90" s="17"/>
      <c r="BD90" s="17" t="b">
        <v>0</v>
      </c>
      <c r="BE90" s="17" t="s">
        <v>2093</v>
      </c>
      <c r="BF90" s="21">
        <v>45929</v>
      </c>
      <c r="BG90" s="21">
        <v>46294</v>
      </c>
      <c r="BH90" s="17"/>
      <c r="BI90" s="21">
        <v>1</v>
      </c>
      <c r="BJ90" s="17">
        <v>0</v>
      </c>
      <c r="BK90" s="17" t="s">
        <v>436</v>
      </c>
      <c r="BL90" s="17" t="s">
        <v>1057</v>
      </c>
      <c r="BM90" s="17" t="b">
        <v>1</v>
      </c>
      <c r="BN90" s="17" t="b">
        <v>0</v>
      </c>
      <c r="BO90" s="17" t="b">
        <v>1</v>
      </c>
      <c r="BP90" s="17" t="b">
        <v>1</v>
      </c>
      <c r="BQ90" s="17" t="b">
        <v>0</v>
      </c>
      <c r="BR90" s="17" t="b">
        <v>1</v>
      </c>
      <c r="BS90" s="17" t="b">
        <v>1</v>
      </c>
      <c r="BT90" s="17" t="b">
        <v>0</v>
      </c>
      <c r="BU90" s="17" t="b">
        <v>1</v>
      </c>
      <c r="BV90" s="17">
        <v>0</v>
      </c>
      <c r="BW90" s="21">
        <v>45959</v>
      </c>
      <c r="BX90" s="17" t="s">
        <v>414</v>
      </c>
      <c r="BY90" s="17" t="s">
        <v>414</v>
      </c>
      <c r="BZ90" s="17">
        <v>0</v>
      </c>
      <c r="CA90" s="21">
        <v>45951</v>
      </c>
      <c r="CB90" s="17" t="s">
        <v>438</v>
      </c>
      <c r="CC90" s="17" t="s">
        <v>2094</v>
      </c>
      <c r="CD90" s="21"/>
      <c r="CE90" s="17"/>
      <c r="CF90" s="17" t="s">
        <v>1058</v>
      </c>
      <c r="CG90" s="17" t="b">
        <v>0</v>
      </c>
      <c r="CH90" s="17" t="s">
        <v>992</v>
      </c>
      <c r="CI90" s="17">
        <v>0</v>
      </c>
      <c r="CJ90" s="21">
        <v>1</v>
      </c>
      <c r="CK90" s="21">
        <v>1</v>
      </c>
      <c r="CL90" s="17" t="s">
        <v>414</v>
      </c>
      <c r="CM90" s="21">
        <v>1</v>
      </c>
      <c r="CN90" s="21">
        <v>1</v>
      </c>
      <c r="CO90" s="21">
        <v>1</v>
      </c>
      <c r="CP90" s="17" t="b">
        <v>0</v>
      </c>
      <c r="CQ90" s="17" t="b">
        <v>0</v>
      </c>
      <c r="CR90" s="17" t="b">
        <v>0</v>
      </c>
      <c r="CS90">
        <v>7100</v>
      </c>
      <c r="CT90" t="s">
        <v>1913</v>
      </c>
      <c r="CU90">
        <v>5461.54</v>
      </c>
      <c r="CV90">
        <v>1638.46</v>
      </c>
      <c r="CW90" s="22"/>
    </row>
    <row r="91" spans="1:101" x14ac:dyDescent="0.25">
      <c r="A91" s="20">
        <v>435</v>
      </c>
      <c r="B91" s="17" t="s">
        <v>1059</v>
      </c>
      <c r="C91" s="17" t="s">
        <v>1060</v>
      </c>
      <c r="D91" s="17" t="s">
        <v>136</v>
      </c>
      <c r="E91" s="17" t="s">
        <v>414</v>
      </c>
      <c r="F91" s="17" t="s">
        <v>1061</v>
      </c>
      <c r="G91" s="17" t="s">
        <v>414</v>
      </c>
      <c r="H91" s="17" t="s">
        <v>1062</v>
      </c>
      <c r="I91" s="17" t="s">
        <v>432</v>
      </c>
      <c r="J91" s="17" t="s">
        <v>16</v>
      </c>
      <c r="K91" s="17" t="b">
        <v>0</v>
      </c>
      <c r="L91" s="17" t="s">
        <v>1063</v>
      </c>
      <c r="M91" s="21">
        <v>30393</v>
      </c>
      <c r="N91" s="17" t="s">
        <v>1064</v>
      </c>
      <c r="O91" s="17" t="s">
        <v>17</v>
      </c>
      <c r="P91" s="17" t="s">
        <v>18</v>
      </c>
      <c r="Q91" s="17">
        <v>1</v>
      </c>
      <c r="R91" s="17" t="s">
        <v>19</v>
      </c>
      <c r="S91" s="17">
        <v>1</v>
      </c>
      <c r="T91" s="17" t="s">
        <v>422</v>
      </c>
      <c r="U91" s="21">
        <v>45931</v>
      </c>
      <c r="V91" s="17" t="s">
        <v>58</v>
      </c>
      <c r="W91" s="21">
        <v>45932</v>
      </c>
      <c r="X91" s="17" t="s">
        <v>1065</v>
      </c>
      <c r="Y91" s="17" t="s">
        <v>21</v>
      </c>
      <c r="Z91" s="17">
        <v>0</v>
      </c>
      <c r="AA91" s="17" t="s">
        <v>414</v>
      </c>
      <c r="AB91" s="17" t="s">
        <v>414</v>
      </c>
      <c r="AC91" s="17">
        <v>0</v>
      </c>
      <c r="AD91" s="21">
        <v>1</v>
      </c>
      <c r="AE91" s="21">
        <v>1</v>
      </c>
      <c r="AF91" s="17"/>
      <c r="AG91" s="21">
        <v>367</v>
      </c>
      <c r="AH91" s="17">
        <v>0</v>
      </c>
      <c r="AI91" s="21">
        <v>45932</v>
      </c>
      <c r="AJ91" s="17">
        <v>0</v>
      </c>
      <c r="AK91" s="17">
        <v>0</v>
      </c>
      <c r="AL91" s="17">
        <v>0</v>
      </c>
      <c r="AM91" s="17" t="b">
        <v>0</v>
      </c>
      <c r="AN91" s="17" t="b">
        <v>0</v>
      </c>
      <c r="AO91" s="21">
        <v>45932</v>
      </c>
      <c r="AP91" s="21">
        <v>45932</v>
      </c>
      <c r="AQ91" s="17" t="b">
        <v>0</v>
      </c>
      <c r="AR91" s="21">
        <v>45932</v>
      </c>
      <c r="AS91" s="21">
        <v>45932</v>
      </c>
      <c r="AT91" s="21">
        <v>45840</v>
      </c>
      <c r="AU91" s="17" t="b">
        <v>0</v>
      </c>
      <c r="AV91" s="21">
        <v>46023</v>
      </c>
      <c r="AW91" s="17" t="s">
        <v>23</v>
      </c>
      <c r="AX91" s="17" t="s">
        <v>41</v>
      </c>
      <c r="AY91" s="17" t="s">
        <v>23</v>
      </c>
      <c r="AZ91" s="17" t="s">
        <v>414</v>
      </c>
      <c r="BA91" s="21">
        <v>45932</v>
      </c>
      <c r="BB91" s="17">
        <v>0</v>
      </c>
      <c r="BC91" s="17"/>
      <c r="BD91" s="17" t="b">
        <v>0</v>
      </c>
      <c r="BE91" s="17" t="s">
        <v>1921</v>
      </c>
      <c r="BF91" s="21">
        <v>45932</v>
      </c>
      <c r="BG91" s="21">
        <v>46297</v>
      </c>
      <c r="BH91" s="17"/>
      <c r="BI91" s="21">
        <v>46079</v>
      </c>
      <c r="BJ91" s="17">
        <v>0</v>
      </c>
      <c r="BK91" s="17" t="s">
        <v>999</v>
      </c>
      <c r="BL91" s="17" t="s">
        <v>776</v>
      </c>
      <c r="BM91" s="17" t="b">
        <v>1</v>
      </c>
      <c r="BN91" s="17" t="b">
        <v>1</v>
      </c>
      <c r="BO91" s="17" t="b">
        <v>1</v>
      </c>
      <c r="BP91" s="17" t="b">
        <v>1</v>
      </c>
      <c r="BQ91" s="17" t="b">
        <v>0</v>
      </c>
      <c r="BR91" s="17" t="b">
        <v>1</v>
      </c>
      <c r="BS91" s="17" t="b">
        <v>1</v>
      </c>
      <c r="BT91" s="17" t="b">
        <v>0</v>
      </c>
      <c r="BU91" s="17" t="b">
        <v>1</v>
      </c>
      <c r="BV91" s="17">
        <v>0</v>
      </c>
      <c r="BW91" s="21">
        <v>45962</v>
      </c>
      <c r="BX91" s="17" t="s">
        <v>414</v>
      </c>
      <c r="BY91" s="17" t="s">
        <v>414</v>
      </c>
      <c r="BZ91" s="17">
        <v>0</v>
      </c>
      <c r="CA91" s="21">
        <v>45951</v>
      </c>
      <c r="CB91" s="17" t="s">
        <v>438</v>
      </c>
      <c r="CC91" s="17" t="s">
        <v>2095</v>
      </c>
      <c r="CD91" s="21"/>
      <c r="CE91" s="17"/>
      <c r="CF91" s="17" t="s">
        <v>1066</v>
      </c>
      <c r="CG91" s="17" t="b">
        <v>0</v>
      </c>
      <c r="CH91" s="17" t="s">
        <v>992</v>
      </c>
      <c r="CI91" s="17">
        <v>0</v>
      </c>
      <c r="CJ91" s="21">
        <v>1</v>
      </c>
      <c r="CK91" s="21">
        <v>1</v>
      </c>
      <c r="CL91" s="17" t="s">
        <v>414</v>
      </c>
      <c r="CM91" s="21">
        <v>1</v>
      </c>
      <c r="CN91" s="21">
        <v>1</v>
      </c>
      <c r="CO91" s="21">
        <v>1</v>
      </c>
      <c r="CP91" s="17" t="b">
        <v>0</v>
      </c>
      <c r="CQ91" s="17" t="b">
        <v>0</v>
      </c>
      <c r="CR91" s="17" t="b">
        <v>0</v>
      </c>
      <c r="CS91">
        <v>7100</v>
      </c>
      <c r="CT91" t="s">
        <v>1913</v>
      </c>
      <c r="CU91">
        <v>5461.54</v>
      </c>
      <c r="CV91">
        <v>1638.46</v>
      </c>
      <c r="CW91" s="22"/>
    </row>
    <row r="92" spans="1:101" x14ac:dyDescent="0.25">
      <c r="A92" s="20">
        <v>436</v>
      </c>
      <c r="B92" s="17" t="s">
        <v>985</v>
      </c>
      <c r="C92" s="17" t="s">
        <v>1067</v>
      </c>
      <c r="D92" s="17" t="s">
        <v>137</v>
      </c>
      <c r="E92" s="17" t="s">
        <v>414</v>
      </c>
      <c r="F92" s="17" t="s">
        <v>1068</v>
      </c>
      <c r="G92" s="17" t="s">
        <v>414</v>
      </c>
      <c r="H92" s="17" t="s">
        <v>1069</v>
      </c>
      <c r="I92" s="17" t="s">
        <v>739</v>
      </c>
      <c r="J92" s="17" t="s">
        <v>16</v>
      </c>
      <c r="K92" s="17" t="b">
        <v>0</v>
      </c>
      <c r="L92" s="17" t="s">
        <v>1070</v>
      </c>
      <c r="M92" s="21">
        <v>37987</v>
      </c>
      <c r="N92" s="17" t="s">
        <v>1071</v>
      </c>
      <c r="O92" s="17" t="s">
        <v>17</v>
      </c>
      <c r="P92" s="17" t="s">
        <v>18</v>
      </c>
      <c r="Q92" s="17">
        <v>1</v>
      </c>
      <c r="R92" s="17" t="s">
        <v>19</v>
      </c>
      <c r="S92" s="17">
        <v>1</v>
      </c>
      <c r="T92" s="17" t="s">
        <v>422</v>
      </c>
      <c r="U92" s="21">
        <v>45946</v>
      </c>
      <c r="V92" s="17" t="s">
        <v>110</v>
      </c>
      <c r="W92" s="21">
        <v>45946</v>
      </c>
      <c r="X92" s="17" t="s">
        <v>110</v>
      </c>
      <c r="Y92" s="17" t="s">
        <v>21</v>
      </c>
      <c r="Z92" s="17">
        <v>0</v>
      </c>
      <c r="AA92" s="17" t="s">
        <v>414</v>
      </c>
      <c r="AB92" s="17" t="s">
        <v>414</v>
      </c>
      <c r="AC92" s="17">
        <v>0</v>
      </c>
      <c r="AD92" s="21">
        <v>1</v>
      </c>
      <c r="AE92" s="21">
        <v>1</v>
      </c>
      <c r="AF92" s="17"/>
      <c r="AG92" s="21">
        <v>367</v>
      </c>
      <c r="AH92" s="17">
        <v>0</v>
      </c>
      <c r="AI92" s="21">
        <v>45946</v>
      </c>
      <c r="AJ92" s="17">
        <v>0</v>
      </c>
      <c r="AK92" s="17">
        <v>0</v>
      </c>
      <c r="AL92" s="17">
        <v>0</v>
      </c>
      <c r="AM92" s="17" t="b">
        <v>0</v>
      </c>
      <c r="AN92" s="17" t="b">
        <v>0</v>
      </c>
      <c r="AO92" s="21">
        <v>45946</v>
      </c>
      <c r="AP92" s="21">
        <v>45946</v>
      </c>
      <c r="AQ92" s="17" t="b">
        <v>0</v>
      </c>
      <c r="AR92" s="21">
        <v>45946</v>
      </c>
      <c r="AS92" s="21">
        <v>45946</v>
      </c>
      <c r="AT92" s="21">
        <v>45854</v>
      </c>
      <c r="AU92" s="17" t="b">
        <v>0</v>
      </c>
      <c r="AV92" s="21">
        <v>46038</v>
      </c>
      <c r="AW92" s="17" t="s">
        <v>23</v>
      </c>
      <c r="AX92" s="17" t="s">
        <v>41</v>
      </c>
      <c r="AY92" s="17" t="s">
        <v>414</v>
      </c>
      <c r="AZ92" s="17" t="s">
        <v>414</v>
      </c>
      <c r="BA92" s="21">
        <v>45946</v>
      </c>
      <c r="BB92" s="17">
        <v>0</v>
      </c>
      <c r="BC92" s="17"/>
      <c r="BD92" s="17" t="b">
        <v>0</v>
      </c>
      <c r="BE92" s="17" t="s">
        <v>2096</v>
      </c>
      <c r="BF92" s="21">
        <v>45946</v>
      </c>
      <c r="BG92" s="21">
        <v>46311</v>
      </c>
      <c r="BH92" s="17"/>
      <c r="BI92" s="21">
        <v>47560</v>
      </c>
      <c r="BJ92" s="17">
        <v>0</v>
      </c>
      <c r="BK92" s="17" t="s">
        <v>879</v>
      </c>
      <c r="BL92" s="17" t="s">
        <v>1046</v>
      </c>
      <c r="BM92" s="17" t="b">
        <v>1</v>
      </c>
      <c r="BN92" s="17" t="b">
        <v>0</v>
      </c>
      <c r="BO92" s="17" t="b">
        <v>1</v>
      </c>
      <c r="BP92" s="17" t="b">
        <v>1</v>
      </c>
      <c r="BQ92" s="17" t="b">
        <v>0</v>
      </c>
      <c r="BR92" s="17" t="b">
        <v>1</v>
      </c>
      <c r="BS92" s="17" t="b">
        <v>1</v>
      </c>
      <c r="BT92" s="17" t="b">
        <v>0</v>
      </c>
      <c r="BU92" s="17" t="b">
        <v>1</v>
      </c>
      <c r="BV92" s="17">
        <v>0</v>
      </c>
      <c r="BW92" s="21">
        <v>45977</v>
      </c>
      <c r="BX92" s="17" t="s">
        <v>414</v>
      </c>
      <c r="BY92" s="17" t="s">
        <v>414</v>
      </c>
      <c r="BZ92" s="17">
        <v>0</v>
      </c>
      <c r="CA92" s="21">
        <v>45951</v>
      </c>
      <c r="CB92" s="17" t="s">
        <v>438</v>
      </c>
      <c r="CC92" s="17" t="s">
        <v>2097</v>
      </c>
      <c r="CD92" s="21"/>
      <c r="CE92" s="17"/>
      <c r="CF92" s="17" t="s">
        <v>1072</v>
      </c>
      <c r="CG92" s="17" t="b">
        <v>0</v>
      </c>
      <c r="CH92" s="17" t="s">
        <v>992</v>
      </c>
      <c r="CI92" s="17">
        <v>0</v>
      </c>
      <c r="CJ92" s="21">
        <v>1</v>
      </c>
      <c r="CK92" s="21">
        <v>1</v>
      </c>
      <c r="CL92" s="17" t="s">
        <v>414</v>
      </c>
      <c r="CM92" s="21">
        <v>1</v>
      </c>
      <c r="CN92" s="21">
        <v>1</v>
      </c>
      <c r="CO92" s="21">
        <v>1</v>
      </c>
      <c r="CP92" s="17" t="b">
        <v>0</v>
      </c>
      <c r="CQ92" s="17" t="b">
        <v>0</v>
      </c>
      <c r="CR92" s="17" t="b">
        <v>0</v>
      </c>
      <c r="CS92">
        <v>7100</v>
      </c>
      <c r="CT92" t="s">
        <v>1913</v>
      </c>
      <c r="CU92">
        <v>5461.54</v>
      </c>
      <c r="CV92">
        <v>1638.46</v>
      </c>
      <c r="CW92" s="22"/>
    </row>
    <row r="93" spans="1:101" x14ac:dyDescent="0.25">
      <c r="A93" s="20">
        <v>504</v>
      </c>
      <c r="B93" s="17" t="s">
        <v>420</v>
      </c>
      <c r="C93" s="17" t="s">
        <v>1074</v>
      </c>
      <c r="D93" s="17" t="s">
        <v>139</v>
      </c>
      <c r="E93" s="17" t="s">
        <v>1075</v>
      </c>
      <c r="F93" s="17" t="s">
        <v>1076</v>
      </c>
      <c r="G93" s="17" t="s">
        <v>414</v>
      </c>
      <c r="H93" s="17" t="s">
        <v>1077</v>
      </c>
      <c r="I93" s="17" t="s">
        <v>414</v>
      </c>
      <c r="J93" s="17" t="s">
        <v>16</v>
      </c>
      <c r="K93" s="17" t="b">
        <v>0</v>
      </c>
      <c r="L93" s="17" t="s">
        <v>1078</v>
      </c>
      <c r="M93" s="21">
        <v>31055</v>
      </c>
      <c r="N93" s="17" t="s">
        <v>414</v>
      </c>
      <c r="O93" s="17" t="s">
        <v>17</v>
      </c>
      <c r="P93" s="17" t="s">
        <v>18</v>
      </c>
      <c r="Q93" s="17">
        <v>8</v>
      </c>
      <c r="R93" s="17" t="s">
        <v>107</v>
      </c>
      <c r="S93" s="17">
        <v>7</v>
      </c>
      <c r="T93" s="17" t="s">
        <v>140</v>
      </c>
      <c r="U93" s="21">
        <v>43506</v>
      </c>
      <c r="V93" s="17" t="s">
        <v>61</v>
      </c>
      <c r="W93" s="21">
        <v>1</v>
      </c>
      <c r="X93" s="17" t="s">
        <v>417</v>
      </c>
      <c r="Y93" s="17" t="s">
        <v>21</v>
      </c>
      <c r="Z93" s="17">
        <v>551950</v>
      </c>
      <c r="AA93" s="17" t="s">
        <v>140</v>
      </c>
      <c r="AB93" s="17" t="s">
        <v>443</v>
      </c>
      <c r="AC93" s="17">
        <v>0</v>
      </c>
      <c r="AD93" s="21">
        <v>45398</v>
      </c>
      <c r="AE93" s="21">
        <v>2</v>
      </c>
      <c r="AF93" s="17"/>
      <c r="AG93" s="21">
        <v>368</v>
      </c>
      <c r="AH93" s="17">
        <v>58758014</v>
      </c>
      <c r="AI93" s="21">
        <v>43595</v>
      </c>
      <c r="AJ93" s="17">
        <v>4121</v>
      </c>
      <c r="AK93" s="17">
        <v>0.29749999999999999</v>
      </c>
      <c r="AL93" s="17">
        <v>1226</v>
      </c>
      <c r="AM93" s="17" t="b">
        <v>1</v>
      </c>
      <c r="AN93" s="17" t="b">
        <v>1</v>
      </c>
      <c r="AO93" s="21">
        <v>45398</v>
      </c>
      <c r="AP93" s="21">
        <v>45398</v>
      </c>
      <c r="AQ93" s="17" t="b">
        <v>0</v>
      </c>
      <c r="AR93" s="21">
        <v>45398</v>
      </c>
      <c r="AS93" s="21">
        <v>45398</v>
      </c>
      <c r="AT93" s="21">
        <v>43506</v>
      </c>
      <c r="AU93" s="17" t="b">
        <v>0</v>
      </c>
      <c r="AV93" s="21">
        <v>43595</v>
      </c>
      <c r="AW93" s="17" t="s">
        <v>101</v>
      </c>
      <c r="AX93" s="17" t="s">
        <v>241</v>
      </c>
      <c r="AY93" s="17" t="s">
        <v>414</v>
      </c>
      <c r="AZ93" s="17" t="s">
        <v>414</v>
      </c>
      <c r="BA93" s="21">
        <v>45398</v>
      </c>
      <c r="BB93" s="17">
        <v>0</v>
      </c>
      <c r="BC93" s="17"/>
      <c r="BD93" s="17" t="b">
        <v>0</v>
      </c>
      <c r="BE93" s="17" t="s">
        <v>2098</v>
      </c>
      <c r="BF93" s="21">
        <v>45398</v>
      </c>
      <c r="BG93" s="21">
        <v>45763</v>
      </c>
      <c r="BH93" s="17"/>
      <c r="BI93" s="21">
        <v>45207</v>
      </c>
      <c r="BJ93" s="17">
        <v>0</v>
      </c>
      <c r="BK93" s="17" t="s">
        <v>418</v>
      </c>
      <c r="BL93" s="17" t="s">
        <v>461</v>
      </c>
      <c r="BM93" s="17" t="b">
        <v>1</v>
      </c>
      <c r="BN93" s="17" t="b">
        <v>0</v>
      </c>
      <c r="BO93" s="17" t="b">
        <v>0</v>
      </c>
      <c r="BP93" s="17" t="b">
        <v>1</v>
      </c>
      <c r="BQ93" s="17" t="b">
        <v>0</v>
      </c>
      <c r="BR93" s="17" t="b">
        <v>0</v>
      </c>
      <c r="BS93" s="17" t="b">
        <v>1</v>
      </c>
      <c r="BT93" s="17" t="b">
        <v>1</v>
      </c>
      <c r="BU93" s="17" t="b">
        <v>0</v>
      </c>
      <c r="BV93" s="17">
        <v>0</v>
      </c>
      <c r="BW93" s="21">
        <v>43534</v>
      </c>
      <c r="BX93" s="17" t="s">
        <v>414</v>
      </c>
      <c r="BY93" s="17" t="s">
        <v>414</v>
      </c>
      <c r="BZ93" s="17">
        <v>0</v>
      </c>
      <c r="CA93" s="21">
        <v>45951</v>
      </c>
      <c r="CB93" s="17" t="s">
        <v>419</v>
      </c>
      <c r="CC93" s="17" t="s">
        <v>2099</v>
      </c>
      <c r="CD93" s="21"/>
      <c r="CE93" s="17"/>
      <c r="CF93" s="17" t="s">
        <v>1079</v>
      </c>
      <c r="CG93" s="17" t="b">
        <v>0</v>
      </c>
      <c r="CH93" s="17" t="s">
        <v>1080</v>
      </c>
      <c r="CI93" s="17">
        <v>0</v>
      </c>
      <c r="CJ93" s="21">
        <v>45853</v>
      </c>
      <c r="CK93" s="21">
        <v>1</v>
      </c>
      <c r="CL93" s="17" t="s">
        <v>414</v>
      </c>
      <c r="CM93" s="21">
        <v>1</v>
      </c>
      <c r="CN93" s="21">
        <v>1</v>
      </c>
      <c r="CO93" s="21">
        <v>1</v>
      </c>
      <c r="CP93" s="17" t="b">
        <v>0</v>
      </c>
      <c r="CQ93" s="17" t="b">
        <v>1</v>
      </c>
      <c r="CR93" s="17" t="b">
        <v>0</v>
      </c>
      <c r="CS93">
        <v>7200</v>
      </c>
      <c r="CT93" t="s">
        <v>1914</v>
      </c>
      <c r="CU93">
        <v>5538.46</v>
      </c>
      <c r="CV93">
        <v>1661.54</v>
      </c>
      <c r="CW93" s="22"/>
    </row>
    <row r="94" spans="1:101" x14ac:dyDescent="0.25">
      <c r="A94" s="20">
        <v>506</v>
      </c>
      <c r="B94" s="17" t="s">
        <v>491</v>
      </c>
      <c r="C94" s="17" t="s">
        <v>1081</v>
      </c>
      <c r="D94" s="17" t="s">
        <v>141</v>
      </c>
      <c r="E94" s="17" t="s">
        <v>1082</v>
      </c>
      <c r="F94" s="17" t="s">
        <v>1083</v>
      </c>
      <c r="G94" s="17" t="s">
        <v>414</v>
      </c>
      <c r="H94" s="17" t="s">
        <v>1084</v>
      </c>
      <c r="I94" s="17" t="s">
        <v>414</v>
      </c>
      <c r="J94" s="17" t="s">
        <v>25</v>
      </c>
      <c r="K94" s="17" t="b">
        <v>0</v>
      </c>
      <c r="L94" s="17" t="s">
        <v>1085</v>
      </c>
      <c r="M94" s="21">
        <v>29424</v>
      </c>
      <c r="N94" s="17" t="s">
        <v>414</v>
      </c>
      <c r="O94" s="17" t="s">
        <v>26</v>
      </c>
      <c r="P94" s="17" t="s">
        <v>18</v>
      </c>
      <c r="Q94" s="17">
        <v>8</v>
      </c>
      <c r="R94" s="17" t="s">
        <v>107</v>
      </c>
      <c r="S94" s="17">
        <v>15</v>
      </c>
      <c r="T94" s="17" t="s">
        <v>1086</v>
      </c>
      <c r="U94" s="21">
        <v>43208</v>
      </c>
      <c r="V94" s="17" t="s">
        <v>33</v>
      </c>
      <c r="W94" s="21">
        <v>1</v>
      </c>
      <c r="X94" s="17" t="s">
        <v>1087</v>
      </c>
      <c r="Y94" s="17" t="s">
        <v>21</v>
      </c>
      <c r="Z94" s="17">
        <v>532400</v>
      </c>
      <c r="AA94" s="17" t="s">
        <v>142</v>
      </c>
      <c r="AB94" s="17" t="s">
        <v>418</v>
      </c>
      <c r="AC94" s="17">
        <v>97</v>
      </c>
      <c r="AD94" s="21">
        <v>43549</v>
      </c>
      <c r="AE94" s="21">
        <v>45389</v>
      </c>
      <c r="AF94" s="17"/>
      <c r="AG94" s="21">
        <v>45754</v>
      </c>
      <c r="AH94" s="17">
        <v>52320159</v>
      </c>
      <c r="AI94" s="21">
        <v>43299</v>
      </c>
      <c r="AJ94" s="17">
        <v>4121</v>
      </c>
      <c r="AK94" s="17">
        <v>0.29749999999999999</v>
      </c>
      <c r="AL94" s="17">
        <v>1226</v>
      </c>
      <c r="AM94" s="17" t="b">
        <v>1</v>
      </c>
      <c r="AN94" s="17" t="b">
        <v>1</v>
      </c>
      <c r="AO94" s="21">
        <v>45398</v>
      </c>
      <c r="AP94" s="21">
        <v>45398</v>
      </c>
      <c r="AQ94" s="17" t="b">
        <v>0</v>
      </c>
      <c r="AR94" s="21">
        <v>45398</v>
      </c>
      <c r="AS94" s="21">
        <v>45398</v>
      </c>
      <c r="AT94" s="21">
        <v>43208</v>
      </c>
      <c r="AU94" s="17" t="b">
        <v>0</v>
      </c>
      <c r="AV94" s="21">
        <v>43299</v>
      </c>
      <c r="AW94" s="17" t="s">
        <v>27</v>
      </c>
      <c r="AX94" s="17" t="s">
        <v>27</v>
      </c>
      <c r="AY94" s="17" t="s">
        <v>414</v>
      </c>
      <c r="AZ94" s="17" t="s">
        <v>450</v>
      </c>
      <c r="BA94" s="21">
        <v>45398</v>
      </c>
      <c r="BB94" s="17">
        <v>0</v>
      </c>
      <c r="BC94" s="17"/>
      <c r="BD94" s="17" t="b">
        <v>0</v>
      </c>
      <c r="BE94" s="17" t="s">
        <v>2100</v>
      </c>
      <c r="BF94" s="21">
        <v>45398</v>
      </c>
      <c r="BG94" s="21">
        <v>45763</v>
      </c>
      <c r="BH94" s="17"/>
      <c r="BI94" s="21">
        <v>44097</v>
      </c>
      <c r="BJ94" s="17">
        <v>0</v>
      </c>
      <c r="BK94" s="17" t="s">
        <v>443</v>
      </c>
      <c r="BL94" s="17" t="s">
        <v>418</v>
      </c>
      <c r="BM94" s="17" t="b">
        <v>1</v>
      </c>
      <c r="BN94" s="17" t="b">
        <v>0</v>
      </c>
      <c r="BO94" s="17" t="b">
        <v>0</v>
      </c>
      <c r="BP94" s="17" t="b">
        <v>1</v>
      </c>
      <c r="BQ94" s="17" t="b">
        <v>1</v>
      </c>
      <c r="BR94" s="17" t="b">
        <v>1</v>
      </c>
      <c r="BS94" s="17" t="b">
        <v>1</v>
      </c>
      <c r="BT94" s="17" t="b">
        <v>0</v>
      </c>
      <c r="BU94" s="17" t="b">
        <v>1</v>
      </c>
      <c r="BV94" s="17">
        <v>0</v>
      </c>
      <c r="BW94" s="21">
        <v>43238</v>
      </c>
      <c r="BX94" s="17" t="s">
        <v>414</v>
      </c>
      <c r="BY94" s="17" t="s">
        <v>414</v>
      </c>
      <c r="BZ94" s="17">
        <v>0</v>
      </c>
      <c r="CA94" s="21">
        <v>45951</v>
      </c>
      <c r="CB94" s="17" t="s">
        <v>419</v>
      </c>
      <c r="CC94" s="17" t="s">
        <v>2101</v>
      </c>
      <c r="CD94" s="21"/>
      <c r="CE94" s="17"/>
      <c r="CF94" s="17" t="s">
        <v>1088</v>
      </c>
      <c r="CG94" s="17" t="b">
        <v>0</v>
      </c>
      <c r="CH94" s="17" t="s">
        <v>425</v>
      </c>
      <c r="CI94" s="17">
        <v>0</v>
      </c>
      <c r="CJ94" s="21">
        <v>45840</v>
      </c>
      <c r="CK94" s="21">
        <v>45904</v>
      </c>
      <c r="CL94" s="17" t="s">
        <v>414</v>
      </c>
      <c r="CM94" s="21">
        <v>1</v>
      </c>
      <c r="CN94" s="21">
        <v>1</v>
      </c>
      <c r="CO94" s="21">
        <v>1</v>
      </c>
      <c r="CP94" s="17" t="b">
        <v>0</v>
      </c>
      <c r="CQ94" s="17" t="b">
        <v>1</v>
      </c>
      <c r="CR94" s="17" t="b">
        <v>0</v>
      </c>
      <c r="CS94">
        <v>7000</v>
      </c>
      <c r="CT94" t="s">
        <v>1912</v>
      </c>
      <c r="CU94">
        <v>5384.62</v>
      </c>
      <c r="CV94">
        <v>1615.38</v>
      </c>
      <c r="CW94" s="22"/>
    </row>
    <row r="95" spans="1:101" x14ac:dyDescent="0.25">
      <c r="A95" s="20">
        <v>507</v>
      </c>
      <c r="B95" s="17" t="s">
        <v>420</v>
      </c>
      <c r="C95" s="17" t="s">
        <v>427</v>
      </c>
      <c r="D95" s="17" t="s">
        <v>143</v>
      </c>
      <c r="E95" s="17" t="s">
        <v>1089</v>
      </c>
      <c r="F95" s="17" t="s">
        <v>1090</v>
      </c>
      <c r="G95" s="17" t="s">
        <v>414</v>
      </c>
      <c r="H95" s="17" t="s">
        <v>1091</v>
      </c>
      <c r="I95" s="17" t="s">
        <v>414</v>
      </c>
      <c r="J95" s="17" t="s">
        <v>16</v>
      </c>
      <c r="K95" s="17" t="b">
        <v>0</v>
      </c>
      <c r="L95" s="17" t="s">
        <v>1092</v>
      </c>
      <c r="M95" s="21">
        <v>31859</v>
      </c>
      <c r="N95" s="17" t="s">
        <v>414</v>
      </c>
      <c r="O95" s="17" t="s">
        <v>17</v>
      </c>
      <c r="P95" s="17" t="s">
        <v>18</v>
      </c>
      <c r="Q95" s="17">
        <v>5</v>
      </c>
      <c r="R95" s="17" t="s">
        <v>44</v>
      </c>
      <c r="S95" s="17">
        <v>16</v>
      </c>
      <c r="T95" s="17" t="s">
        <v>1093</v>
      </c>
      <c r="U95" s="21">
        <v>43252</v>
      </c>
      <c r="V95" s="17" t="s">
        <v>31</v>
      </c>
      <c r="W95" s="21">
        <v>1</v>
      </c>
      <c r="X95" s="17" t="s">
        <v>1094</v>
      </c>
      <c r="Y95" s="17" t="s">
        <v>45</v>
      </c>
      <c r="Z95" s="17">
        <v>194200</v>
      </c>
      <c r="AA95" s="17" t="s">
        <v>145</v>
      </c>
      <c r="AB95" s="17" t="s">
        <v>418</v>
      </c>
      <c r="AC95" s="17">
        <v>86</v>
      </c>
      <c r="AD95" s="21">
        <v>43503</v>
      </c>
      <c r="AE95" s="21">
        <v>45389</v>
      </c>
      <c r="AF95" s="17"/>
      <c r="AG95" s="21">
        <v>45754</v>
      </c>
      <c r="AH95" s="17">
        <v>62507943</v>
      </c>
      <c r="AI95" s="21">
        <v>43313</v>
      </c>
      <c r="AJ95" s="17">
        <v>4423</v>
      </c>
      <c r="AK95" s="17">
        <v>0.29749999999999999</v>
      </c>
      <c r="AL95" s="17">
        <v>1315.84</v>
      </c>
      <c r="AM95" s="17" t="b">
        <v>1</v>
      </c>
      <c r="AN95" s="17" t="b">
        <v>1</v>
      </c>
      <c r="AO95" s="21">
        <v>45398</v>
      </c>
      <c r="AP95" s="21">
        <v>45398</v>
      </c>
      <c r="AQ95" s="17" t="b">
        <v>1</v>
      </c>
      <c r="AR95" s="21">
        <v>45398</v>
      </c>
      <c r="AS95" s="21">
        <v>45398</v>
      </c>
      <c r="AT95" s="21">
        <v>43221</v>
      </c>
      <c r="AU95" s="17" t="b">
        <v>0</v>
      </c>
      <c r="AV95" s="21">
        <v>43344</v>
      </c>
      <c r="AW95" s="17" t="s">
        <v>27</v>
      </c>
      <c r="AX95" s="17" t="s">
        <v>27</v>
      </c>
      <c r="AY95" s="17" t="s">
        <v>414</v>
      </c>
      <c r="AZ95" s="17" t="s">
        <v>450</v>
      </c>
      <c r="BA95" s="21">
        <v>45398</v>
      </c>
      <c r="BB95" s="17">
        <v>0</v>
      </c>
      <c r="BC95" s="17"/>
      <c r="BD95" s="17" t="b">
        <v>0</v>
      </c>
      <c r="BE95" s="17" t="s">
        <v>1994</v>
      </c>
      <c r="BF95" s="21">
        <v>45398</v>
      </c>
      <c r="BG95" s="21">
        <v>45763</v>
      </c>
      <c r="BH95" s="17"/>
      <c r="BI95" s="21">
        <v>44743</v>
      </c>
      <c r="BJ95" s="17">
        <v>0</v>
      </c>
      <c r="BK95" s="17" t="s">
        <v>443</v>
      </c>
      <c r="BL95" s="17" t="s">
        <v>418</v>
      </c>
      <c r="BM95" s="17" t="b">
        <v>1</v>
      </c>
      <c r="BN95" s="17" t="b">
        <v>1</v>
      </c>
      <c r="BO95" s="17" t="b">
        <v>1</v>
      </c>
      <c r="BP95" s="17" t="b">
        <v>1</v>
      </c>
      <c r="BQ95" s="17" t="b">
        <v>1</v>
      </c>
      <c r="BR95" s="17" t="b">
        <v>1</v>
      </c>
      <c r="BS95" s="17" t="b">
        <v>0</v>
      </c>
      <c r="BT95" s="17" t="b">
        <v>1</v>
      </c>
      <c r="BU95" s="17" t="b">
        <v>0</v>
      </c>
      <c r="BV95" s="17">
        <v>0</v>
      </c>
      <c r="BW95" s="21">
        <v>43282</v>
      </c>
      <c r="BX95" s="17" t="s">
        <v>414</v>
      </c>
      <c r="BY95" s="17" t="s">
        <v>414</v>
      </c>
      <c r="BZ95" s="17">
        <v>0</v>
      </c>
      <c r="CA95" s="21">
        <v>45959</v>
      </c>
      <c r="CB95" s="17" t="s">
        <v>419</v>
      </c>
      <c r="CC95" s="17" t="s">
        <v>2102</v>
      </c>
      <c r="CD95" s="21"/>
      <c r="CE95" s="17"/>
      <c r="CF95" s="17" t="s">
        <v>1095</v>
      </c>
      <c r="CG95" s="17" t="b">
        <v>0</v>
      </c>
      <c r="CH95" s="17" t="s">
        <v>425</v>
      </c>
      <c r="CI95" s="17">
        <v>0</v>
      </c>
      <c r="CJ95" s="21">
        <v>45839</v>
      </c>
      <c r="CK95" s="21">
        <v>1</v>
      </c>
      <c r="CL95" s="17" t="s">
        <v>414</v>
      </c>
      <c r="CM95" s="21">
        <v>1</v>
      </c>
      <c r="CN95" s="21">
        <v>1</v>
      </c>
      <c r="CO95" s="21">
        <v>1</v>
      </c>
      <c r="CP95" s="17" t="b">
        <v>0</v>
      </c>
      <c r="CQ95" s="17" t="b">
        <v>1</v>
      </c>
      <c r="CR95" s="17" t="b">
        <v>0</v>
      </c>
      <c r="CS95">
        <v>8500</v>
      </c>
      <c r="CT95" t="s">
        <v>1979</v>
      </c>
      <c r="CU95">
        <v>6538.46</v>
      </c>
      <c r="CV95">
        <v>1961.54</v>
      </c>
      <c r="CW95" s="22"/>
    </row>
    <row r="96" spans="1:101" x14ac:dyDescent="0.25">
      <c r="A96" s="20">
        <v>508</v>
      </c>
      <c r="B96" s="17" t="s">
        <v>506</v>
      </c>
      <c r="C96" s="17" t="s">
        <v>420</v>
      </c>
      <c r="D96" s="17" t="s">
        <v>146</v>
      </c>
      <c r="E96" s="17" t="s">
        <v>1096</v>
      </c>
      <c r="F96" s="17" t="s">
        <v>1097</v>
      </c>
      <c r="G96" s="17" t="s">
        <v>414</v>
      </c>
      <c r="H96" s="17" t="s">
        <v>512</v>
      </c>
      <c r="I96" s="17" t="s">
        <v>414</v>
      </c>
      <c r="J96" s="17" t="s">
        <v>16</v>
      </c>
      <c r="K96" s="17" t="b">
        <v>0</v>
      </c>
      <c r="L96" s="17" t="s">
        <v>1098</v>
      </c>
      <c r="M96" s="21">
        <v>25669</v>
      </c>
      <c r="N96" s="17" t="s">
        <v>414</v>
      </c>
      <c r="O96" s="17" t="s">
        <v>17</v>
      </c>
      <c r="P96" s="17" t="s">
        <v>18</v>
      </c>
      <c r="Q96" s="17">
        <v>8</v>
      </c>
      <c r="R96" s="17" t="s">
        <v>107</v>
      </c>
      <c r="S96" s="17">
        <v>7</v>
      </c>
      <c r="T96" s="17" t="s">
        <v>140</v>
      </c>
      <c r="U96" s="21">
        <v>43344</v>
      </c>
      <c r="V96" s="17" t="s">
        <v>29</v>
      </c>
      <c r="W96" s="21">
        <v>1</v>
      </c>
      <c r="X96" s="17" t="s">
        <v>529</v>
      </c>
      <c r="Y96" s="17" t="s">
        <v>21</v>
      </c>
      <c r="Z96" s="17">
        <v>551950</v>
      </c>
      <c r="AA96" s="17" t="s">
        <v>140</v>
      </c>
      <c r="AB96" s="17" t="s">
        <v>418</v>
      </c>
      <c r="AC96" s="17">
        <v>208</v>
      </c>
      <c r="AD96" s="21">
        <v>45091</v>
      </c>
      <c r="AE96" s="21">
        <v>45091</v>
      </c>
      <c r="AF96" s="17"/>
      <c r="AG96" s="21">
        <v>45457</v>
      </c>
      <c r="AH96" s="17">
        <v>49692792</v>
      </c>
      <c r="AI96" s="21">
        <v>43435</v>
      </c>
      <c r="AJ96" s="17">
        <v>4121</v>
      </c>
      <c r="AK96" s="17">
        <v>0.29749999999999999</v>
      </c>
      <c r="AL96" s="17">
        <v>1226</v>
      </c>
      <c r="AM96" s="17" t="b">
        <v>1</v>
      </c>
      <c r="AN96" s="17" t="b">
        <v>1</v>
      </c>
      <c r="AO96" s="21">
        <v>45398</v>
      </c>
      <c r="AP96" s="21">
        <v>45398</v>
      </c>
      <c r="AQ96" s="17" t="b">
        <v>0</v>
      </c>
      <c r="AR96" s="21">
        <v>45398</v>
      </c>
      <c r="AS96" s="21">
        <v>45398</v>
      </c>
      <c r="AT96" s="21">
        <v>43344</v>
      </c>
      <c r="AU96" s="17" t="b">
        <v>0</v>
      </c>
      <c r="AV96" s="21">
        <v>43435</v>
      </c>
      <c r="AW96" s="17" t="s">
        <v>23</v>
      </c>
      <c r="AX96" s="17" t="s">
        <v>23</v>
      </c>
      <c r="AY96" s="17" t="s">
        <v>414</v>
      </c>
      <c r="AZ96" s="17" t="s">
        <v>450</v>
      </c>
      <c r="BA96" s="21">
        <v>45398</v>
      </c>
      <c r="BB96" s="17">
        <v>0</v>
      </c>
      <c r="BC96" s="17"/>
      <c r="BD96" s="17" t="b">
        <v>0</v>
      </c>
      <c r="BE96" s="17" t="s">
        <v>1996</v>
      </c>
      <c r="BF96" s="21">
        <v>45398</v>
      </c>
      <c r="BG96" s="21">
        <v>45763</v>
      </c>
      <c r="BH96" s="17"/>
      <c r="BI96" s="21">
        <v>45398</v>
      </c>
      <c r="BJ96" s="17">
        <v>0</v>
      </c>
      <c r="BK96" s="17" t="s">
        <v>418</v>
      </c>
      <c r="BL96" s="17" t="s">
        <v>418</v>
      </c>
      <c r="BM96" s="17" t="b">
        <v>1</v>
      </c>
      <c r="BN96" s="17" t="b">
        <v>0</v>
      </c>
      <c r="BO96" s="17" t="b">
        <v>1</v>
      </c>
      <c r="BP96" s="17" t="b">
        <v>1</v>
      </c>
      <c r="BQ96" s="17" t="b">
        <v>0</v>
      </c>
      <c r="BR96" s="17" t="b">
        <v>1</v>
      </c>
      <c r="BS96" s="17" t="b">
        <v>1</v>
      </c>
      <c r="BT96" s="17" t="b">
        <v>1</v>
      </c>
      <c r="BU96" s="17" t="b">
        <v>1</v>
      </c>
      <c r="BV96" s="17">
        <v>0</v>
      </c>
      <c r="BW96" s="21">
        <v>43374</v>
      </c>
      <c r="BX96" s="17" t="s">
        <v>414</v>
      </c>
      <c r="BY96" s="17" t="s">
        <v>414</v>
      </c>
      <c r="BZ96" s="17">
        <v>0</v>
      </c>
      <c r="CA96" s="21">
        <v>45951</v>
      </c>
      <c r="CB96" s="17" t="s">
        <v>419</v>
      </c>
      <c r="CC96" s="17" t="s">
        <v>2103</v>
      </c>
      <c r="CD96" s="21"/>
      <c r="CE96" s="17"/>
      <c r="CF96" s="17" t="s">
        <v>1099</v>
      </c>
      <c r="CG96" s="17" t="b">
        <v>0</v>
      </c>
      <c r="CH96" s="17" t="s">
        <v>414</v>
      </c>
      <c r="CI96" s="17">
        <v>0</v>
      </c>
      <c r="CJ96" s="21">
        <v>45851</v>
      </c>
      <c r="CK96" s="21">
        <v>45904</v>
      </c>
      <c r="CL96" s="17" t="s">
        <v>414</v>
      </c>
      <c r="CM96" s="21">
        <v>1</v>
      </c>
      <c r="CN96" s="21">
        <v>1</v>
      </c>
      <c r="CO96" s="21">
        <v>1</v>
      </c>
      <c r="CP96" s="17" t="b">
        <v>0</v>
      </c>
      <c r="CQ96" s="17" t="b">
        <v>1</v>
      </c>
      <c r="CR96" s="17" t="b">
        <v>0</v>
      </c>
      <c r="CS96">
        <v>7000</v>
      </c>
      <c r="CT96" t="s">
        <v>1912</v>
      </c>
      <c r="CU96">
        <v>5384.62</v>
      </c>
      <c r="CV96">
        <v>1615.38</v>
      </c>
      <c r="CW96" s="22"/>
    </row>
    <row r="97" spans="1:101" x14ac:dyDescent="0.25">
      <c r="A97" s="20">
        <v>509</v>
      </c>
      <c r="B97" s="17" t="s">
        <v>1100</v>
      </c>
      <c r="C97" s="17" t="s">
        <v>768</v>
      </c>
      <c r="D97" s="17" t="s">
        <v>147</v>
      </c>
      <c r="E97" s="17" t="s">
        <v>1101</v>
      </c>
      <c r="F97" s="17" t="s">
        <v>1102</v>
      </c>
      <c r="G97" s="17" t="s">
        <v>414</v>
      </c>
      <c r="H97" s="17" t="s">
        <v>1103</v>
      </c>
      <c r="I97" s="17" t="s">
        <v>414</v>
      </c>
      <c r="J97" s="17" t="s">
        <v>25</v>
      </c>
      <c r="K97" s="17" t="b">
        <v>0</v>
      </c>
      <c r="L97" s="17" t="s">
        <v>1104</v>
      </c>
      <c r="M97" s="21">
        <v>30682</v>
      </c>
      <c r="N97" s="17" t="s">
        <v>414</v>
      </c>
      <c r="O97" s="17" t="s">
        <v>26</v>
      </c>
      <c r="P97" s="17" t="s">
        <v>18</v>
      </c>
      <c r="Q97" s="17">
        <v>1</v>
      </c>
      <c r="R97" s="17" t="s">
        <v>19</v>
      </c>
      <c r="S97" s="17">
        <v>3</v>
      </c>
      <c r="T97" s="17" t="s">
        <v>1105</v>
      </c>
      <c r="U97" s="21">
        <v>43101</v>
      </c>
      <c r="V97" s="17" t="s">
        <v>33</v>
      </c>
      <c r="W97" s="21">
        <v>1.28125</v>
      </c>
      <c r="X97" s="17" t="s">
        <v>626</v>
      </c>
      <c r="Y97" s="17" t="s">
        <v>21</v>
      </c>
      <c r="Z97" s="17">
        <v>949900</v>
      </c>
      <c r="AA97" s="17" t="s">
        <v>22</v>
      </c>
      <c r="AB97" s="17" t="s">
        <v>418</v>
      </c>
      <c r="AC97" s="17">
        <v>96</v>
      </c>
      <c r="AD97" s="21">
        <v>43549</v>
      </c>
      <c r="AE97" s="21">
        <v>45389</v>
      </c>
      <c r="AF97" s="17"/>
      <c r="AG97" s="21">
        <v>45754</v>
      </c>
      <c r="AH97" s="17">
        <v>64483313</v>
      </c>
      <c r="AI97" s="21">
        <v>43191</v>
      </c>
      <c r="AJ97" s="17">
        <v>4121</v>
      </c>
      <c r="AK97" s="17">
        <v>0.29749999999999999</v>
      </c>
      <c r="AL97" s="17">
        <v>1226</v>
      </c>
      <c r="AM97" s="17" t="b">
        <v>1</v>
      </c>
      <c r="AN97" s="17" t="b">
        <v>1</v>
      </c>
      <c r="AO97" s="21">
        <v>45398</v>
      </c>
      <c r="AP97" s="21">
        <v>45398</v>
      </c>
      <c r="AQ97" s="17" t="b">
        <v>0</v>
      </c>
      <c r="AR97" s="21">
        <v>45398</v>
      </c>
      <c r="AS97" s="21">
        <v>45398</v>
      </c>
      <c r="AT97" s="21">
        <v>43101</v>
      </c>
      <c r="AU97" s="17" t="b">
        <v>0</v>
      </c>
      <c r="AV97" s="21">
        <v>43191</v>
      </c>
      <c r="AW97" s="17" t="s">
        <v>27</v>
      </c>
      <c r="AX97" s="17" t="s">
        <v>27</v>
      </c>
      <c r="AY97" s="17" t="s">
        <v>414</v>
      </c>
      <c r="AZ97" s="17" t="s">
        <v>450</v>
      </c>
      <c r="BA97" s="21">
        <v>45398</v>
      </c>
      <c r="BB97" s="17">
        <v>0</v>
      </c>
      <c r="BC97" s="17"/>
      <c r="BD97" s="17" t="b">
        <v>0</v>
      </c>
      <c r="BE97" s="17" t="s">
        <v>1988</v>
      </c>
      <c r="BF97" s="21">
        <v>45398</v>
      </c>
      <c r="BG97" s="21">
        <v>45763</v>
      </c>
      <c r="BH97" s="17"/>
      <c r="BI97" s="21">
        <v>45572</v>
      </c>
      <c r="BJ97" s="17">
        <v>0</v>
      </c>
      <c r="BK97" s="17" t="s">
        <v>443</v>
      </c>
      <c r="BL97" s="17" t="s">
        <v>557</v>
      </c>
      <c r="BM97" s="17" t="b">
        <v>1</v>
      </c>
      <c r="BN97" s="17" t="b">
        <v>0</v>
      </c>
      <c r="BO97" s="17" t="b">
        <v>1</v>
      </c>
      <c r="BP97" s="17" t="b">
        <v>1</v>
      </c>
      <c r="BQ97" s="17" t="b">
        <v>1</v>
      </c>
      <c r="BR97" s="17" t="b">
        <v>1</v>
      </c>
      <c r="BS97" s="17" t="b">
        <v>1</v>
      </c>
      <c r="BT97" s="17" t="b">
        <v>1</v>
      </c>
      <c r="BU97" s="17" t="b">
        <v>1</v>
      </c>
      <c r="BV97" s="17">
        <v>0</v>
      </c>
      <c r="BW97" s="21">
        <v>43132</v>
      </c>
      <c r="BX97" s="17" t="s">
        <v>414</v>
      </c>
      <c r="BY97" s="17" t="s">
        <v>414</v>
      </c>
      <c r="BZ97" s="17">
        <v>0</v>
      </c>
      <c r="CA97" s="21">
        <v>45951</v>
      </c>
      <c r="CB97" s="17" t="s">
        <v>419</v>
      </c>
      <c r="CC97" s="17" t="s">
        <v>2104</v>
      </c>
      <c r="CD97" s="21"/>
      <c r="CE97" s="17"/>
      <c r="CF97" s="17" t="s">
        <v>1106</v>
      </c>
      <c r="CG97" s="17" t="b">
        <v>0</v>
      </c>
      <c r="CH97" s="17" t="s">
        <v>425</v>
      </c>
      <c r="CI97" s="17">
        <v>0</v>
      </c>
      <c r="CJ97" s="21">
        <v>45846</v>
      </c>
      <c r="CK97" s="21">
        <v>45904</v>
      </c>
      <c r="CL97" s="17" t="s">
        <v>414</v>
      </c>
      <c r="CM97" s="21">
        <v>1</v>
      </c>
      <c r="CN97" s="21">
        <v>1</v>
      </c>
      <c r="CO97" s="21">
        <v>1</v>
      </c>
      <c r="CP97" s="17" t="b">
        <v>0</v>
      </c>
      <c r="CQ97" s="17" t="b">
        <v>1</v>
      </c>
      <c r="CR97" s="17" t="b">
        <v>0</v>
      </c>
      <c r="CS97">
        <v>7000</v>
      </c>
      <c r="CT97" t="s">
        <v>1912</v>
      </c>
      <c r="CU97">
        <v>5384.62</v>
      </c>
      <c r="CV97">
        <v>1615.38</v>
      </c>
      <c r="CW97" s="22"/>
    </row>
    <row r="98" spans="1:101" x14ac:dyDescent="0.25">
      <c r="A98" s="20">
        <v>510</v>
      </c>
      <c r="B98" s="17" t="s">
        <v>411</v>
      </c>
      <c r="C98" s="17" t="s">
        <v>530</v>
      </c>
      <c r="D98" s="17" t="s">
        <v>148</v>
      </c>
      <c r="E98" s="17" t="s">
        <v>1107</v>
      </c>
      <c r="F98" s="17" t="s">
        <v>1108</v>
      </c>
      <c r="G98" s="17" t="s">
        <v>414</v>
      </c>
      <c r="H98" s="17" t="s">
        <v>512</v>
      </c>
      <c r="I98" s="17" t="s">
        <v>414</v>
      </c>
      <c r="J98" s="17" t="s">
        <v>16</v>
      </c>
      <c r="K98" s="17" t="b">
        <v>0</v>
      </c>
      <c r="L98" s="17" t="s">
        <v>1109</v>
      </c>
      <c r="M98" s="21">
        <v>31121</v>
      </c>
      <c r="N98" s="17" t="s">
        <v>414</v>
      </c>
      <c r="O98" s="17" t="s">
        <v>17</v>
      </c>
      <c r="P98" s="17" t="s">
        <v>18</v>
      </c>
      <c r="Q98" s="17">
        <v>1</v>
      </c>
      <c r="R98" s="17" t="s">
        <v>19</v>
      </c>
      <c r="S98" s="17">
        <v>1</v>
      </c>
      <c r="T98" s="17" t="s">
        <v>422</v>
      </c>
      <c r="U98" s="21">
        <v>43344</v>
      </c>
      <c r="V98" s="17" t="s">
        <v>29</v>
      </c>
      <c r="W98" s="21">
        <v>1.2430555555555554</v>
      </c>
      <c r="X98" s="17" t="s">
        <v>551</v>
      </c>
      <c r="Y98" s="17" t="s">
        <v>21</v>
      </c>
      <c r="Z98" s="17">
        <v>949900</v>
      </c>
      <c r="AA98" s="17" t="s">
        <v>22</v>
      </c>
      <c r="AB98" s="17" t="s">
        <v>418</v>
      </c>
      <c r="AC98" s="17">
        <v>199</v>
      </c>
      <c r="AD98" s="21">
        <v>45004</v>
      </c>
      <c r="AE98" s="21">
        <v>45389</v>
      </c>
      <c r="AF98" s="17"/>
      <c r="AG98" s="21">
        <v>45754</v>
      </c>
      <c r="AH98" s="17">
        <v>61280842</v>
      </c>
      <c r="AI98" s="21">
        <v>43435</v>
      </c>
      <c r="AJ98" s="17">
        <v>4121</v>
      </c>
      <c r="AK98" s="17">
        <v>0.29749999999999999</v>
      </c>
      <c r="AL98" s="17">
        <v>1226</v>
      </c>
      <c r="AM98" s="17" t="b">
        <v>1</v>
      </c>
      <c r="AN98" s="17" t="b">
        <v>1</v>
      </c>
      <c r="AO98" s="21">
        <v>45449</v>
      </c>
      <c r="AP98" s="21">
        <v>45449</v>
      </c>
      <c r="AQ98" s="17" t="b">
        <v>0</v>
      </c>
      <c r="AR98" s="21">
        <v>45449</v>
      </c>
      <c r="AS98" s="21">
        <v>45449</v>
      </c>
      <c r="AT98" s="21">
        <v>43344</v>
      </c>
      <c r="AU98" s="17" t="b">
        <v>0</v>
      </c>
      <c r="AV98" s="21">
        <v>43435</v>
      </c>
      <c r="AW98" s="17" t="s">
        <v>23</v>
      </c>
      <c r="AX98" s="17" t="s">
        <v>41</v>
      </c>
      <c r="AY98" s="17" t="s">
        <v>23</v>
      </c>
      <c r="AZ98" s="17" t="s">
        <v>414</v>
      </c>
      <c r="BA98" s="21">
        <v>45449</v>
      </c>
      <c r="BB98" s="17">
        <v>0</v>
      </c>
      <c r="BC98" s="17"/>
      <c r="BD98" s="17" t="b">
        <v>0</v>
      </c>
      <c r="BE98" s="17" t="s">
        <v>1996</v>
      </c>
      <c r="BF98" s="21">
        <v>45449</v>
      </c>
      <c r="BG98" s="21">
        <v>45814</v>
      </c>
      <c r="BH98" s="17"/>
      <c r="BI98" s="21">
        <v>45701</v>
      </c>
      <c r="BJ98" s="17">
        <v>0</v>
      </c>
      <c r="BK98" s="17" t="s">
        <v>418</v>
      </c>
      <c r="BL98" s="17" t="s">
        <v>418</v>
      </c>
      <c r="BM98" s="17" t="b">
        <v>1</v>
      </c>
      <c r="BN98" s="17" t="b">
        <v>0</v>
      </c>
      <c r="BO98" s="17" t="b">
        <v>1</v>
      </c>
      <c r="BP98" s="17" t="b">
        <v>1</v>
      </c>
      <c r="BQ98" s="17" t="b">
        <v>1</v>
      </c>
      <c r="BR98" s="17" t="b">
        <v>1</v>
      </c>
      <c r="BS98" s="17" t="b">
        <v>1</v>
      </c>
      <c r="BT98" s="17" t="b">
        <v>1</v>
      </c>
      <c r="BU98" s="17" t="b">
        <v>0</v>
      </c>
      <c r="BV98" s="17">
        <v>0</v>
      </c>
      <c r="BW98" s="21">
        <v>43374</v>
      </c>
      <c r="BX98" s="17" t="s">
        <v>414</v>
      </c>
      <c r="BY98" s="17" t="s">
        <v>414</v>
      </c>
      <c r="BZ98" s="17">
        <v>0</v>
      </c>
      <c r="CA98" s="21">
        <v>45951</v>
      </c>
      <c r="CB98" s="17" t="s">
        <v>438</v>
      </c>
      <c r="CC98" s="17" t="s">
        <v>2105</v>
      </c>
      <c r="CD98" s="21"/>
      <c r="CE98" s="17"/>
      <c r="CF98" s="17" t="s">
        <v>1110</v>
      </c>
      <c r="CG98" s="17" t="b">
        <v>0</v>
      </c>
      <c r="CH98" s="17" t="s">
        <v>425</v>
      </c>
      <c r="CI98" s="17">
        <v>0</v>
      </c>
      <c r="CJ98" s="21">
        <v>45852</v>
      </c>
      <c r="CK98" s="21">
        <v>45904</v>
      </c>
      <c r="CL98" s="17" t="s">
        <v>414</v>
      </c>
      <c r="CM98" s="21">
        <v>1</v>
      </c>
      <c r="CN98" s="21">
        <v>1</v>
      </c>
      <c r="CO98" s="21">
        <v>1</v>
      </c>
      <c r="CP98" s="17" t="b">
        <v>0</v>
      </c>
      <c r="CQ98" s="17" t="b">
        <v>1</v>
      </c>
      <c r="CR98" s="17" t="b">
        <v>0</v>
      </c>
      <c r="CS98">
        <v>7100</v>
      </c>
      <c r="CT98" t="s">
        <v>1913</v>
      </c>
      <c r="CU98">
        <v>5461.54</v>
      </c>
      <c r="CV98">
        <v>1638.46</v>
      </c>
      <c r="CW98" s="22"/>
    </row>
    <row r="99" spans="1:101" x14ac:dyDescent="0.25">
      <c r="A99" s="20">
        <v>511</v>
      </c>
      <c r="B99" s="17" t="s">
        <v>420</v>
      </c>
      <c r="C99" s="17" t="s">
        <v>427</v>
      </c>
      <c r="D99" s="17" t="s">
        <v>143</v>
      </c>
      <c r="E99" s="17" t="s">
        <v>1089</v>
      </c>
      <c r="F99" s="17" t="s">
        <v>1090</v>
      </c>
      <c r="G99" s="17" t="s">
        <v>414</v>
      </c>
      <c r="H99" s="17" t="s">
        <v>1091</v>
      </c>
      <c r="I99" s="17" t="s">
        <v>414</v>
      </c>
      <c r="J99" s="17" t="s">
        <v>16</v>
      </c>
      <c r="K99" s="17" t="b">
        <v>0</v>
      </c>
      <c r="L99" s="17" t="s">
        <v>1092</v>
      </c>
      <c r="M99" s="21">
        <v>31859</v>
      </c>
      <c r="N99" s="17" t="s">
        <v>414</v>
      </c>
      <c r="O99" s="17" t="s">
        <v>17</v>
      </c>
      <c r="P99" s="17" t="s">
        <v>18</v>
      </c>
      <c r="Q99" s="17">
        <v>5</v>
      </c>
      <c r="R99" s="17" t="s">
        <v>44</v>
      </c>
      <c r="S99" s="17">
        <v>16</v>
      </c>
      <c r="T99" s="17" t="s">
        <v>1093</v>
      </c>
      <c r="U99" s="21">
        <v>43252</v>
      </c>
      <c r="V99" s="17" t="s">
        <v>31</v>
      </c>
      <c r="W99" s="21">
        <v>1</v>
      </c>
      <c r="X99" s="17" t="s">
        <v>1094</v>
      </c>
      <c r="Y99" s="17" t="s">
        <v>45</v>
      </c>
      <c r="Z99" s="17">
        <v>194200</v>
      </c>
      <c r="AA99" s="17" t="s">
        <v>145</v>
      </c>
      <c r="AB99" s="17" t="s">
        <v>418</v>
      </c>
      <c r="AC99" s="17">
        <v>86</v>
      </c>
      <c r="AD99" s="21">
        <v>43503</v>
      </c>
      <c r="AE99" s="21">
        <v>45389</v>
      </c>
      <c r="AF99" s="17"/>
      <c r="AG99" s="21">
        <v>45754</v>
      </c>
      <c r="AH99" s="17">
        <v>62507943</v>
      </c>
      <c r="AI99" s="21">
        <v>43313</v>
      </c>
      <c r="AJ99" s="17">
        <v>4423</v>
      </c>
      <c r="AK99" s="17">
        <v>0.29749999999999999</v>
      </c>
      <c r="AL99" s="17">
        <v>1315.84</v>
      </c>
      <c r="AM99" s="17" t="b">
        <v>1</v>
      </c>
      <c r="AN99" s="17" t="b">
        <v>1</v>
      </c>
      <c r="AO99" s="21">
        <v>45398</v>
      </c>
      <c r="AP99" s="21">
        <v>45398</v>
      </c>
      <c r="AQ99" s="17" t="b">
        <v>1</v>
      </c>
      <c r="AR99" s="21">
        <v>45398</v>
      </c>
      <c r="AS99" s="21">
        <v>45398</v>
      </c>
      <c r="AT99" s="21">
        <v>43221</v>
      </c>
      <c r="AU99" s="17" t="b">
        <v>0</v>
      </c>
      <c r="AV99" s="21">
        <v>43344</v>
      </c>
      <c r="AW99" s="17" t="s">
        <v>27</v>
      </c>
      <c r="AX99" s="17" t="s">
        <v>101</v>
      </c>
      <c r="AY99" s="17" t="s">
        <v>414</v>
      </c>
      <c r="AZ99" s="17" t="s">
        <v>450</v>
      </c>
      <c r="BA99" s="21">
        <v>45398</v>
      </c>
      <c r="BB99" s="17">
        <v>0</v>
      </c>
      <c r="BC99" s="17"/>
      <c r="BD99" s="17" t="b">
        <v>0</v>
      </c>
      <c r="BE99" s="17" t="s">
        <v>2106</v>
      </c>
      <c r="BF99" s="21">
        <v>45398</v>
      </c>
      <c r="BG99" s="21">
        <v>45763</v>
      </c>
      <c r="BH99" s="17"/>
      <c r="BI99" s="21">
        <v>44743</v>
      </c>
      <c r="BJ99" s="17">
        <v>0</v>
      </c>
      <c r="BK99" s="17" t="s">
        <v>443</v>
      </c>
      <c r="BL99" s="17" t="s">
        <v>418</v>
      </c>
      <c r="BM99" s="17" t="b">
        <v>1</v>
      </c>
      <c r="BN99" s="17" t="b">
        <v>1</v>
      </c>
      <c r="BO99" s="17" t="b">
        <v>1</v>
      </c>
      <c r="BP99" s="17" t="b">
        <v>1</v>
      </c>
      <c r="BQ99" s="17" t="b">
        <v>1</v>
      </c>
      <c r="BR99" s="17" t="b">
        <v>1</v>
      </c>
      <c r="BS99" s="17" t="b">
        <v>0</v>
      </c>
      <c r="BT99" s="17" t="b">
        <v>1</v>
      </c>
      <c r="BU99" s="17" t="b">
        <v>0</v>
      </c>
      <c r="BV99" s="17">
        <v>0</v>
      </c>
      <c r="BW99" s="21">
        <v>43282</v>
      </c>
      <c r="BX99" s="17" t="s">
        <v>414</v>
      </c>
      <c r="BY99" s="17" t="s">
        <v>414</v>
      </c>
      <c r="BZ99" s="17">
        <v>0</v>
      </c>
      <c r="CA99" s="21">
        <v>45959</v>
      </c>
      <c r="CB99" s="17" t="s">
        <v>419</v>
      </c>
      <c r="CC99" s="17" t="s">
        <v>2107</v>
      </c>
      <c r="CD99" s="21"/>
      <c r="CE99" s="17"/>
      <c r="CF99" s="17" t="s">
        <v>1095</v>
      </c>
      <c r="CG99" s="17" t="b">
        <v>0</v>
      </c>
      <c r="CH99" s="17" t="s">
        <v>425</v>
      </c>
      <c r="CI99" s="17">
        <v>0</v>
      </c>
      <c r="CJ99" s="21">
        <v>45839</v>
      </c>
      <c r="CK99" s="21">
        <v>1</v>
      </c>
      <c r="CL99" s="17" t="s">
        <v>414</v>
      </c>
      <c r="CM99" s="21">
        <v>1</v>
      </c>
      <c r="CN99" s="21">
        <v>1</v>
      </c>
      <c r="CO99" s="21">
        <v>1</v>
      </c>
      <c r="CP99" s="17" t="b">
        <v>0</v>
      </c>
      <c r="CQ99" s="17" t="b">
        <v>1</v>
      </c>
      <c r="CR99" s="17" t="b">
        <v>0</v>
      </c>
      <c r="CS99">
        <v>8500</v>
      </c>
      <c r="CT99" t="s">
        <v>1979</v>
      </c>
      <c r="CU99">
        <v>6538.46</v>
      </c>
      <c r="CV99">
        <v>1961.54</v>
      </c>
      <c r="CW99" s="22"/>
    </row>
    <row r="100" spans="1:101" x14ac:dyDescent="0.25">
      <c r="A100" s="20">
        <v>512</v>
      </c>
      <c r="B100" s="17" t="s">
        <v>426</v>
      </c>
      <c r="C100" s="17" t="s">
        <v>1112</v>
      </c>
      <c r="D100" s="17" t="s">
        <v>151</v>
      </c>
      <c r="E100" s="17" t="s">
        <v>1113</v>
      </c>
      <c r="F100" s="17" t="s">
        <v>1114</v>
      </c>
      <c r="G100" s="17" t="s">
        <v>414</v>
      </c>
      <c r="H100" s="17" t="s">
        <v>1115</v>
      </c>
      <c r="I100" s="17" t="s">
        <v>414</v>
      </c>
      <c r="J100" s="17" t="s">
        <v>96</v>
      </c>
      <c r="K100" s="17" t="b">
        <v>0</v>
      </c>
      <c r="L100" s="17" t="s">
        <v>1116</v>
      </c>
      <c r="M100" s="21">
        <v>45398</v>
      </c>
      <c r="N100" s="17" t="s">
        <v>414</v>
      </c>
      <c r="O100" s="17" t="s">
        <v>17</v>
      </c>
      <c r="P100" s="17" t="s">
        <v>18</v>
      </c>
      <c r="Q100" s="17">
        <v>10</v>
      </c>
      <c r="R100" s="17" t="s">
        <v>152</v>
      </c>
      <c r="S100" s="17">
        <v>18</v>
      </c>
      <c r="T100" s="17" t="s">
        <v>1117</v>
      </c>
      <c r="U100" s="21">
        <v>43466</v>
      </c>
      <c r="V100" s="17" t="s">
        <v>116</v>
      </c>
      <c r="W100" s="21">
        <v>1.4659722222222222</v>
      </c>
      <c r="X100" s="17" t="s">
        <v>1118</v>
      </c>
      <c r="Y100" s="17" t="s">
        <v>45</v>
      </c>
      <c r="Z100" s="17">
        <v>34220</v>
      </c>
      <c r="AA100" s="17" t="s">
        <v>46</v>
      </c>
      <c r="AB100" s="17" t="s">
        <v>443</v>
      </c>
      <c r="AC100" s="17">
        <v>0</v>
      </c>
      <c r="AD100" s="21">
        <v>45398</v>
      </c>
      <c r="AE100" s="21">
        <v>2</v>
      </c>
      <c r="AF100" s="17"/>
      <c r="AG100" s="21">
        <v>368</v>
      </c>
      <c r="AH100" s="17">
        <v>77668725</v>
      </c>
      <c r="AI100" s="21">
        <v>43831</v>
      </c>
      <c r="AJ100" s="17">
        <v>4423</v>
      </c>
      <c r="AK100" s="17">
        <v>0.29749999999999999</v>
      </c>
      <c r="AL100" s="17">
        <v>1315.84</v>
      </c>
      <c r="AM100" s="17" t="b">
        <v>1</v>
      </c>
      <c r="AN100" s="17" t="b">
        <v>1</v>
      </c>
      <c r="AO100" s="21">
        <v>45398</v>
      </c>
      <c r="AP100" s="21">
        <v>45398</v>
      </c>
      <c r="AQ100" s="17" t="b">
        <v>0</v>
      </c>
      <c r="AR100" s="21">
        <v>45398</v>
      </c>
      <c r="AS100" s="21">
        <v>45398</v>
      </c>
      <c r="AT100" s="21">
        <v>43739</v>
      </c>
      <c r="AU100" s="17" t="b">
        <v>1</v>
      </c>
      <c r="AV100" s="21">
        <v>43556</v>
      </c>
      <c r="AW100" s="17" t="s">
        <v>101</v>
      </c>
      <c r="AX100" s="17" t="s">
        <v>101</v>
      </c>
      <c r="AY100" s="17" t="s">
        <v>414</v>
      </c>
      <c r="AZ100" s="17" t="s">
        <v>450</v>
      </c>
      <c r="BA100" s="21">
        <v>45398</v>
      </c>
      <c r="BB100" s="17">
        <v>0</v>
      </c>
      <c r="BC100" s="17"/>
      <c r="BD100" s="17" t="b">
        <v>0</v>
      </c>
      <c r="BE100" s="17" t="s">
        <v>2030</v>
      </c>
      <c r="BF100" s="21">
        <v>45398</v>
      </c>
      <c r="BG100" s="21">
        <v>45763</v>
      </c>
      <c r="BH100" s="17"/>
      <c r="BI100" s="21">
        <v>45915</v>
      </c>
      <c r="BJ100" s="17">
        <v>0</v>
      </c>
      <c r="BK100" s="17" t="s">
        <v>443</v>
      </c>
      <c r="BL100" s="17" t="s">
        <v>443</v>
      </c>
      <c r="BM100" s="17" t="b">
        <v>0</v>
      </c>
      <c r="BN100" s="17" t="b">
        <v>0</v>
      </c>
      <c r="BO100" s="17" t="b">
        <v>0</v>
      </c>
      <c r="BP100" s="17" t="b">
        <v>0</v>
      </c>
      <c r="BQ100" s="17" t="b">
        <v>0</v>
      </c>
      <c r="BR100" s="17" t="b">
        <v>0</v>
      </c>
      <c r="BS100" s="17" t="b">
        <v>0</v>
      </c>
      <c r="BT100" s="17" t="b">
        <v>0</v>
      </c>
      <c r="BU100" s="17" t="b">
        <v>0</v>
      </c>
      <c r="BV100" s="17">
        <v>0</v>
      </c>
      <c r="BW100" s="21">
        <v>43497</v>
      </c>
      <c r="BX100" s="17" t="s">
        <v>414</v>
      </c>
      <c r="BY100" s="17" t="s">
        <v>414</v>
      </c>
      <c r="BZ100" s="17">
        <v>0</v>
      </c>
      <c r="CA100" s="21">
        <v>45959</v>
      </c>
      <c r="CB100" s="17" t="s">
        <v>419</v>
      </c>
      <c r="CC100" s="17" t="s">
        <v>2108</v>
      </c>
      <c r="CD100" s="21">
        <v>45872</v>
      </c>
      <c r="CE100" s="17" t="s">
        <v>415</v>
      </c>
      <c r="CF100" s="17" t="s">
        <v>414</v>
      </c>
      <c r="CG100" s="17" t="b">
        <v>0</v>
      </c>
      <c r="CH100" s="17" t="s">
        <v>414</v>
      </c>
      <c r="CI100" s="17">
        <v>2000</v>
      </c>
      <c r="CJ100" s="21">
        <v>1</v>
      </c>
      <c r="CK100" s="21">
        <v>1</v>
      </c>
      <c r="CL100" s="17" t="s">
        <v>414</v>
      </c>
      <c r="CM100" s="21">
        <v>1</v>
      </c>
      <c r="CN100" s="21">
        <v>1</v>
      </c>
      <c r="CO100" s="21">
        <v>1</v>
      </c>
      <c r="CP100" s="17" t="b">
        <v>0</v>
      </c>
      <c r="CQ100" s="17" t="b">
        <v>0</v>
      </c>
      <c r="CR100" s="17" t="b">
        <v>0</v>
      </c>
      <c r="CS100">
        <v>8500</v>
      </c>
      <c r="CT100" t="s">
        <v>1979</v>
      </c>
      <c r="CU100">
        <v>6538.46</v>
      </c>
      <c r="CV100">
        <v>1961.54</v>
      </c>
      <c r="CW100" s="22"/>
    </row>
    <row r="101" spans="1:101" x14ac:dyDescent="0.25">
      <c r="A101" s="20">
        <v>513</v>
      </c>
      <c r="B101" s="17" t="s">
        <v>619</v>
      </c>
      <c r="C101" s="17" t="s">
        <v>676</v>
      </c>
      <c r="D101" s="17" t="s">
        <v>153</v>
      </c>
      <c r="E101" s="17" t="s">
        <v>1119</v>
      </c>
      <c r="F101" s="17" t="s">
        <v>1120</v>
      </c>
      <c r="G101" s="17" t="s">
        <v>1121</v>
      </c>
      <c r="H101" s="17" t="s">
        <v>1122</v>
      </c>
      <c r="I101" s="17" t="s">
        <v>432</v>
      </c>
      <c r="J101" s="17" t="s">
        <v>16</v>
      </c>
      <c r="K101" s="17" t="b">
        <v>0</v>
      </c>
      <c r="L101" s="17" t="s">
        <v>1123</v>
      </c>
      <c r="M101" s="21">
        <v>34958</v>
      </c>
      <c r="N101" s="17" t="s">
        <v>642</v>
      </c>
      <c r="O101" s="17" t="s">
        <v>17</v>
      </c>
      <c r="P101" s="17" t="s">
        <v>18</v>
      </c>
      <c r="Q101" s="17">
        <v>17</v>
      </c>
      <c r="R101" s="17" t="s">
        <v>154</v>
      </c>
      <c r="S101" s="17">
        <v>55</v>
      </c>
      <c r="T101" s="17" t="s">
        <v>277</v>
      </c>
      <c r="U101" s="21">
        <v>43647</v>
      </c>
      <c r="V101" s="17" t="s">
        <v>108</v>
      </c>
      <c r="W101" s="21">
        <v>1.3277777777777779</v>
      </c>
      <c r="X101" s="17" t="s">
        <v>1124</v>
      </c>
      <c r="Y101" s="17" t="s">
        <v>45</v>
      </c>
      <c r="Z101" s="17">
        <v>110666</v>
      </c>
      <c r="AA101" s="17" t="s">
        <v>65</v>
      </c>
      <c r="AB101" s="17" t="s">
        <v>418</v>
      </c>
      <c r="AC101" s="17">
        <v>116</v>
      </c>
      <c r="AD101" s="21">
        <v>44425</v>
      </c>
      <c r="AE101" s="21">
        <v>45159</v>
      </c>
      <c r="AF101" s="17"/>
      <c r="AG101" s="21">
        <v>45525</v>
      </c>
      <c r="AH101" s="17">
        <v>78957713</v>
      </c>
      <c r="AI101" s="21">
        <v>44013</v>
      </c>
      <c r="AJ101" s="17">
        <v>4423</v>
      </c>
      <c r="AK101" s="17">
        <v>0.29749999999999999</v>
      </c>
      <c r="AL101" s="17">
        <v>1315.84</v>
      </c>
      <c r="AM101" s="17" t="b">
        <v>1</v>
      </c>
      <c r="AN101" s="17" t="b">
        <v>1</v>
      </c>
      <c r="AO101" s="21">
        <v>45398</v>
      </c>
      <c r="AP101" s="21">
        <v>45398</v>
      </c>
      <c r="AQ101" s="17" t="b">
        <v>0</v>
      </c>
      <c r="AR101" s="21">
        <v>45398</v>
      </c>
      <c r="AS101" s="21">
        <v>45398</v>
      </c>
      <c r="AT101" s="21">
        <v>43922</v>
      </c>
      <c r="AU101" s="17" t="b">
        <v>0</v>
      </c>
      <c r="AV101" s="21">
        <v>43739</v>
      </c>
      <c r="AW101" s="17" t="s">
        <v>27</v>
      </c>
      <c r="AX101" s="17" t="s">
        <v>27</v>
      </c>
      <c r="AY101" s="17" t="s">
        <v>414</v>
      </c>
      <c r="AZ101" s="17" t="s">
        <v>450</v>
      </c>
      <c r="BA101" s="21">
        <v>45398</v>
      </c>
      <c r="BB101" s="17">
        <v>0</v>
      </c>
      <c r="BC101" s="17"/>
      <c r="BD101" s="17" t="b">
        <v>0</v>
      </c>
      <c r="BE101" s="17" t="s">
        <v>1945</v>
      </c>
      <c r="BF101" s="21">
        <v>45398</v>
      </c>
      <c r="BG101" s="21">
        <v>45763</v>
      </c>
      <c r="BH101" s="17"/>
      <c r="BI101" s="21">
        <v>48173</v>
      </c>
      <c r="BJ101" s="17">
        <v>0</v>
      </c>
      <c r="BK101" s="17" t="s">
        <v>418</v>
      </c>
      <c r="BL101" s="17" t="s">
        <v>418</v>
      </c>
      <c r="BM101" s="17" t="b">
        <v>1</v>
      </c>
      <c r="BN101" s="17" t="b">
        <v>1</v>
      </c>
      <c r="BO101" s="17" t="b">
        <v>1</v>
      </c>
      <c r="BP101" s="17" t="b">
        <v>0</v>
      </c>
      <c r="BQ101" s="17" t="b">
        <v>1</v>
      </c>
      <c r="BR101" s="17" t="b">
        <v>1</v>
      </c>
      <c r="BS101" s="17" t="b">
        <v>0</v>
      </c>
      <c r="BT101" s="17" t="b">
        <v>1</v>
      </c>
      <c r="BU101" s="17" t="b">
        <v>0</v>
      </c>
      <c r="BV101" s="17">
        <v>0</v>
      </c>
      <c r="BW101" s="21">
        <v>43678</v>
      </c>
      <c r="BX101" s="17" t="s">
        <v>414</v>
      </c>
      <c r="BY101" s="17" t="s">
        <v>414</v>
      </c>
      <c r="BZ101" s="17">
        <v>0</v>
      </c>
      <c r="CA101" s="21">
        <v>45959</v>
      </c>
      <c r="CB101" s="17" t="s">
        <v>419</v>
      </c>
      <c r="CC101" s="17" t="s">
        <v>2109</v>
      </c>
      <c r="CD101" s="21"/>
      <c r="CE101" s="17"/>
      <c r="CF101" s="17" t="s">
        <v>1125</v>
      </c>
      <c r="CG101" s="17" t="b">
        <v>0</v>
      </c>
      <c r="CH101" s="17" t="s">
        <v>425</v>
      </c>
      <c r="CI101" s="17">
        <v>2001</v>
      </c>
      <c r="CJ101" s="21">
        <v>1</v>
      </c>
      <c r="CK101" s="21">
        <v>1</v>
      </c>
      <c r="CL101" s="17" t="s">
        <v>414</v>
      </c>
      <c r="CM101" s="21">
        <v>1</v>
      </c>
      <c r="CN101" s="21">
        <v>1</v>
      </c>
      <c r="CO101" s="21">
        <v>1</v>
      </c>
      <c r="CP101" s="17" t="b">
        <v>0</v>
      </c>
      <c r="CQ101" s="17" t="b">
        <v>0</v>
      </c>
      <c r="CR101" s="17" t="b">
        <v>0</v>
      </c>
      <c r="CS101">
        <v>8500</v>
      </c>
      <c r="CT101" t="s">
        <v>1979</v>
      </c>
      <c r="CU101">
        <v>6538.46</v>
      </c>
      <c r="CV101">
        <v>1961.54</v>
      </c>
      <c r="CW101" s="22"/>
    </row>
    <row r="102" spans="1:101" x14ac:dyDescent="0.25">
      <c r="A102" s="20">
        <v>516</v>
      </c>
      <c r="B102" s="17" t="s">
        <v>777</v>
      </c>
      <c r="C102" s="17" t="s">
        <v>420</v>
      </c>
      <c r="D102" s="17" t="s">
        <v>1129</v>
      </c>
      <c r="E102" s="17" t="s">
        <v>1130</v>
      </c>
      <c r="F102" s="17" t="s">
        <v>1131</v>
      </c>
      <c r="G102" s="17" t="s">
        <v>414</v>
      </c>
      <c r="H102" s="17" t="s">
        <v>1127</v>
      </c>
      <c r="I102" s="17" t="s">
        <v>432</v>
      </c>
      <c r="J102" s="17" t="s">
        <v>96</v>
      </c>
      <c r="K102" s="17" t="b">
        <v>0</v>
      </c>
      <c r="L102" s="17" t="s">
        <v>1132</v>
      </c>
      <c r="M102" s="21">
        <v>31156</v>
      </c>
      <c r="N102" s="17" t="s">
        <v>414</v>
      </c>
      <c r="O102" s="17" t="s">
        <v>17</v>
      </c>
      <c r="P102" s="17" t="s">
        <v>18</v>
      </c>
      <c r="Q102" s="17">
        <v>1</v>
      </c>
      <c r="R102" s="17" t="s">
        <v>19</v>
      </c>
      <c r="S102" s="17">
        <v>10</v>
      </c>
      <c r="T102" s="17" t="s">
        <v>657</v>
      </c>
      <c r="U102" s="21">
        <v>43466</v>
      </c>
      <c r="V102" s="17" t="s">
        <v>31</v>
      </c>
      <c r="W102" s="21">
        <v>1</v>
      </c>
      <c r="X102" s="17" t="s">
        <v>1128</v>
      </c>
      <c r="Y102" s="17" t="s">
        <v>21</v>
      </c>
      <c r="Z102" s="17">
        <v>0</v>
      </c>
      <c r="AA102" s="17" t="s">
        <v>414</v>
      </c>
      <c r="AB102" s="17" t="s">
        <v>443</v>
      </c>
      <c r="AC102" s="17">
        <v>0</v>
      </c>
      <c r="AD102" s="21">
        <v>45398</v>
      </c>
      <c r="AE102" s="21">
        <v>2</v>
      </c>
      <c r="AF102" s="17"/>
      <c r="AG102" s="21">
        <v>368</v>
      </c>
      <c r="AH102" s="17">
        <v>0</v>
      </c>
      <c r="AI102" s="21">
        <v>1</v>
      </c>
      <c r="AJ102" s="17">
        <v>0</v>
      </c>
      <c r="AK102" s="17">
        <v>0.29749999999999999</v>
      </c>
      <c r="AL102" s="17">
        <v>0</v>
      </c>
      <c r="AM102" s="17" t="b">
        <v>0</v>
      </c>
      <c r="AN102" s="17" t="b">
        <v>0</v>
      </c>
      <c r="AO102" s="21">
        <v>45398</v>
      </c>
      <c r="AP102" s="21">
        <v>45398</v>
      </c>
      <c r="AQ102" s="17" t="b">
        <v>0</v>
      </c>
      <c r="AR102" s="21">
        <v>45398</v>
      </c>
      <c r="AS102" s="21">
        <v>45398</v>
      </c>
      <c r="AT102" s="21">
        <v>-90</v>
      </c>
      <c r="AU102" s="17" t="b">
        <v>0</v>
      </c>
      <c r="AV102" s="21">
        <v>43556</v>
      </c>
      <c r="AW102" s="17" t="s">
        <v>23</v>
      </c>
      <c r="AX102" s="17" t="s">
        <v>23</v>
      </c>
      <c r="AY102" s="17" t="s">
        <v>23</v>
      </c>
      <c r="AZ102" s="17" t="s">
        <v>450</v>
      </c>
      <c r="BA102" s="21">
        <v>45398</v>
      </c>
      <c r="BB102" s="17">
        <v>0</v>
      </c>
      <c r="BC102" s="17"/>
      <c r="BD102" s="17" t="b">
        <v>0</v>
      </c>
      <c r="BE102" s="17" t="s">
        <v>2030</v>
      </c>
      <c r="BF102" s="21">
        <v>45398</v>
      </c>
      <c r="BG102" s="21">
        <v>45763</v>
      </c>
      <c r="BH102" s="17"/>
      <c r="BI102" s="21">
        <v>45398</v>
      </c>
      <c r="BJ102" s="17">
        <v>0</v>
      </c>
      <c r="BK102" s="17" t="s">
        <v>443</v>
      </c>
      <c r="BL102" s="17" t="s">
        <v>443</v>
      </c>
      <c r="BM102" s="17" t="b">
        <v>0</v>
      </c>
      <c r="BN102" s="17" t="b">
        <v>0</v>
      </c>
      <c r="BO102" s="17" t="b">
        <v>0</v>
      </c>
      <c r="BP102" s="17" t="b">
        <v>0</v>
      </c>
      <c r="BQ102" s="17" t="b">
        <v>0</v>
      </c>
      <c r="BR102" s="17" t="b">
        <v>0</v>
      </c>
      <c r="BS102" s="17" t="b">
        <v>0</v>
      </c>
      <c r="BT102" s="17" t="b">
        <v>0</v>
      </c>
      <c r="BU102" s="17" t="b">
        <v>0</v>
      </c>
      <c r="BV102" s="17">
        <v>0</v>
      </c>
      <c r="BW102" s="21">
        <v>43497</v>
      </c>
      <c r="BX102" s="17" t="s">
        <v>414</v>
      </c>
      <c r="BY102" s="17" t="s">
        <v>414</v>
      </c>
      <c r="BZ102" s="17">
        <v>0</v>
      </c>
      <c r="CA102" s="21">
        <v>45918</v>
      </c>
      <c r="CB102" s="17" t="s">
        <v>419</v>
      </c>
      <c r="CC102" s="17" t="s">
        <v>2110</v>
      </c>
      <c r="CD102" s="21"/>
      <c r="CE102" s="17"/>
      <c r="CF102" s="17" t="s">
        <v>414</v>
      </c>
      <c r="CG102" s="17" t="b">
        <v>0</v>
      </c>
      <c r="CH102" s="17" t="s">
        <v>414</v>
      </c>
      <c r="CI102" s="17">
        <v>0</v>
      </c>
      <c r="CJ102" s="21">
        <v>1</v>
      </c>
      <c r="CK102" s="21">
        <v>1</v>
      </c>
      <c r="CL102" s="17" t="s">
        <v>414</v>
      </c>
      <c r="CM102" s="21">
        <v>1</v>
      </c>
      <c r="CN102" s="21">
        <v>1</v>
      </c>
      <c r="CO102" s="21">
        <v>1</v>
      </c>
      <c r="CP102" s="17" t="b">
        <v>0</v>
      </c>
      <c r="CQ102" s="17" t="b">
        <v>0</v>
      </c>
      <c r="CR102" s="17" t="b">
        <v>0</v>
      </c>
      <c r="CW102" s="22"/>
    </row>
    <row r="103" spans="1:101" x14ac:dyDescent="0.25">
      <c r="A103" s="20">
        <v>518</v>
      </c>
      <c r="B103" s="17" t="s">
        <v>426</v>
      </c>
      <c r="C103" s="17" t="s">
        <v>815</v>
      </c>
      <c r="D103" s="17" t="s">
        <v>1136</v>
      </c>
      <c r="E103" s="17" t="s">
        <v>1137</v>
      </c>
      <c r="F103" s="17" t="s">
        <v>1138</v>
      </c>
      <c r="G103" s="17" t="s">
        <v>414</v>
      </c>
      <c r="H103" s="17" t="s">
        <v>1139</v>
      </c>
      <c r="I103" s="17" t="s">
        <v>414</v>
      </c>
      <c r="J103" s="17" t="s">
        <v>96</v>
      </c>
      <c r="K103" s="17" t="b">
        <v>0</v>
      </c>
      <c r="L103" s="17" t="s">
        <v>1140</v>
      </c>
      <c r="M103" s="21">
        <v>31098</v>
      </c>
      <c r="N103" s="17" t="s">
        <v>414</v>
      </c>
      <c r="O103" s="17" t="s">
        <v>17</v>
      </c>
      <c r="P103" s="17" t="s">
        <v>18</v>
      </c>
      <c r="Q103" s="17">
        <v>1</v>
      </c>
      <c r="R103" s="17" t="s">
        <v>19</v>
      </c>
      <c r="S103" s="17">
        <v>21</v>
      </c>
      <c r="T103" s="17" t="s">
        <v>46</v>
      </c>
      <c r="U103" s="21">
        <v>43466</v>
      </c>
      <c r="V103" s="17" t="s">
        <v>829</v>
      </c>
      <c r="W103" s="21">
        <v>1</v>
      </c>
      <c r="X103" s="17" t="s">
        <v>1134</v>
      </c>
      <c r="Y103" s="17" t="s">
        <v>21</v>
      </c>
      <c r="Z103" s="17">
        <v>0</v>
      </c>
      <c r="AA103" s="17" t="s">
        <v>414</v>
      </c>
      <c r="AB103" s="17" t="s">
        <v>443</v>
      </c>
      <c r="AC103" s="17">
        <v>0</v>
      </c>
      <c r="AD103" s="21">
        <v>1</v>
      </c>
      <c r="AE103" s="21">
        <v>2</v>
      </c>
      <c r="AF103" s="17"/>
      <c r="AG103" s="21">
        <v>368</v>
      </c>
      <c r="AH103" s="17">
        <v>0</v>
      </c>
      <c r="AI103" s="21">
        <v>1</v>
      </c>
      <c r="AJ103" s="17">
        <v>0</v>
      </c>
      <c r="AK103" s="17">
        <v>0.29749999999999999</v>
      </c>
      <c r="AL103" s="17">
        <v>0</v>
      </c>
      <c r="AM103" s="17" t="b">
        <v>0</v>
      </c>
      <c r="AN103" s="17" t="b">
        <v>0</v>
      </c>
      <c r="AO103" s="21">
        <v>45477</v>
      </c>
      <c r="AP103" s="21">
        <v>45477</v>
      </c>
      <c r="AQ103" s="17" t="b">
        <v>0</v>
      </c>
      <c r="AR103" s="21">
        <v>45477</v>
      </c>
      <c r="AS103" s="21">
        <v>45477</v>
      </c>
      <c r="AT103" s="21">
        <v>-90</v>
      </c>
      <c r="AU103" s="17" t="b">
        <v>0</v>
      </c>
      <c r="AV103" s="21">
        <v>43556</v>
      </c>
      <c r="AW103" s="17" t="s">
        <v>23</v>
      </c>
      <c r="AX103" s="17" t="s">
        <v>23</v>
      </c>
      <c r="AY103" s="17" t="s">
        <v>23</v>
      </c>
      <c r="AZ103" s="17" t="s">
        <v>450</v>
      </c>
      <c r="BA103" s="21">
        <v>45477</v>
      </c>
      <c r="BB103" s="17">
        <v>0</v>
      </c>
      <c r="BC103" s="17"/>
      <c r="BD103" s="17" t="b">
        <v>0</v>
      </c>
      <c r="BE103" s="17" t="s">
        <v>2030</v>
      </c>
      <c r="BF103" s="21">
        <v>45477</v>
      </c>
      <c r="BG103" s="21">
        <v>45842</v>
      </c>
      <c r="BH103" s="17"/>
      <c r="BI103" s="21">
        <v>45477</v>
      </c>
      <c r="BJ103" s="17">
        <v>0</v>
      </c>
      <c r="BK103" s="17" t="s">
        <v>443</v>
      </c>
      <c r="BL103" s="17" t="s">
        <v>443</v>
      </c>
      <c r="BM103" s="17" t="b">
        <v>0</v>
      </c>
      <c r="BN103" s="17" t="b">
        <v>0</v>
      </c>
      <c r="BO103" s="17" t="b">
        <v>0</v>
      </c>
      <c r="BP103" s="17" t="b">
        <v>0</v>
      </c>
      <c r="BQ103" s="17" t="b">
        <v>0</v>
      </c>
      <c r="BR103" s="17" t="b">
        <v>0</v>
      </c>
      <c r="BS103" s="17" t="b">
        <v>0</v>
      </c>
      <c r="BT103" s="17" t="b">
        <v>0</v>
      </c>
      <c r="BU103" s="17" t="b">
        <v>0</v>
      </c>
      <c r="BV103" s="17">
        <v>0</v>
      </c>
      <c r="BW103" s="21">
        <v>43497</v>
      </c>
      <c r="BX103" s="17" t="s">
        <v>414</v>
      </c>
      <c r="BY103" s="17" t="s">
        <v>414</v>
      </c>
      <c r="BZ103" s="17">
        <v>0</v>
      </c>
      <c r="CA103" s="21">
        <v>45825</v>
      </c>
      <c r="CB103" s="17" t="s">
        <v>438</v>
      </c>
      <c r="CC103" s="17" t="s">
        <v>2111</v>
      </c>
      <c r="CD103" s="21"/>
      <c r="CE103" s="17"/>
      <c r="CF103" s="17" t="s">
        <v>414</v>
      </c>
      <c r="CG103" s="17" t="b">
        <v>0</v>
      </c>
      <c r="CH103" s="17" t="s">
        <v>414</v>
      </c>
      <c r="CI103" s="17"/>
      <c r="CJ103" s="21"/>
      <c r="CK103" s="21"/>
      <c r="CL103" s="17"/>
      <c r="CM103" s="21"/>
      <c r="CN103" s="21"/>
      <c r="CO103" s="21"/>
      <c r="CP103" s="17"/>
      <c r="CQ103" s="17"/>
      <c r="CR103" s="17"/>
      <c r="CW103" s="22"/>
    </row>
    <row r="104" spans="1:101" x14ac:dyDescent="0.25">
      <c r="A104" s="20">
        <v>519</v>
      </c>
      <c r="B104" s="17" t="s">
        <v>532</v>
      </c>
      <c r="C104" s="17" t="s">
        <v>1141</v>
      </c>
      <c r="D104" s="17" t="s">
        <v>1142</v>
      </c>
      <c r="E104" s="17" t="s">
        <v>1143</v>
      </c>
      <c r="F104" s="17" t="s">
        <v>1144</v>
      </c>
      <c r="G104" s="17" t="s">
        <v>414</v>
      </c>
      <c r="H104" s="17" t="s">
        <v>414</v>
      </c>
      <c r="I104" s="17" t="s">
        <v>414</v>
      </c>
      <c r="J104" s="17" t="s">
        <v>96</v>
      </c>
      <c r="K104" s="17" t="b">
        <v>0</v>
      </c>
      <c r="L104" s="17" t="s">
        <v>414</v>
      </c>
      <c r="M104" s="21">
        <v>45398</v>
      </c>
      <c r="N104" s="17" t="s">
        <v>414</v>
      </c>
      <c r="O104" s="17" t="s">
        <v>17</v>
      </c>
      <c r="P104" s="17" t="s">
        <v>18</v>
      </c>
      <c r="Q104" s="17">
        <v>2</v>
      </c>
      <c r="R104" s="17" t="s">
        <v>50</v>
      </c>
      <c r="S104" s="17">
        <v>22</v>
      </c>
      <c r="T104" s="17" t="s">
        <v>1145</v>
      </c>
      <c r="U104" s="21">
        <v>43466</v>
      </c>
      <c r="V104" s="17" t="s">
        <v>829</v>
      </c>
      <c r="W104" s="21">
        <v>1</v>
      </c>
      <c r="X104" s="17" t="s">
        <v>1146</v>
      </c>
      <c r="Y104" s="17" t="s">
        <v>21</v>
      </c>
      <c r="Z104" s="17">
        <v>0</v>
      </c>
      <c r="AA104" s="17" t="s">
        <v>414</v>
      </c>
      <c r="AB104" s="17" t="s">
        <v>443</v>
      </c>
      <c r="AC104" s="17">
        <v>0</v>
      </c>
      <c r="AD104" s="21">
        <v>45398</v>
      </c>
      <c r="AE104" s="21">
        <v>2</v>
      </c>
      <c r="AF104" s="17"/>
      <c r="AG104" s="21">
        <v>368</v>
      </c>
      <c r="AH104" s="17">
        <v>0</v>
      </c>
      <c r="AI104" s="21">
        <v>1</v>
      </c>
      <c r="AJ104" s="17">
        <v>0</v>
      </c>
      <c r="AK104" s="17">
        <v>0.29749999999999999</v>
      </c>
      <c r="AL104" s="17">
        <v>0</v>
      </c>
      <c r="AM104" s="17" t="b">
        <v>0</v>
      </c>
      <c r="AN104" s="17" t="b">
        <v>0</v>
      </c>
      <c r="AO104" s="21">
        <v>45398</v>
      </c>
      <c r="AP104" s="21">
        <v>45398</v>
      </c>
      <c r="AQ104" s="17" t="b">
        <v>0</v>
      </c>
      <c r="AR104" s="21">
        <v>45398</v>
      </c>
      <c r="AS104" s="21">
        <v>45398</v>
      </c>
      <c r="AT104" s="21">
        <v>-90</v>
      </c>
      <c r="AU104" s="17" t="b">
        <v>0</v>
      </c>
      <c r="AV104" s="21">
        <v>43556</v>
      </c>
      <c r="AW104" s="17" t="s">
        <v>23</v>
      </c>
      <c r="AX104" s="17" t="s">
        <v>23</v>
      </c>
      <c r="AY104" s="17"/>
      <c r="AZ104" s="17" t="s">
        <v>450</v>
      </c>
      <c r="BA104" s="21">
        <v>45398</v>
      </c>
      <c r="BB104" s="17">
        <v>0</v>
      </c>
      <c r="BC104" s="17"/>
      <c r="BD104" s="17" t="b">
        <v>0</v>
      </c>
      <c r="BE104" s="17" t="s">
        <v>2030</v>
      </c>
      <c r="BF104" s="21">
        <v>45398</v>
      </c>
      <c r="BG104" s="21">
        <v>45763</v>
      </c>
      <c r="BH104" s="17"/>
      <c r="BI104" s="21">
        <v>45398</v>
      </c>
      <c r="BJ104" s="17">
        <v>0</v>
      </c>
      <c r="BK104" s="17" t="s">
        <v>443</v>
      </c>
      <c r="BL104" s="17" t="s">
        <v>443</v>
      </c>
      <c r="BM104" s="17" t="b">
        <v>0</v>
      </c>
      <c r="BN104" s="17" t="b">
        <v>0</v>
      </c>
      <c r="BO104" s="17" t="b">
        <v>0</v>
      </c>
      <c r="BP104" s="17" t="b">
        <v>0</v>
      </c>
      <c r="BQ104" s="17" t="b">
        <v>0</v>
      </c>
      <c r="BR104" s="17" t="b">
        <v>0</v>
      </c>
      <c r="BS104" s="17" t="b">
        <v>0</v>
      </c>
      <c r="BT104" s="17" t="b">
        <v>0</v>
      </c>
      <c r="BU104" s="17" t="b">
        <v>0</v>
      </c>
      <c r="BV104" s="17">
        <v>0</v>
      </c>
      <c r="BW104" s="21">
        <v>43497</v>
      </c>
      <c r="BX104" s="17" t="s">
        <v>414</v>
      </c>
      <c r="BY104" s="17" t="s">
        <v>414</v>
      </c>
      <c r="BZ104" s="17">
        <v>0</v>
      </c>
      <c r="CA104" s="21">
        <v>45825</v>
      </c>
      <c r="CB104" s="17" t="s">
        <v>419</v>
      </c>
      <c r="CC104" s="17" t="s">
        <v>2108</v>
      </c>
      <c r="CD104" s="21"/>
      <c r="CE104" s="17"/>
      <c r="CF104" s="17" t="s">
        <v>414</v>
      </c>
      <c r="CG104" s="17" t="b">
        <v>0</v>
      </c>
      <c r="CH104" s="17" t="s">
        <v>414</v>
      </c>
      <c r="CI104" s="17"/>
      <c r="CJ104" s="21"/>
      <c r="CK104" s="21"/>
      <c r="CL104" s="17"/>
      <c r="CM104" s="21"/>
      <c r="CN104" s="21"/>
      <c r="CO104" s="21"/>
      <c r="CP104" s="17"/>
      <c r="CQ104" s="17"/>
      <c r="CR104" s="17"/>
      <c r="CW104" s="22"/>
    </row>
    <row r="105" spans="1:101" x14ac:dyDescent="0.25">
      <c r="A105" s="20">
        <v>520</v>
      </c>
      <c r="B105" s="17" t="s">
        <v>460</v>
      </c>
      <c r="C105" s="17" t="s">
        <v>420</v>
      </c>
      <c r="D105" s="17" t="s">
        <v>1147</v>
      </c>
      <c r="E105" s="17" t="s">
        <v>1148</v>
      </c>
      <c r="F105" s="17" t="s">
        <v>1149</v>
      </c>
      <c r="G105" s="17" t="s">
        <v>414</v>
      </c>
      <c r="H105" s="17" t="s">
        <v>1150</v>
      </c>
      <c r="I105" s="17" t="s">
        <v>414</v>
      </c>
      <c r="J105" s="17" t="s">
        <v>96</v>
      </c>
      <c r="K105" s="17" t="b">
        <v>0</v>
      </c>
      <c r="L105" s="17" t="s">
        <v>1151</v>
      </c>
      <c r="M105" s="21">
        <v>32874</v>
      </c>
      <c r="N105" s="17" t="s">
        <v>414</v>
      </c>
      <c r="O105" s="17" t="s">
        <v>17</v>
      </c>
      <c r="P105" s="17" t="s">
        <v>18</v>
      </c>
      <c r="Q105" s="17">
        <v>11</v>
      </c>
      <c r="R105" s="17" t="s">
        <v>1152</v>
      </c>
      <c r="S105" s="17">
        <v>23</v>
      </c>
      <c r="T105" s="17" t="s">
        <v>1153</v>
      </c>
      <c r="U105" s="21">
        <v>43466</v>
      </c>
      <c r="V105" s="17" t="s">
        <v>155</v>
      </c>
      <c r="W105" s="21">
        <v>1</v>
      </c>
      <c r="X105" s="17" t="s">
        <v>816</v>
      </c>
      <c r="Y105" s="17" t="s">
        <v>21</v>
      </c>
      <c r="Z105" s="17">
        <v>0</v>
      </c>
      <c r="AA105" s="17" t="s">
        <v>1154</v>
      </c>
      <c r="AB105" s="17" t="s">
        <v>443</v>
      </c>
      <c r="AC105" s="17">
        <v>0</v>
      </c>
      <c r="AD105" s="21">
        <v>45398</v>
      </c>
      <c r="AE105" s="21">
        <v>2</v>
      </c>
      <c r="AF105" s="17"/>
      <c r="AG105" s="21">
        <v>368</v>
      </c>
      <c r="AH105" s="17">
        <v>0</v>
      </c>
      <c r="AI105" s="21">
        <v>1</v>
      </c>
      <c r="AJ105" s="17">
        <v>0</v>
      </c>
      <c r="AK105" s="17">
        <v>0.29749999999999999</v>
      </c>
      <c r="AL105" s="17">
        <v>0</v>
      </c>
      <c r="AM105" s="17" t="b">
        <v>0</v>
      </c>
      <c r="AN105" s="17" t="b">
        <v>0</v>
      </c>
      <c r="AO105" s="21">
        <v>45398</v>
      </c>
      <c r="AP105" s="21">
        <v>45398</v>
      </c>
      <c r="AQ105" s="17" t="b">
        <v>0</v>
      </c>
      <c r="AR105" s="21">
        <v>45398</v>
      </c>
      <c r="AS105" s="21">
        <v>45398</v>
      </c>
      <c r="AT105" s="21">
        <v>-90</v>
      </c>
      <c r="AU105" s="17" t="b">
        <v>1</v>
      </c>
      <c r="AV105" s="21">
        <v>43556</v>
      </c>
      <c r="AW105" s="17" t="s">
        <v>101</v>
      </c>
      <c r="AX105" s="17" t="s">
        <v>101</v>
      </c>
      <c r="AY105" s="17"/>
      <c r="AZ105" s="17" t="s">
        <v>450</v>
      </c>
      <c r="BA105" s="21">
        <v>45398</v>
      </c>
      <c r="BB105" s="17">
        <v>0</v>
      </c>
      <c r="BC105" s="17"/>
      <c r="BD105" s="17" t="b">
        <v>0</v>
      </c>
      <c r="BE105" s="17" t="s">
        <v>2030</v>
      </c>
      <c r="BF105" s="21">
        <v>45398</v>
      </c>
      <c r="BG105" s="21">
        <v>45763</v>
      </c>
      <c r="BH105" s="17"/>
      <c r="BI105" s="21">
        <v>45398</v>
      </c>
      <c r="BJ105" s="17">
        <v>0</v>
      </c>
      <c r="BK105" s="17" t="s">
        <v>443</v>
      </c>
      <c r="BL105" s="17" t="s">
        <v>443</v>
      </c>
      <c r="BM105" s="17" t="b">
        <v>0</v>
      </c>
      <c r="BN105" s="17" t="b">
        <v>0</v>
      </c>
      <c r="BO105" s="17" t="b">
        <v>0</v>
      </c>
      <c r="BP105" s="17" t="b">
        <v>0</v>
      </c>
      <c r="BQ105" s="17" t="b">
        <v>0</v>
      </c>
      <c r="BR105" s="17" t="b">
        <v>0</v>
      </c>
      <c r="BS105" s="17" t="b">
        <v>0</v>
      </c>
      <c r="BT105" s="17" t="b">
        <v>0</v>
      </c>
      <c r="BU105" s="17" t="b">
        <v>0</v>
      </c>
      <c r="BV105" s="17">
        <v>0</v>
      </c>
      <c r="BW105" s="21">
        <v>43497</v>
      </c>
      <c r="BX105" s="17" t="s">
        <v>414</v>
      </c>
      <c r="BY105" s="17" t="s">
        <v>414</v>
      </c>
      <c r="BZ105" s="17">
        <v>0</v>
      </c>
      <c r="CA105" s="21">
        <v>45398</v>
      </c>
      <c r="CB105" s="17" t="s">
        <v>419</v>
      </c>
      <c r="CC105" s="17" t="s">
        <v>2112</v>
      </c>
      <c r="CD105" s="21"/>
      <c r="CE105" s="17"/>
      <c r="CF105" s="17" t="s">
        <v>601</v>
      </c>
      <c r="CG105" s="17"/>
      <c r="CH105" s="17"/>
      <c r="CI105" s="17"/>
      <c r="CJ105" s="21"/>
      <c r="CK105" s="21"/>
      <c r="CL105" s="17"/>
      <c r="CM105" s="21"/>
      <c r="CN105" s="21"/>
      <c r="CO105" s="21"/>
      <c r="CP105" s="17"/>
      <c r="CQ105" s="17"/>
      <c r="CR105" s="17"/>
      <c r="CW105" s="22"/>
    </row>
    <row r="106" spans="1:101" x14ac:dyDescent="0.25">
      <c r="A106" s="20">
        <v>521</v>
      </c>
      <c r="B106" s="17" t="s">
        <v>1155</v>
      </c>
      <c r="C106" s="17" t="s">
        <v>862</v>
      </c>
      <c r="D106" s="17" t="s">
        <v>1156</v>
      </c>
      <c r="E106" s="17" t="s">
        <v>1157</v>
      </c>
      <c r="F106" s="17" t="s">
        <v>1158</v>
      </c>
      <c r="G106" s="17" t="s">
        <v>414</v>
      </c>
      <c r="H106" s="17" t="s">
        <v>1159</v>
      </c>
      <c r="I106" s="17" t="s">
        <v>414</v>
      </c>
      <c r="J106" s="17" t="s">
        <v>96</v>
      </c>
      <c r="K106" s="17" t="b">
        <v>0</v>
      </c>
      <c r="L106" s="17" t="s">
        <v>414</v>
      </c>
      <c r="M106" s="21">
        <v>33823</v>
      </c>
      <c r="N106" s="17" t="s">
        <v>414</v>
      </c>
      <c r="O106" s="17" t="s">
        <v>17</v>
      </c>
      <c r="P106" s="17" t="s">
        <v>18</v>
      </c>
      <c r="Q106" s="17">
        <v>1</v>
      </c>
      <c r="R106" s="17" t="s">
        <v>19</v>
      </c>
      <c r="S106" s="17">
        <v>24</v>
      </c>
      <c r="T106" s="17" t="s">
        <v>1160</v>
      </c>
      <c r="U106" s="21">
        <v>45398</v>
      </c>
      <c r="V106" s="17" t="s">
        <v>155</v>
      </c>
      <c r="W106" s="21">
        <v>1</v>
      </c>
      <c r="X106" s="17" t="s">
        <v>816</v>
      </c>
      <c r="Y106" s="17" t="s">
        <v>21</v>
      </c>
      <c r="Z106" s="17">
        <v>0</v>
      </c>
      <c r="AA106" s="17" t="s">
        <v>414</v>
      </c>
      <c r="AB106" s="17" t="s">
        <v>443</v>
      </c>
      <c r="AC106" s="17">
        <v>0</v>
      </c>
      <c r="AD106" s="21">
        <v>45398</v>
      </c>
      <c r="AE106" s="21">
        <v>2</v>
      </c>
      <c r="AF106" s="17"/>
      <c r="AG106" s="21">
        <v>368</v>
      </c>
      <c r="AH106" s="17">
        <v>0</v>
      </c>
      <c r="AI106" s="21">
        <v>1</v>
      </c>
      <c r="AJ106" s="17">
        <v>0</v>
      </c>
      <c r="AK106" s="17">
        <v>0.29749999999999999</v>
      </c>
      <c r="AL106" s="17">
        <v>0</v>
      </c>
      <c r="AM106" s="17" t="b">
        <v>0</v>
      </c>
      <c r="AN106" s="17" t="b">
        <v>0</v>
      </c>
      <c r="AO106" s="21">
        <v>45398</v>
      </c>
      <c r="AP106" s="21">
        <v>45398</v>
      </c>
      <c r="AQ106" s="17" t="b">
        <v>0</v>
      </c>
      <c r="AR106" s="21">
        <v>45398</v>
      </c>
      <c r="AS106" s="21">
        <v>45398</v>
      </c>
      <c r="AT106" s="21">
        <v>-90</v>
      </c>
      <c r="AU106" s="17" t="b">
        <v>1</v>
      </c>
      <c r="AV106" s="21">
        <v>45489</v>
      </c>
      <c r="AW106" s="17" t="s">
        <v>101</v>
      </c>
      <c r="AX106" s="17" t="s">
        <v>101</v>
      </c>
      <c r="AY106" s="17"/>
      <c r="AZ106" s="17" t="s">
        <v>450</v>
      </c>
      <c r="BA106" s="21">
        <v>45398</v>
      </c>
      <c r="BB106" s="17">
        <v>0</v>
      </c>
      <c r="BC106" s="17"/>
      <c r="BD106" s="17" t="b">
        <v>0</v>
      </c>
      <c r="BE106" s="17" t="s">
        <v>2108</v>
      </c>
      <c r="BF106" s="21">
        <v>45398</v>
      </c>
      <c r="BG106" s="21">
        <v>45763</v>
      </c>
      <c r="BH106" s="17"/>
      <c r="BI106" s="21">
        <v>45398</v>
      </c>
      <c r="BJ106" s="17">
        <v>0</v>
      </c>
      <c r="BK106" s="17" t="s">
        <v>443</v>
      </c>
      <c r="BL106" s="17" t="s">
        <v>443</v>
      </c>
      <c r="BM106" s="17" t="b">
        <v>0</v>
      </c>
      <c r="BN106" s="17" t="b">
        <v>0</v>
      </c>
      <c r="BO106" s="17" t="b">
        <v>0</v>
      </c>
      <c r="BP106" s="17" t="b">
        <v>0</v>
      </c>
      <c r="BQ106" s="17" t="b">
        <v>0</v>
      </c>
      <c r="BR106" s="17" t="b">
        <v>0</v>
      </c>
      <c r="BS106" s="17" t="b">
        <v>0</v>
      </c>
      <c r="BT106" s="17" t="b">
        <v>0</v>
      </c>
      <c r="BU106" s="17" t="b">
        <v>0</v>
      </c>
      <c r="BV106" s="17">
        <v>0</v>
      </c>
      <c r="BW106" s="21">
        <v>45428</v>
      </c>
      <c r="BX106" s="17" t="s">
        <v>414</v>
      </c>
      <c r="BY106" s="17" t="s">
        <v>414</v>
      </c>
      <c r="BZ106" s="17">
        <v>0</v>
      </c>
      <c r="CA106" s="21">
        <v>45398</v>
      </c>
      <c r="CB106" s="17" t="s">
        <v>419</v>
      </c>
      <c r="CC106" s="17" t="s">
        <v>2113</v>
      </c>
      <c r="CD106" s="21"/>
      <c r="CE106" s="17"/>
      <c r="CF106" s="17"/>
      <c r="CG106" s="17"/>
      <c r="CH106" s="17"/>
      <c r="CI106" s="17"/>
      <c r="CJ106" s="21"/>
      <c r="CK106" s="21"/>
      <c r="CL106" s="17"/>
      <c r="CM106" s="21"/>
      <c r="CN106" s="21"/>
      <c r="CO106" s="21"/>
      <c r="CP106" s="17"/>
      <c r="CQ106" s="17"/>
      <c r="CR106" s="17"/>
      <c r="CW106" s="22"/>
    </row>
    <row r="107" spans="1:101" x14ac:dyDescent="0.25">
      <c r="A107" s="20">
        <v>522</v>
      </c>
      <c r="B107" s="17" t="s">
        <v>426</v>
      </c>
      <c r="C107" s="17" t="s">
        <v>1161</v>
      </c>
      <c r="D107" s="17" t="s">
        <v>1162</v>
      </c>
      <c r="E107" s="17" t="s">
        <v>1163</v>
      </c>
      <c r="F107" s="17" t="s">
        <v>1164</v>
      </c>
      <c r="G107" s="17" t="s">
        <v>414</v>
      </c>
      <c r="H107" s="17" t="s">
        <v>1150</v>
      </c>
      <c r="I107" s="17" t="s">
        <v>414</v>
      </c>
      <c r="J107" s="17" t="s">
        <v>96</v>
      </c>
      <c r="K107" s="17" t="b">
        <v>0</v>
      </c>
      <c r="L107" s="17" t="s">
        <v>1165</v>
      </c>
      <c r="M107" s="21">
        <v>31504</v>
      </c>
      <c r="N107" s="17" t="s">
        <v>414</v>
      </c>
      <c r="O107" s="17" t="s">
        <v>17</v>
      </c>
      <c r="P107" s="17" t="s">
        <v>18</v>
      </c>
      <c r="Q107" s="17">
        <v>1</v>
      </c>
      <c r="R107" s="17" t="s">
        <v>19</v>
      </c>
      <c r="S107" s="17">
        <v>21</v>
      </c>
      <c r="T107" s="17" t="s">
        <v>46</v>
      </c>
      <c r="U107" s="21">
        <v>43466</v>
      </c>
      <c r="V107" s="17" t="s">
        <v>829</v>
      </c>
      <c r="W107" s="21">
        <v>1</v>
      </c>
      <c r="X107" s="17" t="s">
        <v>816</v>
      </c>
      <c r="Y107" s="17" t="s">
        <v>21</v>
      </c>
      <c r="Z107" s="17">
        <v>0</v>
      </c>
      <c r="AA107" s="17" t="s">
        <v>414</v>
      </c>
      <c r="AB107" s="17" t="s">
        <v>443</v>
      </c>
      <c r="AC107" s="17">
        <v>0</v>
      </c>
      <c r="AD107" s="21">
        <v>45398</v>
      </c>
      <c r="AE107" s="21">
        <v>2</v>
      </c>
      <c r="AF107" s="17"/>
      <c r="AG107" s="21">
        <v>368</v>
      </c>
      <c r="AH107" s="17">
        <v>0</v>
      </c>
      <c r="AI107" s="21">
        <v>1</v>
      </c>
      <c r="AJ107" s="17">
        <v>0</v>
      </c>
      <c r="AK107" s="17">
        <v>0.29749999999999999</v>
      </c>
      <c r="AL107" s="17">
        <v>0</v>
      </c>
      <c r="AM107" s="17" t="b">
        <v>0</v>
      </c>
      <c r="AN107" s="17" t="b">
        <v>0</v>
      </c>
      <c r="AO107" s="21">
        <v>45398</v>
      </c>
      <c r="AP107" s="21">
        <v>45398</v>
      </c>
      <c r="AQ107" s="17" t="b">
        <v>0</v>
      </c>
      <c r="AR107" s="21">
        <v>45398</v>
      </c>
      <c r="AS107" s="21">
        <v>45398</v>
      </c>
      <c r="AT107" s="21">
        <v>-90</v>
      </c>
      <c r="AU107" s="17" t="b">
        <v>0</v>
      </c>
      <c r="AV107" s="21">
        <v>43556</v>
      </c>
      <c r="AW107" s="17" t="s">
        <v>23</v>
      </c>
      <c r="AX107" s="17" t="s">
        <v>23</v>
      </c>
      <c r="AY107" s="17"/>
      <c r="AZ107" s="17" t="s">
        <v>450</v>
      </c>
      <c r="BA107" s="21">
        <v>45398</v>
      </c>
      <c r="BB107" s="17">
        <v>0</v>
      </c>
      <c r="BC107" s="17"/>
      <c r="BD107" s="17" t="b">
        <v>0</v>
      </c>
      <c r="BE107" s="17" t="s">
        <v>2030</v>
      </c>
      <c r="BF107" s="21">
        <v>45398</v>
      </c>
      <c r="BG107" s="21">
        <v>45763</v>
      </c>
      <c r="BH107" s="17"/>
      <c r="BI107" s="21">
        <v>45398</v>
      </c>
      <c r="BJ107" s="17">
        <v>0</v>
      </c>
      <c r="BK107" s="17" t="s">
        <v>443</v>
      </c>
      <c r="BL107" s="17" t="s">
        <v>443</v>
      </c>
      <c r="BM107" s="17" t="b">
        <v>0</v>
      </c>
      <c r="BN107" s="17" t="b">
        <v>0</v>
      </c>
      <c r="BO107" s="17" t="b">
        <v>0</v>
      </c>
      <c r="BP107" s="17" t="b">
        <v>0</v>
      </c>
      <c r="BQ107" s="17" t="b">
        <v>0</v>
      </c>
      <c r="BR107" s="17" t="b">
        <v>0</v>
      </c>
      <c r="BS107" s="17" t="b">
        <v>0</v>
      </c>
      <c r="BT107" s="17" t="b">
        <v>0</v>
      </c>
      <c r="BU107" s="17" t="b">
        <v>0</v>
      </c>
      <c r="BV107" s="17">
        <v>0</v>
      </c>
      <c r="BW107" s="21">
        <v>43497</v>
      </c>
      <c r="BX107" s="17" t="s">
        <v>414</v>
      </c>
      <c r="BY107" s="17" t="s">
        <v>414</v>
      </c>
      <c r="BZ107" s="17">
        <v>0</v>
      </c>
      <c r="CA107" s="21">
        <v>45825</v>
      </c>
      <c r="CB107" s="17" t="s">
        <v>438</v>
      </c>
      <c r="CC107" s="17" t="s">
        <v>2114</v>
      </c>
      <c r="CD107" s="21"/>
      <c r="CE107" s="17"/>
      <c r="CF107" s="17" t="s">
        <v>1135</v>
      </c>
      <c r="CG107" s="17" t="b">
        <v>0</v>
      </c>
      <c r="CH107" s="17" t="s">
        <v>414</v>
      </c>
      <c r="CI107" s="17"/>
      <c r="CJ107" s="21"/>
      <c r="CK107" s="21"/>
      <c r="CL107" s="17"/>
      <c r="CM107" s="21"/>
      <c r="CN107" s="21"/>
      <c r="CO107" s="21"/>
      <c r="CP107" s="17"/>
      <c r="CQ107" s="17"/>
      <c r="CR107" s="17"/>
      <c r="CW107" s="22"/>
    </row>
    <row r="108" spans="1:101" x14ac:dyDescent="0.25">
      <c r="A108" s="20">
        <v>523</v>
      </c>
      <c r="B108" s="17" t="s">
        <v>619</v>
      </c>
      <c r="C108" s="17" t="s">
        <v>758</v>
      </c>
      <c r="D108" s="17" t="s">
        <v>1166</v>
      </c>
      <c r="E108" s="17" t="s">
        <v>1167</v>
      </c>
      <c r="F108" s="17" t="s">
        <v>1168</v>
      </c>
      <c r="G108" s="17" t="s">
        <v>414</v>
      </c>
      <c r="H108" s="17" t="s">
        <v>414</v>
      </c>
      <c r="I108" s="17" t="s">
        <v>414</v>
      </c>
      <c r="J108" s="17" t="s">
        <v>96</v>
      </c>
      <c r="K108" s="17" t="b">
        <v>0</v>
      </c>
      <c r="L108" s="17" t="s">
        <v>414</v>
      </c>
      <c r="M108" s="21">
        <v>45398</v>
      </c>
      <c r="N108" s="17" t="s">
        <v>414</v>
      </c>
      <c r="O108" s="17" t="s">
        <v>17</v>
      </c>
      <c r="P108" s="17" t="s">
        <v>18</v>
      </c>
      <c r="Q108" s="17">
        <v>4</v>
      </c>
      <c r="R108" s="17" t="s">
        <v>54</v>
      </c>
      <c r="S108" s="17">
        <v>25</v>
      </c>
      <c r="T108" s="17" t="s">
        <v>1169</v>
      </c>
      <c r="U108" s="21">
        <v>43466</v>
      </c>
      <c r="V108" s="17" t="s">
        <v>155</v>
      </c>
      <c r="W108" s="21">
        <v>1</v>
      </c>
      <c r="X108" s="17" t="s">
        <v>1170</v>
      </c>
      <c r="Y108" s="17" t="s">
        <v>21</v>
      </c>
      <c r="Z108" s="17">
        <v>0</v>
      </c>
      <c r="AA108" s="17" t="s">
        <v>414</v>
      </c>
      <c r="AB108" s="17" t="s">
        <v>443</v>
      </c>
      <c r="AC108" s="17">
        <v>0</v>
      </c>
      <c r="AD108" s="21">
        <v>45398</v>
      </c>
      <c r="AE108" s="21">
        <v>2</v>
      </c>
      <c r="AF108" s="17"/>
      <c r="AG108" s="21">
        <v>368</v>
      </c>
      <c r="AH108" s="17">
        <v>0</v>
      </c>
      <c r="AI108" s="21">
        <v>1</v>
      </c>
      <c r="AJ108" s="17">
        <v>0</v>
      </c>
      <c r="AK108" s="17">
        <v>0.29749999999999999</v>
      </c>
      <c r="AL108" s="17">
        <v>0</v>
      </c>
      <c r="AM108" s="17" t="b">
        <v>0</v>
      </c>
      <c r="AN108" s="17" t="b">
        <v>0</v>
      </c>
      <c r="AO108" s="21">
        <v>45398</v>
      </c>
      <c r="AP108" s="21">
        <v>45398</v>
      </c>
      <c r="AQ108" s="17" t="b">
        <v>0</v>
      </c>
      <c r="AR108" s="21">
        <v>45398</v>
      </c>
      <c r="AS108" s="21">
        <v>45398</v>
      </c>
      <c r="AT108" s="21">
        <v>-90</v>
      </c>
      <c r="AU108" s="17" t="b">
        <v>1</v>
      </c>
      <c r="AV108" s="21">
        <v>43556</v>
      </c>
      <c r="AW108" s="17" t="s">
        <v>101</v>
      </c>
      <c r="AX108" s="17" t="s">
        <v>101</v>
      </c>
      <c r="AY108" s="17"/>
      <c r="AZ108" s="17" t="s">
        <v>450</v>
      </c>
      <c r="BA108" s="21">
        <v>45398</v>
      </c>
      <c r="BB108" s="17">
        <v>0</v>
      </c>
      <c r="BC108" s="17"/>
      <c r="BD108" s="17" t="b">
        <v>0</v>
      </c>
      <c r="BE108" s="17" t="s">
        <v>2030</v>
      </c>
      <c r="BF108" s="21">
        <v>45398</v>
      </c>
      <c r="BG108" s="21">
        <v>45763</v>
      </c>
      <c r="BH108" s="17"/>
      <c r="BI108" s="21">
        <v>45398</v>
      </c>
      <c r="BJ108" s="17">
        <v>0</v>
      </c>
      <c r="BK108" s="17" t="s">
        <v>443</v>
      </c>
      <c r="BL108" s="17" t="s">
        <v>443</v>
      </c>
      <c r="BM108" s="17" t="b">
        <v>0</v>
      </c>
      <c r="BN108" s="17" t="b">
        <v>0</v>
      </c>
      <c r="BO108" s="17" t="b">
        <v>0</v>
      </c>
      <c r="BP108" s="17" t="b">
        <v>0</v>
      </c>
      <c r="BQ108" s="17" t="b">
        <v>0</v>
      </c>
      <c r="BR108" s="17" t="b">
        <v>0</v>
      </c>
      <c r="BS108" s="17" t="b">
        <v>0</v>
      </c>
      <c r="BT108" s="17" t="b">
        <v>0</v>
      </c>
      <c r="BU108" s="17" t="b">
        <v>0</v>
      </c>
      <c r="BV108" s="17">
        <v>0</v>
      </c>
      <c r="BW108" s="21">
        <v>43497</v>
      </c>
      <c r="BX108" s="17" t="s">
        <v>414</v>
      </c>
      <c r="BY108" s="17" t="s">
        <v>414</v>
      </c>
      <c r="BZ108" s="17">
        <v>0</v>
      </c>
      <c r="CA108" s="21">
        <v>45859</v>
      </c>
      <c r="CB108" s="17" t="s">
        <v>419</v>
      </c>
      <c r="CC108" s="17" t="s">
        <v>2108</v>
      </c>
      <c r="CD108" s="21"/>
      <c r="CE108" s="17"/>
      <c r="CF108" s="17" t="s">
        <v>414</v>
      </c>
      <c r="CG108" s="17" t="b">
        <v>0</v>
      </c>
      <c r="CH108" s="17" t="s">
        <v>414</v>
      </c>
      <c r="CI108" s="17">
        <v>512</v>
      </c>
      <c r="CJ108" s="21"/>
      <c r="CK108" s="21"/>
      <c r="CL108" s="17"/>
      <c r="CM108" s="21"/>
      <c r="CN108" s="21"/>
      <c r="CO108" s="21"/>
      <c r="CP108" s="17"/>
      <c r="CQ108" s="17"/>
      <c r="CR108" s="17"/>
      <c r="CW108" s="22"/>
    </row>
    <row r="109" spans="1:101" x14ac:dyDescent="0.25">
      <c r="A109" s="20">
        <v>524</v>
      </c>
      <c r="B109" s="17" t="s">
        <v>769</v>
      </c>
      <c r="C109" s="17" t="s">
        <v>1161</v>
      </c>
      <c r="D109" s="17" t="s">
        <v>1171</v>
      </c>
      <c r="E109" s="17" t="s">
        <v>1172</v>
      </c>
      <c r="F109" s="17" t="s">
        <v>1173</v>
      </c>
      <c r="G109" s="17" t="s">
        <v>414</v>
      </c>
      <c r="H109" s="17" t="s">
        <v>414</v>
      </c>
      <c r="I109" s="17" t="s">
        <v>414</v>
      </c>
      <c r="J109" s="17" t="s">
        <v>96</v>
      </c>
      <c r="K109" s="17" t="b">
        <v>0</v>
      </c>
      <c r="L109" s="17" t="s">
        <v>414</v>
      </c>
      <c r="M109" s="21">
        <v>45398</v>
      </c>
      <c r="N109" s="17" t="s">
        <v>414</v>
      </c>
      <c r="O109" s="17" t="s">
        <v>17</v>
      </c>
      <c r="P109" s="17" t="s">
        <v>18</v>
      </c>
      <c r="Q109" s="17">
        <v>12</v>
      </c>
      <c r="R109" s="17" t="s">
        <v>896</v>
      </c>
      <c r="S109" s="17">
        <v>26</v>
      </c>
      <c r="T109" s="17" t="s">
        <v>1174</v>
      </c>
      <c r="U109" s="21">
        <v>43466</v>
      </c>
      <c r="V109" s="17" t="s">
        <v>829</v>
      </c>
      <c r="W109" s="21">
        <v>1</v>
      </c>
      <c r="X109" s="17" t="s">
        <v>1134</v>
      </c>
      <c r="Y109" s="17" t="s">
        <v>21</v>
      </c>
      <c r="Z109" s="17">
        <v>0</v>
      </c>
      <c r="AA109" s="17" t="s">
        <v>414</v>
      </c>
      <c r="AB109" s="17" t="s">
        <v>443</v>
      </c>
      <c r="AC109" s="17">
        <v>0</v>
      </c>
      <c r="AD109" s="21">
        <v>45398</v>
      </c>
      <c r="AE109" s="21">
        <v>2</v>
      </c>
      <c r="AF109" s="17"/>
      <c r="AG109" s="21">
        <v>368</v>
      </c>
      <c r="AH109" s="17">
        <v>0</v>
      </c>
      <c r="AI109" s="21">
        <v>1</v>
      </c>
      <c r="AJ109" s="17">
        <v>0</v>
      </c>
      <c r="AK109" s="17">
        <v>0.29749999999999999</v>
      </c>
      <c r="AL109" s="17">
        <v>0</v>
      </c>
      <c r="AM109" s="17" t="b">
        <v>0</v>
      </c>
      <c r="AN109" s="17" t="b">
        <v>0</v>
      </c>
      <c r="AO109" s="21">
        <v>45398</v>
      </c>
      <c r="AP109" s="21">
        <v>45398</v>
      </c>
      <c r="AQ109" s="17" t="b">
        <v>0</v>
      </c>
      <c r="AR109" s="21">
        <v>45398</v>
      </c>
      <c r="AS109" s="21">
        <v>45398</v>
      </c>
      <c r="AT109" s="21">
        <v>-90</v>
      </c>
      <c r="AU109" s="17" t="b">
        <v>1</v>
      </c>
      <c r="AV109" s="21">
        <v>43556</v>
      </c>
      <c r="AW109" s="17" t="s">
        <v>27</v>
      </c>
      <c r="AX109" s="17" t="s">
        <v>27</v>
      </c>
      <c r="AY109" s="17"/>
      <c r="AZ109" s="17" t="s">
        <v>450</v>
      </c>
      <c r="BA109" s="21">
        <v>45398</v>
      </c>
      <c r="BB109" s="17">
        <v>0</v>
      </c>
      <c r="BC109" s="17"/>
      <c r="BD109" s="17" t="b">
        <v>0</v>
      </c>
      <c r="BE109" s="17" t="s">
        <v>2030</v>
      </c>
      <c r="BF109" s="21">
        <v>45398</v>
      </c>
      <c r="BG109" s="21">
        <v>45763</v>
      </c>
      <c r="BH109" s="17"/>
      <c r="BI109" s="21">
        <v>45398</v>
      </c>
      <c r="BJ109" s="17">
        <v>0</v>
      </c>
      <c r="BK109" s="17" t="s">
        <v>443</v>
      </c>
      <c r="BL109" s="17" t="s">
        <v>443</v>
      </c>
      <c r="BM109" s="17" t="b">
        <v>0</v>
      </c>
      <c r="BN109" s="17" t="b">
        <v>0</v>
      </c>
      <c r="BO109" s="17" t="b">
        <v>0</v>
      </c>
      <c r="BP109" s="17" t="b">
        <v>0</v>
      </c>
      <c r="BQ109" s="17" t="b">
        <v>0</v>
      </c>
      <c r="BR109" s="17" t="b">
        <v>0</v>
      </c>
      <c r="BS109" s="17" t="b">
        <v>0</v>
      </c>
      <c r="BT109" s="17" t="b">
        <v>0</v>
      </c>
      <c r="BU109" s="17" t="b">
        <v>0</v>
      </c>
      <c r="BV109" s="17">
        <v>0</v>
      </c>
      <c r="BW109" s="21">
        <v>43497</v>
      </c>
      <c r="BX109" s="17" t="s">
        <v>414</v>
      </c>
      <c r="BY109" s="17" t="s">
        <v>414</v>
      </c>
      <c r="BZ109" s="17">
        <v>0</v>
      </c>
      <c r="CA109" s="21">
        <v>45801</v>
      </c>
      <c r="CB109" s="17" t="s">
        <v>419</v>
      </c>
      <c r="CC109" s="17" t="s">
        <v>2108</v>
      </c>
      <c r="CD109" s="21"/>
      <c r="CE109" s="17"/>
      <c r="CF109" s="17" t="s">
        <v>414</v>
      </c>
      <c r="CG109" s="17" t="b">
        <v>0</v>
      </c>
      <c r="CH109" s="17" t="s">
        <v>414</v>
      </c>
      <c r="CI109" s="17"/>
      <c r="CJ109" s="21"/>
      <c r="CK109" s="21"/>
      <c r="CL109" s="17"/>
      <c r="CM109" s="21"/>
      <c r="CN109" s="21"/>
      <c r="CO109" s="21"/>
      <c r="CP109" s="17"/>
      <c r="CQ109" s="17"/>
      <c r="CR109" s="17"/>
      <c r="CW109" s="22"/>
    </row>
    <row r="110" spans="1:101" x14ac:dyDescent="0.25">
      <c r="A110" s="20">
        <v>525</v>
      </c>
      <c r="B110" s="17" t="s">
        <v>426</v>
      </c>
      <c r="C110" s="17" t="s">
        <v>1175</v>
      </c>
      <c r="D110" s="17" t="s">
        <v>1176</v>
      </c>
      <c r="E110" s="17" t="s">
        <v>1177</v>
      </c>
      <c r="F110" s="17" t="s">
        <v>1178</v>
      </c>
      <c r="G110" s="17" t="s">
        <v>414</v>
      </c>
      <c r="H110" s="17" t="s">
        <v>414</v>
      </c>
      <c r="I110" s="17" t="s">
        <v>414</v>
      </c>
      <c r="J110" s="17" t="s">
        <v>96</v>
      </c>
      <c r="K110" s="17" t="b">
        <v>0</v>
      </c>
      <c r="L110" s="17" t="s">
        <v>414</v>
      </c>
      <c r="M110" s="21">
        <v>45398</v>
      </c>
      <c r="N110" s="17" t="s">
        <v>414</v>
      </c>
      <c r="O110" s="17" t="s">
        <v>17</v>
      </c>
      <c r="P110" s="17" t="s">
        <v>18</v>
      </c>
      <c r="Q110" s="17">
        <v>2</v>
      </c>
      <c r="R110" s="17" t="s">
        <v>50</v>
      </c>
      <c r="S110" s="17">
        <v>22</v>
      </c>
      <c r="T110" s="17" t="s">
        <v>1145</v>
      </c>
      <c r="U110" s="21">
        <v>43466</v>
      </c>
      <c r="V110" s="17" t="s">
        <v>31</v>
      </c>
      <c r="W110" s="21">
        <v>1</v>
      </c>
      <c r="X110" s="17" t="s">
        <v>1179</v>
      </c>
      <c r="Y110" s="17" t="s">
        <v>21</v>
      </c>
      <c r="Z110" s="17">
        <v>0</v>
      </c>
      <c r="AA110" s="17" t="s">
        <v>414</v>
      </c>
      <c r="AB110" s="17" t="s">
        <v>443</v>
      </c>
      <c r="AC110" s="17">
        <v>0</v>
      </c>
      <c r="AD110" s="21">
        <v>45398</v>
      </c>
      <c r="AE110" s="21">
        <v>2</v>
      </c>
      <c r="AF110" s="17"/>
      <c r="AG110" s="21">
        <v>368</v>
      </c>
      <c r="AH110" s="17">
        <v>0</v>
      </c>
      <c r="AI110" s="21">
        <v>1</v>
      </c>
      <c r="AJ110" s="17">
        <v>0</v>
      </c>
      <c r="AK110" s="17">
        <v>0.29749999999999999</v>
      </c>
      <c r="AL110" s="17">
        <v>0</v>
      </c>
      <c r="AM110" s="17" t="b">
        <v>0</v>
      </c>
      <c r="AN110" s="17" t="b">
        <v>0</v>
      </c>
      <c r="AO110" s="21">
        <v>45398</v>
      </c>
      <c r="AP110" s="21">
        <v>45398</v>
      </c>
      <c r="AQ110" s="17" t="b">
        <v>0</v>
      </c>
      <c r="AR110" s="21">
        <v>45398</v>
      </c>
      <c r="AS110" s="21">
        <v>45398</v>
      </c>
      <c r="AT110" s="21">
        <v>-90</v>
      </c>
      <c r="AU110" s="17" t="b">
        <v>0</v>
      </c>
      <c r="AV110" s="21">
        <v>43556</v>
      </c>
      <c r="AW110" s="17" t="s">
        <v>27</v>
      </c>
      <c r="AX110" s="17" t="s">
        <v>27</v>
      </c>
      <c r="AY110" s="17"/>
      <c r="AZ110" s="17" t="s">
        <v>450</v>
      </c>
      <c r="BA110" s="21">
        <v>45398</v>
      </c>
      <c r="BB110" s="17">
        <v>0</v>
      </c>
      <c r="BC110" s="17"/>
      <c r="BD110" s="17" t="b">
        <v>0</v>
      </c>
      <c r="BE110" s="17" t="s">
        <v>2030</v>
      </c>
      <c r="BF110" s="21">
        <v>45398</v>
      </c>
      <c r="BG110" s="21">
        <v>45763</v>
      </c>
      <c r="BH110" s="17"/>
      <c r="BI110" s="21">
        <v>45398</v>
      </c>
      <c r="BJ110" s="17">
        <v>0</v>
      </c>
      <c r="BK110" s="17" t="s">
        <v>443</v>
      </c>
      <c r="BL110" s="17" t="s">
        <v>443</v>
      </c>
      <c r="BM110" s="17" t="b">
        <v>0</v>
      </c>
      <c r="BN110" s="17" t="b">
        <v>0</v>
      </c>
      <c r="BO110" s="17" t="b">
        <v>0</v>
      </c>
      <c r="BP110" s="17" t="b">
        <v>0</v>
      </c>
      <c r="BQ110" s="17" t="b">
        <v>0</v>
      </c>
      <c r="BR110" s="17" t="b">
        <v>0</v>
      </c>
      <c r="BS110" s="17" t="b">
        <v>0</v>
      </c>
      <c r="BT110" s="17" t="b">
        <v>0</v>
      </c>
      <c r="BU110" s="17" t="b">
        <v>0</v>
      </c>
      <c r="BV110" s="17">
        <v>0</v>
      </c>
      <c r="BW110" s="21">
        <v>43497</v>
      </c>
      <c r="BX110" s="17" t="s">
        <v>414</v>
      </c>
      <c r="BY110" s="17" t="s">
        <v>414</v>
      </c>
      <c r="BZ110" s="17">
        <v>0</v>
      </c>
      <c r="CA110" s="21">
        <v>45801</v>
      </c>
      <c r="CB110" s="17" t="s">
        <v>419</v>
      </c>
      <c r="CC110" s="17" t="s">
        <v>2108</v>
      </c>
      <c r="CD110" s="21"/>
      <c r="CE110" s="17"/>
      <c r="CF110" s="17" t="s">
        <v>414</v>
      </c>
      <c r="CG110" s="17" t="b">
        <v>0</v>
      </c>
      <c r="CH110" s="17" t="s">
        <v>414</v>
      </c>
      <c r="CI110" s="17"/>
      <c r="CJ110" s="21"/>
      <c r="CK110" s="21"/>
      <c r="CL110" s="17"/>
      <c r="CM110" s="21"/>
      <c r="CN110" s="21"/>
      <c r="CO110" s="21"/>
      <c r="CP110" s="17"/>
      <c r="CQ110" s="17"/>
      <c r="CR110" s="17"/>
      <c r="CW110" s="22"/>
    </row>
    <row r="111" spans="1:101" x14ac:dyDescent="0.25">
      <c r="A111" s="20">
        <v>526</v>
      </c>
      <c r="B111" s="17" t="s">
        <v>1180</v>
      </c>
      <c r="C111" s="17" t="s">
        <v>568</v>
      </c>
      <c r="D111" s="17" t="s">
        <v>1181</v>
      </c>
      <c r="E111" s="17" t="s">
        <v>1182</v>
      </c>
      <c r="F111" s="17" t="s">
        <v>1183</v>
      </c>
      <c r="G111" s="17" t="s">
        <v>414</v>
      </c>
      <c r="H111" s="17" t="s">
        <v>414</v>
      </c>
      <c r="I111" s="17" t="s">
        <v>414</v>
      </c>
      <c r="J111" s="17" t="s">
        <v>96</v>
      </c>
      <c r="K111" s="17" t="b">
        <v>0</v>
      </c>
      <c r="L111" s="17" t="s">
        <v>414</v>
      </c>
      <c r="M111" s="21">
        <v>45398</v>
      </c>
      <c r="N111" s="17" t="s">
        <v>414</v>
      </c>
      <c r="O111" s="17" t="s">
        <v>17</v>
      </c>
      <c r="P111" s="17" t="s">
        <v>18</v>
      </c>
      <c r="Q111" s="17">
        <v>2</v>
      </c>
      <c r="R111" s="17" t="s">
        <v>50</v>
      </c>
      <c r="S111" s="17">
        <v>27</v>
      </c>
      <c r="T111" s="17" t="s">
        <v>1184</v>
      </c>
      <c r="U111" s="21">
        <v>43466</v>
      </c>
      <c r="V111" s="17" t="s">
        <v>155</v>
      </c>
      <c r="W111" s="21">
        <v>1</v>
      </c>
      <c r="X111" s="17" t="s">
        <v>1170</v>
      </c>
      <c r="Y111" s="17" t="s">
        <v>21</v>
      </c>
      <c r="Z111" s="17">
        <v>0</v>
      </c>
      <c r="AA111" s="17" t="s">
        <v>414</v>
      </c>
      <c r="AB111" s="17" t="s">
        <v>443</v>
      </c>
      <c r="AC111" s="17">
        <v>0</v>
      </c>
      <c r="AD111" s="21">
        <v>45398</v>
      </c>
      <c r="AE111" s="21">
        <v>2</v>
      </c>
      <c r="AF111" s="17"/>
      <c r="AG111" s="21">
        <v>368</v>
      </c>
      <c r="AH111" s="17">
        <v>0</v>
      </c>
      <c r="AI111" s="21">
        <v>1</v>
      </c>
      <c r="AJ111" s="17">
        <v>0</v>
      </c>
      <c r="AK111" s="17">
        <v>0.29749999999999999</v>
      </c>
      <c r="AL111" s="17">
        <v>0</v>
      </c>
      <c r="AM111" s="17" t="b">
        <v>0</v>
      </c>
      <c r="AN111" s="17" t="b">
        <v>0</v>
      </c>
      <c r="AO111" s="21">
        <v>45398</v>
      </c>
      <c r="AP111" s="21">
        <v>45398</v>
      </c>
      <c r="AQ111" s="17" t="b">
        <v>0</v>
      </c>
      <c r="AR111" s="21">
        <v>45398</v>
      </c>
      <c r="AS111" s="21">
        <v>45398</v>
      </c>
      <c r="AT111" s="21">
        <v>-90</v>
      </c>
      <c r="AU111" s="17" t="b">
        <v>1</v>
      </c>
      <c r="AV111" s="21">
        <v>43556</v>
      </c>
      <c r="AW111" s="17" t="s">
        <v>101</v>
      </c>
      <c r="AX111" s="17" t="s">
        <v>101</v>
      </c>
      <c r="AY111" s="17"/>
      <c r="AZ111" s="17" t="s">
        <v>450</v>
      </c>
      <c r="BA111" s="21">
        <v>45398</v>
      </c>
      <c r="BB111" s="17">
        <v>0</v>
      </c>
      <c r="BC111" s="17"/>
      <c r="BD111" s="17" t="b">
        <v>0</v>
      </c>
      <c r="BE111" s="17" t="s">
        <v>2030</v>
      </c>
      <c r="BF111" s="21">
        <v>45398</v>
      </c>
      <c r="BG111" s="21">
        <v>45763</v>
      </c>
      <c r="BH111" s="17"/>
      <c r="BI111" s="21">
        <v>45398</v>
      </c>
      <c r="BJ111" s="17">
        <v>0</v>
      </c>
      <c r="BK111" s="17" t="s">
        <v>443</v>
      </c>
      <c r="BL111" s="17" t="s">
        <v>443</v>
      </c>
      <c r="BM111" s="17" t="b">
        <v>0</v>
      </c>
      <c r="BN111" s="17" t="b">
        <v>0</v>
      </c>
      <c r="BO111" s="17" t="b">
        <v>0</v>
      </c>
      <c r="BP111" s="17" t="b">
        <v>0</v>
      </c>
      <c r="BQ111" s="17" t="b">
        <v>0</v>
      </c>
      <c r="BR111" s="17" t="b">
        <v>0</v>
      </c>
      <c r="BS111" s="17" t="b">
        <v>0</v>
      </c>
      <c r="BT111" s="17" t="b">
        <v>0</v>
      </c>
      <c r="BU111" s="17" t="b">
        <v>0</v>
      </c>
      <c r="BV111" s="17">
        <v>0</v>
      </c>
      <c r="BW111" s="21">
        <v>43497</v>
      </c>
      <c r="BX111" s="17" t="s">
        <v>414</v>
      </c>
      <c r="BY111" s="17" t="s">
        <v>414</v>
      </c>
      <c r="BZ111" s="17">
        <v>0</v>
      </c>
      <c r="CA111" s="21">
        <v>45398</v>
      </c>
      <c r="CB111" s="17" t="s">
        <v>419</v>
      </c>
      <c r="CC111" s="17" t="s">
        <v>2108</v>
      </c>
      <c r="CD111" s="21"/>
      <c r="CE111" s="17"/>
      <c r="CF111" s="17"/>
      <c r="CG111" s="17"/>
      <c r="CH111" s="17"/>
      <c r="CI111" s="17"/>
      <c r="CJ111" s="21"/>
      <c r="CK111" s="21"/>
      <c r="CL111" s="17"/>
      <c r="CM111" s="21"/>
      <c r="CN111" s="21"/>
      <c r="CO111" s="21"/>
      <c r="CP111" s="17"/>
      <c r="CQ111" s="17"/>
      <c r="CR111" s="17"/>
      <c r="CW111" s="22"/>
    </row>
    <row r="112" spans="1:101" x14ac:dyDescent="0.25">
      <c r="A112" s="20">
        <v>529</v>
      </c>
      <c r="B112" s="17" t="s">
        <v>420</v>
      </c>
      <c r="C112" s="17" t="s">
        <v>862</v>
      </c>
      <c r="D112" s="17" t="s">
        <v>1185</v>
      </c>
      <c r="E112" s="17" t="s">
        <v>1186</v>
      </c>
      <c r="F112" s="17" t="s">
        <v>1187</v>
      </c>
      <c r="G112" s="17" t="s">
        <v>414</v>
      </c>
      <c r="H112" s="17" t="s">
        <v>1139</v>
      </c>
      <c r="I112" s="17" t="s">
        <v>414</v>
      </c>
      <c r="J112" s="17" t="s">
        <v>96</v>
      </c>
      <c r="K112" s="17" t="b">
        <v>0</v>
      </c>
      <c r="L112" s="17" t="s">
        <v>1188</v>
      </c>
      <c r="M112" s="21">
        <v>29397</v>
      </c>
      <c r="N112" s="17" t="s">
        <v>414</v>
      </c>
      <c r="O112" s="17" t="s">
        <v>17</v>
      </c>
      <c r="P112" s="17" t="s">
        <v>18</v>
      </c>
      <c r="Q112" s="17">
        <v>1</v>
      </c>
      <c r="R112" s="17" t="s">
        <v>19</v>
      </c>
      <c r="S112" s="17">
        <v>24</v>
      </c>
      <c r="T112" s="17" t="s">
        <v>1160</v>
      </c>
      <c r="U112" s="21">
        <v>43466</v>
      </c>
      <c r="V112" s="17" t="s">
        <v>829</v>
      </c>
      <c r="W112" s="21">
        <v>1</v>
      </c>
      <c r="X112" s="17" t="s">
        <v>816</v>
      </c>
      <c r="Y112" s="17" t="s">
        <v>21</v>
      </c>
      <c r="Z112" s="17">
        <v>0</v>
      </c>
      <c r="AA112" s="17" t="s">
        <v>414</v>
      </c>
      <c r="AB112" s="17" t="s">
        <v>443</v>
      </c>
      <c r="AC112" s="17">
        <v>0</v>
      </c>
      <c r="AD112" s="21">
        <v>45398</v>
      </c>
      <c r="AE112" s="21">
        <v>2</v>
      </c>
      <c r="AF112" s="17"/>
      <c r="AG112" s="21">
        <v>368</v>
      </c>
      <c r="AH112" s="17">
        <v>0</v>
      </c>
      <c r="AI112" s="21">
        <v>1</v>
      </c>
      <c r="AJ112" s="17">
        <v>0</v>
      </c>
      <c r="AK112" s="17">
        <v>0.29749999999999999</v>
      </c>
      <c r="AL112" s="17">
        <v>0</v>
      </c>
      <c r="AM112" s="17" t="b">
        <v>0</v>
      </c>
      <c r="AN112" s="17" t="b">
        <v>0</v>
      </c>
      <c r="AO112" s="21">
        <v>45398</v>
      </c>
      <c r="AP112" s="21">
        <v>45398</v>
      </c>
      <c r="AQ112" s="17" t="b">
        <v>0</v>
      </c>
      <c r="AR112" s="21">
        <v>45398</v>
      </c>
      <c r="AS112" s="21">
        <v>45398</v>
      </c>
      <c r="AT112" s="21">
        <v>-90</v>
      </c>
      <c r="AU112" s="17" t="b">
        <v>0</v>
      </c>
      <c r="AV112" s="21">
        <v>43556</v>
      </c>
      <c r="AW112" s="17" t="s">
        <v>23</v>
      </c>
      <c r="AX112" s="17" t="s">
        <v>23</v>
      </c>
      <c r="AY112" s="17"/>
      <c r="AZ112" s="17" t="s">
        <v>450</v>
      </c>
      <c r="BA112" s="21">
        <v>45398</v>
      </c>
      <c r="BB112" s="17">
        <v>0</v>
      </c>
      <c r="BC112" s="17"/>
      <c r="BD112" s="17" t="b">
        <v>0</v>
      </c>
      <c r="BE112" s="17" t="s">
        <v>2030</v>
      </c>
      <c r="BF112" s="21">
        <v>45398</v>
      </c>
      <c r="BG112" s="21">
        <v>45763</v>
      </c>
      <c r="BH112" s="17"/>
      <c r="BI112" s="21">
        <v>45398</v>
      </c>
      <c r="BJ112" s="17">
        <v>0</v>
      </c>
      <c r="BK112" s="17" t="s">
        <v>443</v>
      </c>
      <c r="BL112" s="17" t="s">
        <v>443</v>
      </c>
      <c r="BM112" s="17" t="b">
        <v>0</v>
      </c>
      <c r="BN112" s="17" t="b">
        <v>0</v>
      </c>
      <c r="BO112" s="17" t="b">
        <v>0</v>
      </c>
      <c r="BP112" s="17" t="b">
        <v>0</v>
      </c>
      <c r="BQ112" s="17" t="b">
        <v>0</v>
      </c>
      <c r="BR112" s="17" t="b">
        <v>0</v>
      </c>
      <c r="BS112" s="17" t="b">
        <v>0</v>
      </c>
      <c r="BT112" s="17" t="b">
        <v>0</v>
      </c>
      <c r="BU112" s="17" t="b">
        <v>0</v>
      </c>
      <c r="BV112" s="17">
        <v>0</v>
      </c>
      <c r="BW112" s="21">
        <v>43497</v>
      </c>
      <c r="BX112" s="17" t="s">
        <v>414</v>
      </c>
      <c r="BY112" s="17" t="s">
        <v>414</v>
      </c>
      <c r="BZ112" s="17">
        <v>0</v>
      </c>
      <c r="CA112" s="21">
        <v>45801</v>
      </c>
      <c r="CB112" s="17" t="s">
        <v>419</v>
      </c>
      <c r="CC112" s="17" t="s">
        <v>2115</v>
      </c>
      <c r="CD112" s="21"/>
      <c r="CE112" s="17"/>
      <c r="CF112" s="17" t="s">
        <v>414</v>
      </c>
      <c r="CG112" s="17" t="b">
        <v>0</v>
      </c>
      <c r="CH112" s="17" t="s">
        <v>414</v>
      </c>
      <c r="CI112" s="17"/>
      <c r="CJ112" s="21"/>
      <c r="CK112" s="21"/>
      <c r="CL112" s="17"/>
      <c r="CM112" s="21"/>
      <c r="CN112" s="21"/>
      <c r="CO112" s="21"/>
      <c r="CP112" s="17"/>
      <c r="CQ112" s="17"/>
      <c r="CR112" s="17"/>
      <c r="CW112" s="22"/>
    </row>
    <row r="113" spans="1:101" x14ac:dyDescent="0.25">
      <c r="A113" s="20">
        <v>530</v>
      </c>
      <c r="B113" s="17" t="s">
        <v>426</v>
      </c>
      <c r="C113" s="17" t="s">
        <v>426</v>
      </c>
      <c r="D113" s="17" t="s">
        <v>1189</v>
      </c>
      <c r="E113" s="17" t="s">
        <v>1190</v>
      </c>
      <c r="F113" s="17" t="s">
        <v>1191</v>
      </c>
      <c r="G113" s="17" t="s">
        <v>414</v>
      </c>
      <c r="H113" s="17" t="s">
        <v>1150</v>
      </c>
      <c r="I113" s="17" t="s">
        <v>414</v>
      </c>
      <c r="J113" s="17" t="s">
        <v>96</v>
      </c>
      <c r="K113" s="17" t="b">
        <v>0</v>
      </c>
      <c r="L113" s="17" t="s">
        <v>1192</v>
      </c>
      <c r="M113" s="21">
        <v>29479</v>
      </c>
      <c r="N113" s="17" t="s">
        <v>414</v>
      </c>
      <c r="O113" s="17" t="s">
        <v>17</v>
      </c>
      <c r="P113" s="17" t="s">
        <v>18</v>
      </c>
      <c r="Q113" s="17">
        <v>3</v>
      </c>
      <c r="R113" s="17" t="s">
        <v>156</v>
      </c>
      <c r="S113" s="17">
        <v>28</v>
      </c>
      <c r="T113" s="17" t="s">
        <v>1193</v>
      </c>
      <c r="U113" s="21">
        <v>43466</v>
      </c>
      <c r="V113" s="17" t="s">
        <v>31</v>
      </c>
      <c r="W113" s="21">
        <v>1.2986111111111112</v>
      </c>
      <c r="X113" s="17" t="s">
        <v>1194</v>
      </c>
      <c r="Y113" s="17" t="s">
        <v>21</v>
      </c>
      <c r="Z113" s="17">
        <v>0</v>
      </c>
      <c r="AA113" s="17" t="s">
        <v>414</v>
      </c>
      <c r="AB113" s="17" t="s">
        <v>443</v>
      </c>
      <c r="AC113" s="17">
        <v>0</v>
      </c>
      <c r="AD113" s="21">
        <v>45398</v>
      </c>
      <c r="AE113" s="21">
        <v>2</v>
      </c>
      <c r="AF113" s="17"/>
      <c r="AG113" s="21">
        <v>368</v>
      </c>
      <c r="AH113" s="17">
        <v>0</v>
      </c>
      <c r="AI113" s="21">
        <v>1</v>
      </c>
      <c r="AJ113" s="17">
        <v>0</v>
      </c>
      <c r="AK113" s="17">
        <v>0.29749999999999999</v>
      </c>
      <c r="AL113" s="17">
        <v>0</v>
      </c>
      <c r="AM113" s="17" t="b">
        <v>0</v>
      </c>
      <c r="AN113" s="17" t="b">
        <v>0</v>
      </c>
      <c r="AO113" s="21">
        <v>45398</v>
      </c>
      <c r="AP113" s="21">
        <v>45398</v>
      </c>
      <c r="AQ113" s="17" t="b">
        <v>0</v>
      </c>
      <c r="AR113" s="21">
        <v>45398</v>
      </c>
      <c r="AS113" s="21">
        <v>45398</v>
      </c>
      <c r="AT113" s="21">
        <v>-90</v>
      </c>
      <c r="AU113" s="17" t="b">
        <v>1</v>
      </c>
      <c r="AV113" s="21">
        <v>43556</v>
      </c>
      <c r="AW113" s="17" t="s">
        <v>23</v>
      </c>
      <c r="AX113" s="17" t="s">
        <v>23</v>
      </c>
      <c r="AY113" s="17"/>
      <c r="AZ113" s="17" t="s">
        <v>450</v>
      </c>
      <c r="BA113" s="21">
        <v>45398</v>
      </c>
      <c r="BB113" s="17">
        <v>0</v>
      </c>
      <c r="BC113" s="17"/>
      <c r="BD113" s="17" t="b">
        <v>0</v>
      </c>
      <c r="BE113" s="17" t="s">
        <v>2030</v>
      </c>
      <c r="BF113" s="21">
        <v>45398</v>
      </c>
      <c r="BG113" s="21">
        <v>45763</v>
      </c>
      <c r="BH113" s="17"/>
      <c r="BI113" s="21">
        <v>45398</v>
      </c>
      <c r="BJ113" s="17">
        <v>0</v>
      </c>
      <c r="BK113" s="17" t="s">
        <v>443</v>
      </c>
      <c r="BL113" s="17" t="s">
        <v>443</v>
      </c>
      <c r="BM113" s="17" t="b">
        <v>0</v>
      </c>
      <c r="BN113" s="17" t="b">
        <v>0</v>
      </c>
      <c r="BO113" s="17" t="b">
        <v>0</v>
      </c>
      <c r="BP113" s="17" t="b">
        <v>0</v>
      </c>
      <c r="BQ113" s="17" t="b">
        <v>0</v>
      </c>
      <c r="BR113" s="17" t="b">
        <v>0</v>
      </c>
      <c r="BS113" s="17" t="b">
        <v>0</v>
      </c>
      <c r="BT113" s="17" t="b">
        <v>0</v>
      </c>
      <c r="BU113" s="17" t="b">
        <v>0</v>
      </c>
      <c r="BV113" s="17">
        <v>0</v>
      </c>
      <c r="BW113" s="21">
        <v>43497</v>
      </c>
      <c r="BX113" s="17" t="s">
        <v>414</v>
      </c>
      <c r="BY113" s="17" t="s">
        <v>414</v>
      </c>
      <c r="BZ113" s="17">
        <v>0</v>
      </c>
      <c r="CA113" s="21">
        <v>45801</v>
      </c>
      <c r="CB113" s="17" t="s">
        <v>419</v>
      </c>
      <c r="CC113" s="17" t="s">
        <v>2116</v>
      </c>
      <c r="CD113" s="21"/>
      <c r="CE113" s="17"/>
      <c r="CF113" s="17" t="s">
        <v>414</v>
      </c>
      <c r="CG113" s="17" t="b">
        <v>0</v>
      </c>
      <c r="CH113" s="17" t="s">
        <v>414</v>
      </c>
      <c r="CI113" s="17"/>
      <c r="CJ113" s="21"/>
      <c r="CK113" s="21"/>
      <c r="CL113" s="17"/>
      <c r="CM113" s="21"/>
      <c r="CN113" s="21"/>
      <c r="CO113" s="21"/>
      <c r="CP113" s="17"/>
      <c r="CQ113" s="17"/>
      <c r="CR113" s="17"/>
      <c r="CW113" s="22"/>
    </row>
    <row r="114" spans="1:101" x14ac:dyDescent="0.25">
      <c r="A114" s="20">
        <v>531</v>
      </c>
      <c r="B114" s="17" t="s">
        <v>564</v>
      </c>
      <c r="C114" s="17" t="s">
        <v>1195</v>
      </c>
      <c r="D114" s="17" t="s">
        <v>157</v>
      </c>
      <c r="E114" s="17" t="s">
        <v>1196</v>
      </c>
      <c r="F114" s="17" t="s">
        <v>1197</v>
      </c>
      <c r="G114" s="17" t="s">
        <v>414</v>
      </c>
      <c r="H114" s="17" t="s">
        <v>1198</v>
      </c>
      <c r="I114" s="17" t="s">
        <v>414</v>
      </c>
      <c r="J114" s="17" t="s">
        <v>16</v>
      </c>
      <c r="K114" s="17" t="b">
        <v>0</v>
      </c>
      <c r="L114" s="17" t="s">
        <v>1199</v>
      </c>
      <c r="M114" s="21">
        <v>33460</v>
      </c>
      <c r="N114" s="17" t="s">
        <v>1200</v>
      </c>
      <c r="O114" s="17" t="s">
        <v>17</v>
      </c>
      <c r="P114" s="17" t="s">
        <v>18</v>
      </c>
      <c r="Q114" s="17">
        <v>6</v>
      </c>
      <c r="R114" s="17" t="s">
        <v>64</v>
      </c>
      <c r="S114" s="17">
        <v>19</v>
      </c>
      <c r="T114" s="17" t="s">
        <v>616</v>
      </c>
      <c r="U114" s="21">
        <v>43631</v>
      </c>
      <c r="V114" s="17" t="s">
        <v>20</v>
      </c>
      <c r="W114" s="21">
        <v>1</v>
      </c>
      <c r="X114" s="17" t="s">
        <v>789</v>
      </c>
      <c r="Y114" s="17" t="s">
        <v>45</v>
      </c>
      <c r="Z114" s="17">
        <v>110666</v>
      </c>
      <c r="AA114" s="17" t="s">
        <v>65</v>
      </c>
      <c r="AB114" s="17" t="s">
        <v>418</v>
      </c>
      <c r="AC114" s="17">
        <v>115</v>
      </c>
      <c r="AD114" s="21">
        <v>44425</v>
      </c>
      <c r="AE114" s="21">
        <v>45159</v>
      </c>
      <c r="AF114" s="17"/>
      <c r="AG114" s="21">
        <v>45525</v>
      </c>
      <c r="AH114" s="17">
        <v>64768352</v>
      </c>
      <c r="AI114" s="21">
        <v>44013</v>
      </c>
      <c r="AJ114" s="17">
        <v>4423</v>
      </c>
      <c r="AK114" s="17">
        <v>0.29749999999999999</v>
      </c>
      <c r="AL114" s="17">
        <v>1315.84</v>
      </c>
      <c r="AM114" s="17" t="b">
        <v>1</v>
      </c>
      <c r="AN114" s="17" t="b">
        <v>1</v>
      </c>
      <c r="AO114" s="21">
        <v>45398</v>
      </c>
      <c r="AP114" s="21">
        <v>45398</v>
      </c>
      <c r="AQ114" s="17" t="b">
        <v>0</v>
      </c>
      <c r="AR114" s="21">
        <v>45398</v>
      </c>
      <c r="AS114" s="21">
        <v>45398</v>
      </c>
      <c r="AT114" s="21">
        <v>43922</v>
      </c>
      <c r="AU114" s="17" t="b">
        <v>0</v>
      </c>
      <c r="AV114" s="21">
        <v>43723</v>
      </c>
      <c r="AW114" s="17" t="s">
        <v>27</v>
      </c>
      <c r="AX114" s="17" t="s">
        <v>27</v>
      </c>
      <c r="AY114" s="17" t="s">
        <v>414</v>
      </c>
      <c r="AZ114" s="17" t="s">
        <v>450</v>
      </c>
      <c r="BA114" s="21">
        <v>45398</v>
      </c>
      <c r="BB114" s="17">
        <v>0</v>
      </c>
      <c r="BC114" s="17"/>
      <c r="BD114" s="17" t="b">
        <v>0</v>
      </c>
      <c r="BE114" s="17" t="s">
        <v>2117</v>
      </c>
      <c r="BF114" s="21">
        <v>45398</v>
      </c>
      <c r="BG114" s="21">
        <v>45763</v>
      </c>
      <c r="BH114" s="17"/>
      <c r="BI114" s="21">
        <v>46325</v>
      </c>
      <c r="BJ114" s="17">
        <v>0</v>
      </c>
      <c r="BK114" s="17" t="s">
        <v>418</v>
      </c>
      <c r="BL114" s="17" t="s">
        <v>418</v>
      </c>
      <c r="BM114" s="17" t="b">
        <v>1</v>
      </c>
      <c r="BN114" s="17" t="b">
        <v>1</v>
      </c>
      <c r="BO114" s="17" t="b">
        <v>1</v>
      </c>
      <c r="BP114" s="17" t="b">
        <v>0</v>
      </c>
      <c r="BQ114" s="17" t="b">
        <v>1</v>
      </c>
      <c r="BR114" s="17" t="b">
        <v>1</v>
      </c>
      <c r="BS114" s="17" t="b">
        <v>0</v>
      </c>
      <c r="BT114" s="17" t="b">
        <v>1</v>
      </c>
      <c r="BU114" s="17" t="b">
        <v>0</v>
      </c>
      <c r="BV114" s="17">
        <v>0</v>
      </c>
      <c r="BW114" s="21">
        <v>43661</v>
      </c>
      <c r="BX114" s="17" t="s">
        <v>414</v>
      </c>
      <c r="BY114" s="17" t="s">
        <v>414</v>
      </c>
      <c r="BZ114" s="17">
        <v>0</v>
      </c>
      <c r="CA114" s="21">
        <v>45959</v>
      </c>
      <c r="CB114" s="17" t="s">
        <v>419</v>
      </c>
      <c r="CC114" s="17" t="s">
        <v>2118</v>
      </c>
      <c r="CD114" s="21"/>
      <c r="CE114" s="17"/>
      <c r="CF114" s="17" t="s">
        <v>1201</v>
      </c>
      <c r="CG114" s="17" t="b">
        <v>0</v>
      </c>
      <c r="CH114" s="17" t="s">
        <v>425</v>
      </c>
      <c r="CI114" s="17">
        <v>546</v>
      </c>
      <c r="CJ114" s="21">
        <v>1</v>
      </c>
      <c r="CK114" s="21">
        <v>1</v>
      </c>
      <c r="CL114" s="17" t="s">
        <v>414</v>
      </c>
      <c r="CM114" s="21">
        <v>1</v>
      </c>
      <c r="CN114" s="21">
        <v>1</v>
      </c>
      <c r="CO114" s="21">
        <v>1</v>
      </c>
      <c r="CP114" s="17" t="b">
        <v>0</v>
      </c>
      <c r="CQ114" s="17" t="b">
        <v>0</v>
      </c>
      <c r="CR114" s="17" t="b">
        <v>0</v>
      </c>
      <c r="CS114">
        <v>8500</v>
      </c>
      <c r="CT114" t="s">
        <v>1979</v>
      </c>
      <c r="CU114">
        <v>6538.46</v>
      </c>
      <c r="CV114">
        <v>1961.54</v>
      </c>
      <c r="CW114" s="22"/>
    </row>
    <row r="115" spans="1:101" x14ac:dyDescent="0.25">
      <c r="A115" s="20">
        <v>532</v>
      </c>
      <c r="B115" s="17" t="s">
        <v>1202</v>
      </c>
      <c r="C115" s="17" t="s">
        <v>768</v>
      </c>
      <c r="D115" s="17" t="s">
        <v>158</v>
      </c>
      <c r="E115" s="17" t="s">
        <v>1203</v>
      </c>
      <c r="F115" s="17" t="s">
        <v>1204</v>
      </c>
      <c r="G115" s="17" t="s">
        <v>414</v>
      </c>
      <c r="H115" s="17" t="s">
        <v>1205</v>
      </c>
      <c r="I115" s="17" t="s">
        <v>414</v>
      </c>
      <c r="J115" s="17" t="s">
        <v>25</v>
      </c>
      <c r="K115" s="17" t="b">
        <v>0</v>
      </c>
      <c r="L115" s="17" t="s">
        <v>1206</v>
      </c>
      <c r="M115" s="21">
        <v>27489</v>
      </c>
      <c r="N115" s="17" t="s">
        <v>414</v>
      </c>
      <c r="O115" s="17" t="s">
        <v>26</v>
      </c>
      <c r="P115" s="17" t="s">
        <v>18</v>
      </c>
      <c r="Q115" s="17">
        <v>1</v>
      </c>
      <c r="R115" s="17" t="s">
        <v>19</v>
      </c>
      <c r="S115" s="17">
        <v>3</v>
      </c>
      <c r="T115" s="17" t="s">
        <v>1105</v>
      </c>
      <c r="U115" s="21">
        <v>43697</v>
      </c>
      <c r="V115" s="17" t="s">
        <v>33</v>
      </c>
      <c r="W115" s="21">
        <v>1.28125</v>
      </c>
      <c r="X115" s="17" t="s">
        <v>1207</v>
      </c>
      <c r="Y115" s="17" t="s">
        <v>21</v>
      </c>
      <c r="Z115" s="17">
        <v>551950</v>
      </c>
      <c r="AA115" s="17" t="s">
        <v>140</v>
      </c>
      <c r="AB115" s="17" t="s">
        <v>418</v>
      </c>
      <c r="AC115" s="17">
        <v>121</v>
      </c>
      <c r="AD115" s="21">
        <v>44425</v>
      </c>
      <c r="AE115" s="21">
        <v>45168</v>
      </c>
      <c r="AF115" s="17"/>
      <c r="AG115" s="21">
        <v>45534</v>
      </c>
      <c r="AH115" s="17">
        <v>61354577</v>
      </c>
      <c r="AI115" s="21">
        <v>43831</v>
      </c>
      <c r="AJ115" s="17">
        <v>4121</v>
      </c>
      <c r="AK115" s="17">
        <v>0.29749999999999999</v>
      </c>
      <c r="AL115" s="17">
        <v>1226</v>
      </c>
      <c r="AM115" s="17" t="b">
        <v>1</v>
      </c>
      <c r="AN115" s="17" t="b">
        <v>1</v>
      </c>
      <c r="AO115" s="21">
        <v>45398</v>
      </c>
      <c r="AP115" s="21">
        <v>45398</v>
      </c>
      <c r="AQ115" s="17" t="b">
        <v>0</v>
      </c>
      <c r="AR115" s="21">
        <v>45398</v>
      </c>
      <c r="AS115" s="21">
        <v>45398</v>
      </c>
      <c r="AT115" s="21">
        <v>43739</v>
      </c>
      <c r="AU115" s="17" t="b">
        <v>0</v>
      </c>
      <c r="AV115" s="21">
        <v>43789</v>
      </c>
      <c r="AW115" s="17" t="s">
        <v>27</v>
      </c>
      <c r="AX115" s="17" t="s">
        <v>27</v>
      </c>
      <c r="AY115" s="17" t="s">
        <v>414</v>
      </c>
      <c r="AZ115" s="17" t="s">
        <v>450</v>
      </c>
      <c r="BA115" s="21">
        <v>45398</v>
      </c>
      <c r="BB115" s="17">
        <v>0</v>
      </c>
      <c r="BC115" s="17"/>
      <c r="BD115" s="17" t="b">
        <v>0</v>
      </c>
      <c r="BE115" s="17" t="s">
        <v>2119</v>
      </c>
      <c r="BF115" s="21">
        <v>45398</v>
      </c>
      <c r="BG115" s="21">
        <v>45763</v>
      </c>
      <c r="BH115" s="17"/>
      <c r="BI115" s="21">
        <v>45657</v>
      </c>
      <c r="BJ115" s="17">
        <v>0</v>
      </c>
      <c r="BK115" s="17" t="s">
        <v>443</v>
      </c>
      <c r="BL115" s="17" t="s">
        <v>443</v>
      </c>
      <c r="BM115" s="17" t="b">
        <v>1</v>
      </c>
      <c r="BN115" s="17" t="b">
        <v>0</v>
      </c>
      <c r="BO115" s="17" t="b">
        <v>1</v>
      </c>
      <c r="BP115" s="17" t="b">
        <v>1</v>
      </c>
      <c r="BQ115" s="17" t="b">
        <v>1</v>
      </c>
      <c r="BR115" s="17" t="b">
        <v>1</v>
      </c>
      <c r="BS115" s="17" t="b">
        <v>0</v>
      </c>
      <c r="BT115" s="17" t="b">
        <v>0</v>
      </c>
      <c r="BU115" s="17" t="b">
        <v>1</v>
      </c>
      <c r="BV115" s="17">
        <v>0</v>
      </c>
      <c r="BW115" s="21">
        <v>43728</v>
      </c>
      <c r="BX115" s="17" t="s">
        <v>414</v>
      </c>
      <c r="BY115" s="17" t="s">
        <v>414</v>
      </c>
      <c r="BZ115" s="17">
        <v>0</v>
      </c>
      <c r="CA115" s="21">
        <v>45951</v>
      </c>
      <c r="CB115" s="17" t="s">
        <v>419</v>
      </c>
      <c r="CC115" s="17" t="s">
        <v>2120</v>
      </c>
      <c r="CD115" s="21"/>
      <c r="CE115" s="17"/>
      <c r="CF115" s="17" t="s">
        <v>1106</v>
      </c>
      <c r="CG115" s="17" t="b">
        <v>0</v>
      </c>
      <c r="CH115" s="17" t="s">
        <v>425</v>
      </c>
      <c r="CI115" s="17">
        <v>0</v>
      </c>
      <c r="CJ115" s="21">
        <v>45845</v>
      </c>
      <c r="CK115" s="21">
        <v>45904</v>
      </c>
      <c r="CL115" s="17" t="s">
        <v>414</v>
      </c>
      <c r="CM115" s="21">
        <v>1</v>
      </c>
      <c r="CN115" s="21">
        <v>1</v>
      </c>
      <c r="CO115" s="21">
        <v>1</v>
      </c>
      <c r="CP115" s="17" t="b">
        <v>0</v>
      </c>
      <c r="CQ115" s="17" t="b">
        <v>1</v>
      </c>
      <c r="CR115" s="17" t="b">
        <v>0</v>
      </c>
      <c r="CS115">
        <v>7000</v>
      </c>
      <c r="CT115" t="s">
        <v>1912</v>
      </c>
      <c r="CU115">
        <v>5384.62</v>
      </c>
      <c r="CV115">
        <v>1615.38</v>
      </c>
      <c r="CW115" s="22"/>
    </row>
    <row r="116" spans="1:101" x14ac:dyDescent="0.25">
      <c r="A116" s="20">
        <v>536</v>
      </c>
      <c r="B116" s="17" t="s">
        <v>1210</v>
      </c>
      <c r="C116" s="17" t="s">
        <v>862</v>
      </c>
      <c r="D116" s="17" t="s">
        <v>1211</v>
      </c>
      <c r="E116" s="17" t="s">
        <v>1212</v>
      </c>
      <c r="F116" s="17" t="s">
        <v>1213</v>
      </c>
      <c r="G116" s="17" t="s">
        <v>414</v>
      </c>
      <c r="H116" s="17" t="s">
        <v>1127</v>
      </c>
      <c r="I116" s="17" t="s">
        <v>414</v>
      </c>
      <c r="J116" s="17" t="s">
        <v>96</v>
      </c>
      <c r="K116" s="17" t="b">
        <v>0</v>
      </c>
      <c r="L116" s="17" t="s">
        <v>1214</v>
      </c>
      <c r="M116" s="21">
        <v>35202</v>
      </c>
      <c r="N116" s="17" t="s">
        <v>414</v>
      </c>
      <c r="O116" s="17" t="s">
        <v>17</v>
      </c>
      <c r="P116" s="17" t="s">
        <v>18</v>
      </c>
      <c r="Q116" s="17">
        <v>1</v>
      </c>
      <c r="R116" s="17" t="s">
        <v>19</v>
      </c>
      <c r="S116" s="17">
        <v>24</v>
      </c>
      <c r="T116" s="17" t="s">
        <v>1160</v>
      </c>
      <c r="U116" s="21">
        <v>41275</v>
      </c>
      <c r="V116" s="17" t="s">
        <v>31</v>
      </c>
      <c r="W116" s="21">
        <v>1</v>
      </c>
      <c r="X116" s="17" t="s">
        <v>1128</v>
      </c>
      <c r="Y116" s="17" t="s">
        <v>21</v>
      </c>
      <c r="Z116" s="17">
        <v>0</v>
      </c>
      <c r="AA116" s="17" t="s">
        <v>414</v>
      </c>
      <c r="AB116" s="17" t="s">
        <v>443</v>
      </c>
      <c r="AC116" s="17">
        <v>0</v>
      </c>
      <c r="AD116" s="21">
        <v>45398</v>
      </c>
      <c r="AE116" s="21">
        <v>2</v>
      </c>
      <c r="AF116" s="17"/>
      <c r="AG116" s="21">
        <v>368</v>
      </c>
      <c r="AH116" s="17">
        <v>0</v>
      </c>
      <c r="AI116" s="21">
        <v>1</v>
      </c>
      <c r="AJ116" s="17">
        <v>0</v>
      </c>
      <c r="AK116" s="17">
        <v>0.29749999999999999</v>
      </c>
      <c r="AL116" s="17">
        <v>0</v>
      </c>
      <c r="AM116" s="17" t="b">
        <v>0</v>
      </c>
      <c r="AN116" s="17" t="b">
        <v>0</v>
      </c>
      <c r="AO116" s="21">
        <v>45398</v>
      </c>
      <c r="AP116" s="21">
        <v>45398</v>
      </c>
      <c r="AQ116" s="17" t="b">
        <v>0</v>
      </c>
      <c r="AR116" s="21">
        <v>45398</v>
      </c>
      <c r="AS116" s="21">
        <v>45398</v>
      </c>
      <c r="AT116" s="21">
        <v>-90</v>
      </c>
      <c r="AU116" s="17" t="b">
        <v>0</v>
      </c>
      <c r="AV116" s="21">
        <v>41365</v>
      </c>
      <c r="AW116" s="17" t="s">
        <v>27</v>
      </c>
      <c r="AX116" s="17" t="s">
        <v>27</v>
      </c>
      <c r="AY116" s="17"/>
      <c r="AZ116" s="17" t="s">
        <v>450</v>
      </c>
      <c r="BA116" s="21">
        <v>45398</v>
      </c>
      <c r="BB116" s="17">
        <v>0</v>
      </c>
      <c r="BC116" s="17"/>
      <c r="BD116" s="17" t="b">
        <v>0</v>
      </c>
      <c r="BE116" s="17" t="s">
        <v>2121</v>
      </c>
      <c r="BF116" s="21">
        <v>45398</v>
      </c>
      <c r="BG116" s="21">
        <v>45763</v>
      </c>
      <c r="BH116" s="17"/>
      <c r="BI116" s="21">
        <v>45398</v>
      </c>
      <c r="BJ116" s="17">
        <v>0</v>
      </c>
      <c r="BK116" s="17" t="s">
        <v>443</v>
      </c>
      <c r="BL116" s="17" t="s">
        <v>443</v>
      </c>
      <c r="BM116" s="17" t="b">
        <v>0</v>
      </c>
      <c r="BN116" s="17" t="b">
        <v>0</v>
      </c>
      <c r="BO116" s="17" t="b">
        <v>0</v>
      </c>
      <c r="BP116" s="17" t="b">
        <v>0</v>
      </c>
      <c r="BQ116" s="17" t="b">
        <v>0</v>
      </c>
      <c r="BR116" s="17" t="b">
        <v>0</v>
      </c>
      <c r="BS116" s="17" t="b">
        <v>0</v>
      </c>
      <c r="BT116" s="17" t="b">
        <v>0</v>
      </c>
      <c r="BU116" s="17" t="b">
        <v>0</v>
      </c>
      <c r="BV116" s="17">
        <v>0</v>
      </c>
      <c r="BW116" s="21">
        <v>41306</v>
      </c>
      <c r="BX116" s="17" t="s">
        <v>414</v>
      </c>
      <c r="BY116" s="17" t="s">
        <v>414</v>
      </c>
      <c r="BZ116" s="17">
        <v>0</v>
      </c>
      <c r="CA116" s="21">
        <v>45801</v>
      </c>
      <c r="CB116" s="17" t="s">
        <v>438</v>
      </c>
      <c r="CC116" s="17" t="s">
        <v>2122</v>
      </c>
      <c r="CD116" s="21"/>
      <c r="CE116" s="17"/>
      <c r="CF116" s="17" t="s">
        <v>414</v>
      </c>
      <c r="CG116" s="17" t="b">
        <v>0</v>
      </c>
      <c r="CH116" s="17" t="s">
        <v>414</v>
      </c>
      <c r="CI116" s="17"/>
      <c r="CJ116" s="21"/>
      <c r="CK116" s="21"/>
      <c r="CL116" s="17"/>
      <c r="CM116" s="21"/>
      <c r="CN116" s="21"/>
      <c r="CO116" s="21"/>
      <c r="CP116" s="17"/>
      <c r="CQ116" s="17"/>
      <c r="CR116" s="17"/>
      <c r="CW116" s="22"/>
    </row>
    <row r="117" spans="1:101" x14ac:dyDescent="0.25">
      <c r="A117" s="20">
        <v>537</v>
      </c>
      <c r="B117" s="17" t="s">
        <v>568</v>
      </c>
      <c r="C117" s="17" t="s">
        <v>1215</v>
      </c>
      <c r="D117" s="17" t="s">
        <v>1216</v>
      </c>
      <c r="E117" s="17" t="s">
        <v>1217</v>
      </c>
      <c r="F117" s="17" t="s">
        <v>1218</v>
      </c>
      <c r="G117" s="17" t="s">
        <v>414</v>
      </c>
      <c r="H117" s="17" t="s">
        <v>1139</v>
      </c>
      <c r="I117" s="17" t="s">
        <v>414</v>
      </c>
      <c r="J117" s="17" t="s">
        <v>96</v>
      </c>
      <c r="K117" s="17" t="b">
        <v>0</v>
      </c>
      <c r="L117" s="17" t="s">
        <v>1219</v>
      </c>
      <c r="M117" s="21">
        <v>22837</v>
      </c>
      <c r="N117" s="17" t="s">
        <v>414</v>
      </c>
      <c r="O117" s="17" t="s">
        <v>17</v>
      </c>
      <c r="P117" s="17" t="s">
        <v>18</v>
      </c>
      <c r="Q117" s="17">
        <v>1</v>
      </c>
      <c r="R117" s="17" t="s">
        <v>19</v>
      </c>
      <c r="S117" s="17">
        <v>30</v>
      </c>
      <c r="T117" s="17" t="s">
        <v>1220</v>
      </c>
      <c r="U117" s="21">
        <v>42924</v>
      </c>
      <c r="V117" s="17" t="s">
        <v>829</v>
      </c>
      <c r="W117" s="21">
        <v>1</v>
      </c>
      <c r="X117" s="17" t="s">
        <v>1221</v>
      </c>
      <c r="Y117" s="17" t="s">
        <v>21</v>
      </c>
      <c r="Z117" s="17">
        <v>0</v>
      </c>
      <c r="AA117" s="17" t="s">
        <v>414</v>
      </c>
      <c r="AB117" s="17" t="s">
        <v>443</v>
      </c>
      <c r="AC117" s="17">
        <v>0</v>
      </c>
      <c r="AD117" s="21">
        <v>45398</v>
      </c>
      <c r="AE117" s="21">
        <v>2</v>
      </c>
      <c r="AF117" s="17"/>
      <c r="AG117" s="21">
        <v>368</v>
      </c>
      <c r="AH117" s="17">
        <v>0</v>
      </c>
      <c r="AI117" s="21">
        <v>1</v>
      </c>
      <c r="AJ117" s="17">
        <v>0</v>
      </c>
      <c r="AK117" s="17">
        <v>0.29749999999999999</v>
      </c>
      <c r="AL117" s="17">
        <v>0</v>
      </c>
      <c r="AM117" s="17" t="b">
        <v>0</v>
      </c>
      <c r="AN117" s="17" t="b">
        <v>0</v>
      </c>
      <c r="AO117" s="21">
        <v>45398</v>
      </c>
      <c r="AP117" s="21">
        <v>45398</v>
      </c>
      <c r="AQ117" s="17" t="b">
        <v>0</v>
      </c>
      <c r="AR117" s="21">
        <v>45398</v>
      </c>
      <c r="AS117" s="21">
        <v>45398</v>
      </c>
      <c r="AT117" s="21">
        <v>-90</v>
      </c>
      <c r="AU117" s="17" t="b">
        <v>0</v>
      </c>
      <c r="AV117" s="21">
        <v>43016</v>
      </c>
      <c r="AW117" s="17" t="s">
        <v>23</v>
      </c>
      <c r="AX117" s="17" t="s">
        <v>23</v>
      </c>
      <c r="AY117" s="17" t="s">
        <v>23</v>
      </c>
      <c r="AZ117" s="17" t="s">
        <v>450</v>
      </c>
      <c r="BA117" s="21">
        <v>45398</v>
      </c>
      <c r="BB117" s="17">
        <v>0</v>
      </c>
      <c r="BC117" s="17"/>
      <c r="BD117" s="17" t="b">
        <v>0</v>
      </c>
      <c r="BE117" s="17" t="s">
        <v>2123</v>
      </c>
      <c r="BF117" s="21">
        <v>45398</v>
      </c>
      <c r="BG117" s="21">
        <v>45763</v>
      </c>
      <c r="BH117" s="17"/>
      <c r="BI117" s="21">
        <v>45398</v>
      </c>
      <c r="BJ117" s="17">
        <v>0</v>
      </c>
      <c r="BK117" s="17" t="s">
        <v>443</v>
      </c>
      <c r="BL117" s="17" t="s">
        <v>443</v>
      </c>
      <c r="BM117" s="17" t="b">
        <v>0</v>
      </c>
      <c r="BN117" s="17" t="b">
        <v>0</v>
      </c>
      <c r="BO117" s="17" t="b">
        <v>0</v>
      </c>
      <c r="BP117" s="17" t="b">
        <v>0</v>
      </c>
      <c r="BQ117" s="17" t="b">
        <v>0</v>
      </c>
      <c r="BR117" s="17" t="b">
        <v>0</v>
      </c>
      <c r="BS117" s="17" t="b">
        <v>0</v>
      </c>
      <c r="BT117" s="17" t="b">
        <v>0</v>
      </c>
      <c r="BU117" s="17" t="b">
        <v>0</v>
      </c>
      <c r="BV117" s="17">
        <v>0</v>
      </c>
      <c r="BW117" s="21">
        <v>42955</v>
      </c>
      <c r="BX117" s="17" t="s">
        <v>414</v>
      </c>
      <c r="BY117" s="17" t="s">
        <v>414</v>
      </c>
      <c r="BZ117" s="17">
        <v>0</v>
      </c>
      <c r="CA117" s="21">
        <v>45918</v>
      </c>
      <c r="CB117" s="17" t="s">
        <v>419</v>
      </c>
      <c r="CC117" s="17" t="s">
        <v>2124</v>
      </c>
      <c r="CD117" s="21"/>
      <c r="CE117" s="17"/>
      <c r="CF117" s="17" t="s">
        <v>1135</v>
      </c>
      <c r="CG117" s="17" t="b">
        <v>0</v>
      </c>
      <c r="CH117" s="17" t="s">
        <v>414</v>
      </c>
      <c r="CI117" s="17">
        <v>0</v>
      </c>
      <c r="CJ117" s="21">
        <v>1</v>
      </c>
      <c r="CK117" s="21">
        <v>1</v>
      </c>
      <c r="CL117" s="17" t="s">
        <v>414</v>
      </c>
      <c r="CM117" s="21">
        <v>1</v>
      </c>
      <c r="CN117" s="21">
        <v>1</v>
      </c>
      <c r="CO117" s="21">
        <v>1</v>
      </c>
      <c r="CP117" s="17" t="b">
        <v>0</v>
      </c>
      <c r="CQ117" s="17" t="b">
        <v>0</v>
      </c>
      <c r="CR117" s="17" t="b">
        <v>0</v>
      </c>
      <c r="CW117" s="22"/>
    </row>
    <row r="118" spans="1:101" x14ac:dyDescent="0.25">
      <c r="A118" s="20">
        <v>539</v>
      </c>
      <c r="B118" s="17" t="s">
        <v>420</v>
      </c>
      <c r="C118" s="17" t="s">
        <v>427</v>
      </c>
      <c r="D118" s="17" t="s">
        <v>159</v>
      </c>
      <c r="E118" s="17" t="s">
        <v>1223</v>
      </c>
      <c r="F118" s="17" t="s">
        <v>1224</v>
      </c>
      <c r="G118" s="17" t="s">
        <v>414</v>
      </c>
      <c r="H118" s="17" t="s">
        <v>421</v>
      </c>
      <c r="I118" s="17" t="s">
        <v>414</v>
      </c>
      <c r="J118" s="17" t="s">
        <v>16</v>
      </c>
      <c r="K118" s="17" t="b">
        <v>0</v>
      </c>
      <c r="L118" s="17" t="s">
        <v>1225</v>
      </c>
      <c r="M118" s="21">
        <v>33878</v>
      </c>
      <c r="N118" s="17" t="s">
        <v>414</v>
      </c>
      <c r="O118" s="17" t="s">
        <v>17</v>
      </c>
      <c r="P118" s="17" t="s">
        <v>18</v>
      </c>
      <c r="Q118" s="17">
        <v>1</v>
      </c>
      <c r="R118" s="17" t="s">
        <v>19</v>
      </c>
      <c r="S118" s="17">
        <v>6</v>
      </c>
      <c r="T118" s="17" t="s">
        <v>1226</v>
      </c>
      <c r="U118" s="21">
        <v>42746</v>
      </c>
      <c r="V118" s="17" t="s">
        <v>58</v>
      </c>
      <c r="W118" s="21">
        <v>1.2361111111111112</v>
      </c>
      <c r="X118" s="17" t="s">
        <v>1227</v>
      </c>
      <c r="Y118" s="17" t="s">
        <v>21</v>
      </c>
      <c r="Z118" s="17">
        <v>949900</v>
      </c>
      <c r="AA118" s="17" t="s">
        <v>22</v>
      </c>
      <c r="AB118" s="17" t="s">
        <v>418</v>
      </c>
      <c r="AC118" s="17">
        <v>85</v>
      </c>
      <c r="AD118" s="21">
        <v>43503</v>
      </c>
      <c r="AE118" s="21">
        <v>45389</v>
      </c>
      <c r="AF118" s="17"/>
      <c r="AG118" s="21">
        <v>45754</v>
      </c>
      <c r="AH118" s="17">
        <v>61252378</v>
      </c>
      <c r="AI118" s="21">
        <v>42836</v>
      </c>
      <c r="AJ118" s="17">
        <v>4110</v>
      </c>
      <c r="AK118" s="17">
        <v>0.29749999999999999</v>
      </c>
      <c r="AL118" s="17">
        <v>1222.73</v>
      </c>
      <c r="AM118" s="17" t="b">
        <v>1</v>
      </c>
      <c r="AN118" s="17" t="b">
        <v>1</v>
      </c>
      <c r="AO118" s="21">
        <v>45477</v>
      </c>
      <c r="AP118" s="21">
        <v>45477</v>
      </c>
      <c r="AQ118" s="17" t="b">
        <v>0</v>
      </c>
      <c r="AR118" s="21">
        <v>45477</v>
      </c>
      <c r="AS118" s="21">
        <v>45477</v>
      </c>
      <c r="AT118" s="21">
        <v>42746</v>
      </c>
      <c r="AU118" s="17" t="b">
        <v>0</v>
      </c>
      <c r="AV118" s="21">
        <v>42836</v>
      </c>
      <c r="AW118" s="17" t="s">
        <v>23</v>
      </c>
      <c r="AX118" s="17" t="s">
        <v>41</v>
      </c>
      <c r="AY118" s="17" t="s">
        <v>414</v>
      </c>
      <c r="AZ118" s="17" t="s">
        <v>414</v>
      </c>
      <c r="BA118" s="21">
        <v>45477</v>
      </c>
      <c r="BB118" s="17">
        <v>0</v>
      </c>
      <c r="BC118" s="17"/>
      <c r="BD118" s="17" t="b">
        <v>0</v>
      </c>
      <c r="BE118" s="17" t="s">
        <v>1953</v>
      </c>
      <c r="BF118" s="21">
        <v>45477</v>
      </c>
      <c r="BG118" s="21">
        <v>45842</v>
      </c>
      <c r="BH118" s="17"/>
      <c r="BI118" s="21">
        <v>46630</v>
      </c>
      <c r="BJ118" s="17">
        <v>0</v>
      </c>
      <c r="BK118" s="17" t="s">
        <v>436</v>
      </c>
      <c r="BL118" s="17" t="s">
        <v>459</v>
      </c>
      <c r="BM118" s="17" t="b">
        <v>1</v>
      </c>
      <c r="BN118" s="17" t="b">
        <v>0</v>
      </c>
      <c r="BO118" s="17" t="b">
        <v>1</v>
      </c>
      <c r="BP118" s="17" t="b">
        <v>0</v>
      </c>
      <c r="BQ118" s="17" t="b">
        <v>1</v>
      </c>
      <c r="BR118" s="17" t="b">
        <v>1</v>
      </c>
      <c r="BS118" s="17" t="b">
        <v>0</v>
      </c>
      <c r="BT118" s="17" t="b">
        <v>1</v>
      </c>
      <c r="BU118" s="17" t="b">
        <v>0</v>
      </c>
      <c r="BV118" s="17">
        <v>0</v>
      </c>
      <c r="BW118" s="21">
        <v>42777</v>
      </c>
      <c r="BX118" s="17" t="s">
        <v>414</v>
      </c>
      <c r="BY118" s="17" t="s">
        <v>414</v>
      </c>
      <c r="BZ118" s="17">
        <v>0</v>
      </c>
      <c r="CA118" s="21">
        <v>45951</v>
      </c>
      <c r="CB118" s="17" t="s">
        <v>438</v>
      </c>
      <c r="CC118" s="17" t="s">
        <v>2125</v>
      </c>
      <c r="CD118" s="21"/>
      <c r="CE118" s="17"/>
      <c r="CF118" s="17" t="s">
        <v>1228</v>
      </c>
      <c r="CG118" s="17" t="b">
        <v>0</v>
      </c>
      <c r="CH118" s="17" t="s">
        <v>425</v>
      </c>
      <c r="CI118" s="17">
        <v>0</v>
      </c>
      <c r="CJ118" s="21">
        <v>45845</v>
      </c>
      <c r="CK118" s="21">
        <v>45904</v>
      </c>
      <c r="CL118" s="17" t="s">
        <v>414</v>
      </c>
      <c r="CM118" s="21">
        <v>1</v>
      </c>
      <c r="CN118" s="21">
        <v>1</v>
      </c>
      <c r="CO118" s="21">
        <v>1</v>
      </c>
      <c r="CP118" s="17" t="b">
        <v>0</v>
      </c>
      <c r="CQ118" s="17" t="b">
        <v>1</v>
      </c>
      <c r="CR118" s="17" t="b">
        <v>0</v>
      </c>
      <c r="CS118">
        <v>7400</v>
      </c>
      <c r="CT118" t="s">
        <v>1917</v>
      </c>
      <c r="CU118">
        <v>5692.31</v>
      </c>
      <c r="CV118">
        <v>1707.69</v>
      </c>
      <c r="CW118" s="22"/>
    </row>
    <row r="119" spans="1:101" x14ac:dyDescent="0.25">
      <c r="A119" s="20">
        <v>540</v>
      </c>
      <c r="B119" s="17" t="s">
        <v>1229</v>
      </c>
      <c r="C119" s="17" t="s">
        <v>530</v>
      </c>
      <c r="D119" s="17" t="s">
        <v>160</v>
      </c>
      <c r="E119" s="17" t="s">
        <v>1230</v>
      </c>
      <c r="F119" s="17" t="s">
        <v>1231</v>
      </c>
      <c r="G119" s="17" t="s">
        <v>414</v>
      </c>
      <c r="H119" s="17" t="s">
        <v>421</v>
      </c>
      <c r="I119" s="17" t="s">
        <v>414</v>
      </c>
      <c r="J119" s="17" t="s">
        <v>16</v>
      </c>
      <c r="K119" s="17" t="b">
        <v>0</v>
      </c>
      <c r="L119" s="17" t="s">
        <v>1232</v>
      </c>
      <c r="M119" s="21">
        <v>33465</v>
      </c>
      <c r="N119" s="17" t="s">
        <v>414</v>
      </c>
      <c r="O119" s="17" t="s">
        <v>17</v>
      </c>
      <c r="P119" s="17" t="s">
        <v>18</v>
      </c>
      <c r="Q119" s="17">
        <v>1</v>
      </c>
      <c r="R119" s="17" t="s">
        <v>19</v>
      </c>
      <c r="S119" s="17">
        <v>6</v>
      </c>
      <c r="T119" s="17" t="s">
        <v>1226</v>
      </c>
      <c r="U119" s="21">
        <v>41660</v>
      </c>
      <c r="V119" s="17" t="s">
        <v>58</v>
      </c>
      <c r="W119" s="21">
        <v>1.7361111111111112</v>
      </c>
      <c r="X119" s="17" t="s">
        <v>1233</v>
      </c>
      <c r="Y119" s="17" t="s">
        <v>21</v>
      </c>
      <c r="Z119" s="17">
        <v>949900</v>
      </c>
      <c r="AA119" s="17" t="s">
        <v>22</v>
      </c>
      <c r="AB119" s="17" t="s">
        <v>418</v>
      </c>
      <c r="AC119" s="17">
        <v>36</v>
      </c>
      <c r="AD119" s="21">
        <v>43716</v>
      </c>
      <c r="AE119" s="21">
        <v>45389</v>
      </c>
      <c r="AF119" s="17"/>
      <c r="AG119" s="21">
        <v>45754</v>
      </c>
      <c r="AH119" s="17">
        <v>68397985</v>
      </c>
      <c r="AI119" s="21">
        <v>41730</v>
      </c>
      <c r="AJ119" s="17">
        <v>4110</v>
      </c>
      <c r="AK119" s="17">
        <v>0.29749999999999999</v>
      </c>
      <c r="AL119" s="17">
        <v>1222.73</v>
      </c>
      <c r="AM119" s="17" t="b">
        <v>0</v>
      </c>
      <c r="AN119" s="17" t="b">
        <v>1</v>
      </c>
      <c r="AO119" s="21">
        <v>45449</v>
      </c>
      <c r="AP119" s="21">
        <v>45449</v>
      </c>
      <c r="AQ119" s="17" t="b">
        <v>0</v>
      </c>
      <c r="AR119" s="21">
        <v>45449</v>
      </c>
      <c r="AS119" s="21">
        <v>45449</v>
      </c>
      <c r="AT119" s="21">
        <v>41640</v>
      </c>
      <c r="AU119" s="17" t="b">
        <v>0</v>
      </c>
      <c r="AV119" s="21">
        <v>41750</v>
      </c>
      <c r="AW119" s="17" t="s">
        <v>41</v>
      </c>
      <c r="AX119" s="17" t="s">
        <v>23</v>
      </c>
      <c r="AY119" s="17" t="s">
        <v>414</v>
      </c>
      <c r="AZ119" s="17" t="s">
        <v>414</v>
      </c>
      <c r="BA119" s="21">
        <v>45449</v>
      </c>
      <c r="BB119" s="17">
        <v>0</v>
      </c>
      <c r="BC119" s="17"/>
      <c r="BD119" s="17" t="b">
        <v>0</v>
      </c>
      <c r="BE119" s="17" t="s">
        <v>2126</v>
      </c>
      <c r="BF119" s="21">
        <v>45449</v>
      </c>
      <c r="BG119" s="21">
        <v>45814</v>
      </c>
      <c r="BH119" s="17"/>
      <c r="BI119" s="21">
        <v>45792</v>
      </c>
      <c r="BJ119" s="17">
        <v>0</v>
      </c>
      <c r="BK119" s="17" t="s">
        <v>443</v>
      </c>
      <c r="BL119" s="17" t="s">
        <v>443</v>
      </c>
      <c r="BM119" s="17" t="b">
        <v>1</v>
      </c>
      <c r="BN119" s="17" t="b">
        <v>0</v>
      </c>
      <c r="BO119" s="17" t="b">
        <v>0</v>
      </c>
      <c r="BP119" s="17" t="b">
        <v>0</v>
      </c>
      <c r="BQ119" s="17" t="b">
        <v>0</v>
      </c>
      <c r="BR119" s="17" t="b">
        <v>1</v>
      </c>
      <c r="BS119" s="17" t="b">
        <v>1</v>
      </c>
      <c r="BT119" s="17" t="b">
        <v>1</v>
      </c>
      <c r="BU119" s="17" t="b">
        <v>0</v>
      </c>
      <c r="BV119" s="17">
        <v>0</v>
      </c>
      <c r="BW119" s="21">
        <v>41691</v>
      </c>
      <c r="BX119" s="17" t="s">
        <v>414</v>
      </c>
      <c r="BY119" s="17" t="s">
        <v>414</v>
      </c>
      <c r="BZ119" s="17">
        <v>0</v>
      </c>
      <c r="CA119" s="21">
        <v>45951</v>
      </c>
      <c r="CB119" s="17" t="s">
        <v>438</v>
      </c>
      <c r="CC119" s="17" t="s">
        <v>2127</v>
      </c>
      <c r="CD119" s="21">
        <v>1</v>
      </c>
      <c r="CE119" s="17" t="s">
        <v>414</v>
      </c>
      <c r="CF119" s="17" t="s">
        <v>1234</v>
      </c>
      <c r="CG119" s="17" t="b">
        <v>0</v>
      </c>
      <c r="CH119" s="17" t="s">
        <v>425</v>
      </c>
      <c r="CI119" s="17">
        <v>0</v>
      </c>
      <c r="CJ119" s="21">
        <v>45846</v>
      </c>
      <c r="CK119" s="21">
        <v>45904</v>
      </c>
      <c r="CL119" s="17" t="s">
        <v>414</v>
      </c>
      <c r="CM119" s="21">
        <v>1</v>
      </c>
      <c r="CN119" s="21">
        <v>1</v>
      </c>
      <c r="CO119" s="21">
        <v>1</v>
      </c>
      <c r="CP119" s="17" t="b">
        <v>0</v>
      </c>
      <c r="CQ119" s="17" t="b">
        <v>1</v>
      </c>
      <c r="CR119" s="17" t="b">
        <v>0</v>
      </c>
      <c r="CS119">
        <v>7400</v>
      </c>
      <c r="CT119" t="s">
        <v>1917</v>
      </c>
      <c r="CU119">
        <v>5692.31</v>
      </c>
      <c r="CV119">
        <v>1707.69</v>
      </c>
      <c r="CW119" s="22"/>
    </row>
    <row r="120" spans="1:101" x14ac:dyDescent="0.25">
      <c r="A120" s="20">
        <v>542</v>
      </c>
      <c r="B120" s="17" t="s">
        <v>528</v>
      </c>
      <c r="C120" s="17" t="s">
        <v>460</v>
      </c>
      <c r="D120" s="17" t="s">
        <v>161</v>
      </c>
      <c r="E120" s="17" t="s">
        <v>1235</v>
      </c>
      <c r="F120" s="17" t="s">
        <v>1236</v>
      </c>
      <c r="G120" s="17" t="s">
        <v>414</v>
      </c>
      <c r="H120" s="17" t="s">
        <v>1237</v>
      </c>
      <c r="I120" s="17" t="s">
        <v>414</v>
      </c>
      <c r="J120" s="17" t="s">
        <v>16</v>
      </c>
      <c r="K120" s="17" t="b">
        <v>0</v>
      </c>
      <c r="L120" s="17" t="s">
        <v>1238</v>
      </c>
      <c r="M120" s="21">
        <v>25467</v>
      </c>
      <c r="N120" s="17" t="s">
        <v>414</v>
      </c>
      <c r="O120" s="17" t="s">
        <v>17</v>
      </c>
      <c r="P120" s="17" t="s">
        <v>18</v>
      </c>
      <c r="Q120" s="17">
        <v>1</v>
      </c>
      <c r="R120" s="17" t="s">
        <v>19</v>
      </c>
      <c r="S120" s="17">
        <v>7</v>
      </c>
      <c r="T120" s="17" t="s">
        <v>140</v>
      </c>
      <c r="U120" s="21">
        <v>42818</v>
      </c>
      <c r="V120" s="17" t="s">
        <v>61</v>
      </c>
      <c r="W120" s="21">
        <v>1</v>
      </c>
      <c r="X120" s="17" t="s">
        <v>1239</v>
      </c>
      <c r="Y120" s="17" t="s">
        <v>21</v>
      </c>
      <c r="Z120" s="17">
        <v>551950</v>
      </c>
      <c r="AA120" s="17" t="s">
        <v>140</v>
      </c>
      <c r="AB120" s="17" t="s">
        <v>418</v>
      </c>
      <c r="AC120" s="17">
        <v>42</v>
      </c>
      <c r="AD120" s="21">
        <v>43465</v>
      </c>
      <c r="AE120" s="21">
        <v>45383</v>
      </c>
      <c r="AF120" s="17"/>
      <c r="AG120" s="21">
        <v>45748</v>
      </c>
      <c r="AH120" s="17">
        <v>43352699</v>
      </c>
      <c r="AI120" s="21">
        <v>42818</v>
      </c>
      <c r="AJ120" s="17">
        <v>4121</v>
      </c>
      <c r="AK120" s="17">
        <v>0.29749999999999999</v>
      </c>
      <c r="AL120" s="17">
        <v>1226</v>
      </c>
      <c r="AM120" s="17" t="b">
        <v>1</v>
      </c>
      <c r="AN120" s="17" t="b">
        <v>1</v>
      </c>
      <c r="AO120" s="21">
        <v>45449</v>
      </c>
      <c r="AP120" s="21">
        <v>45449</v>
      </c>
      <c r="AQ120" s="17" t="b">
        <v>0</v>
      </c>
      <c r="AR120" s="21">
        <v>45449</v>
      </c>
      <c r="AS120" s="21">
        <v>45449</v>
      </c>
      <c r="AT120" s="21">
        <v>42728</v>
      </c>
      <c r="AU120" s="17" t="b">
        <v>0</v>
      </c>
      <c r="AV120" s="21">
        <v>42910</v>
      </c>
      <c r="AW120" s="17" t="s">
        <v>23</v>
      </c>
      <c r="AX120" s="17" t="s">
        <v>23</v>
      </c>
      <c r="AY120" s="17" t="s">
        <v>414</v>
      </c>
      <c r="AZ120" s="17" t="s">
        <v>450</v>
      </c>
      <c r="BA120" s="21">
        <v>45449</v>
      </c>
      <c r="BB120" s="17">
        <v>0</v>
      </c>
      <c r="BC120" s="17"/>
      <c r="BD120" s="17" t="b">
        <v>0</v>
      </c>
      <c r="BE120" s="17" t="s">
        <v>2041</v>
      </c>
      <c r="BF120" s="21">
        <v>45449</v>
      </c>
      <c r="BG120" s="21">
        <v>45814</v>
      </c>
      <c r="BH120" s="17"/>
      <c r="BI120" s="21">
        <v>46769</v>
      </c>
      <c r="BJ120" s="17">
        <v>0</v>
      </c>
      <c r="BK120" s="17" t="s">
        <v>418</v>
      </c>
      <c r="BL120" s="17" t="s">
        <v>443</v>
      </c>
      <c r="BM120" s="17" t="b">
        <v>1</v>
      </c>
      <c r="BN120" s="17" t="b">
        <v>1</v>
      </c>
      <c r="BO120" s="17" t="b">
        <v>0</v>
      </c>
      <c r="BP120" s="17" t="b">
        <v>0</v>
      </c>
      <c r="BQ120" s="17" t="b">
        <v>1</v>
      </c>
      <c r="BR120" s="17" t="b">
        <v>1</v>
      </c>
      <c r="BS120" s="17" t="b">
        <v>1</v>
      </c>
      <c r="BT120" s="17" t="b">
        <v>0</v>
      </c>
      <c r="BU120" s="17" t="b">
        <v>1</v>
      </c>
      <c r="BV120" s="17">
        <v>0</v>
      </c>
      <c r="BW120" s="21">
        <v>42849</v>
      </c>
      <c r="BX120" s="17" t="s">
        <v>414</v>
      </c>
      <c r="BY120" s="17" t="s">
        <v>414</v>
      </c>
      <c r="BZ120" s="17">
        <v>0</v>
      </c>
      <c r="CA120" s="21">
        <v>45951</v>
      </c>
      <c r="CB120" s="17" t="s">
        <v>438</v>
      </c>
      <c r="CC120" s="17" t="s">
        <v>2128</v>
      </c>
      <c r="CD120" s="21"/>
      <c r="CE120" s="17"/>
      <c r="CF120" s="17" t="s">
        <v>1240</v>
      </c>
      <c r="CG120" s="17" t="b">
        <v>0</v>
      </c>
      <c r="CH120" s="17" t="s">
        <v>425</v>
      </c>
      <c r="CI120" s="17">
        <v>0</v>
      </c>
      <c r="CJ120" s="21">
        <v>45850</v>
      </c>
      <c r="CK120" s="21">
        <v>45904</v>
      </c>
      <c r="CL120" s="17" t="s">
        <v>414</v>
      </c>
      <c r="CM120" s="21">
        <v>1</v>
      </c>
      <c r="CN120" s="21">
        <v>1</v>
      </c>
      <c r="CO120" s="21">
        <v>1</v>
      </c>
      <c r="CP120" s="17" t="b">
        <v>0</v>
      </c>
      <c r="CQ120" s="17" t="b">
        <v>1</v>
      </c>
      <c r="CR120" s="17" t="b">
        <v>0</v>
      </c>
      <c r="CS120">
        <v>7000</v>
      </c>
      <c r="CT120" t="s">
        <v>1912</v>
      </c>
      <c r="CU120">
        <v>5384.62</v>
      </c>
      <c r="CV120">
        <v>1615.38</v>
      </c>
      <c r="CW120" s="22"/>
    </row>
    <row r="121" spans="1:101" x14ac:dyDescent="0.25">
      <c r="A121" s="20">
        <v>543</v>
      </c>
      <c r="B121" s="17" t="s">
        <v>420</v>
      </c>
      <c r="C121" s="17" t="s">
        <v>426</v>
      </c>
      <c r="D121" s="17" t="s">
        <v>1241</v>
      </c>
      <c r="E121" s="17" t="s">
        <v>1242</v>
      </c>
      <c r="F121" s="17" t="s">
        <v>1243</v>
      </c>
      <c r="G121" s="17" t="s">
        <v>414</v>
      </c>
      <c r="H121" s="17" t="s">
        <v>1244</v>
      </c>
      <c r="I121" s="17" t="s">
        <v>414</v>
      </c>
      <c r="J121" s="17" t="s">
        <v>96</v>
      </c>
      <c r="K121" s="17" t="b">
        <v>0</v>
      </c>
      <c r="L121" s="17" t="s">
        <v>1245</v>
      </c>
      <c r="M121" s="21">
        <v>32304</v>
      </c>
      <c r="N121" s="17" t="s">
        <v>414</v>
      </c>
      <c r="O121" s="17" t="s">
        <v>17</v>
      </c>
      <c r="P121" s="17" t="s">
        <v>18</v>
      </c>
      <c r="Q121" s="17">
        <v>3</v>
      </c>
      <c r="R121" s="17" t="s">
        <v>156</v>
      </c>
      <c r="S121" s="17">
        <v>31</v>
      </c>
      <c r="T121" s="17" t="s">
        <v>1246</v>
      </c>
      <c r="U121" s="21">
        <v>43466</v>
      </c>
      <c r="V121" s="17" t="s">
        <v>31</v>
      </c>
      <c r="W121" s="21">
        <v>1.3020833333333335</v>
      </c>
      <c r="X121" s="17" t="s">
        <v>1146</v>
      </c>
      <c r="Y121" s="17" t="s">
        <v>21</v>
      </c>
      <c r="Z121" s="17">
        <v>0</v>
      </c>
      <c r="AA121" s="17" t="s">
        <v>414</v>
      </c>
      <c r="AB121" s="17" t="s">
        <v>443</v>
      </c>
      <c r="AC121" s="17">
        <v>0</v>
      </c>
      <c r="AD121" s="21">
        <v>45398</v>
      </c>
      <c r="AE121" s="21">
        <v>2</v>
      </c>
      <c r="AF121" s="17"/>
      <c r="AG121" s="21">
        <v>368</v>
      </c>
      <c r="AH121" s="17">
        <v>0</v>
      </c>
      <c r="AI121" s="21">
        <v>1</v>
      </c>
      <c r="AJ121" s="17">
        <v>0</v>
      </c>
      <c r="AK121" s="17">
        <v>0.29749999999999999</v>
      </c>
      <c r="AL121" s="17">
        <v>0</v>
      </c>
      <c r="AM121" s="17" t="b">
        <v>0</v>
      </c>
      <c r="AN121" s="17" t="b">
        <v>0</v>
      </c>
      <c r="AO121" s="21">
        <v>45398</v>
      </c>
      <c r="AP121" s="21">
        <v>45398</v>
      </c>
      <c r="AQ121" s="17" t="b">
        <v>0</v>
      </c>
      <c r="AR121" s="21">
        <v>45398</v>
      </c>
      <c r="AS121" s="21">
        <v>45398</v>
      </c>
      <c r="AT121" s="21">
        <v>-90</v>
      </c>
      <c r="AU121" s="17" t="b">
        <v>0</v>
      </c>
      <c r="AV121" s="21">
        <v>43556</v>
      </c>
      <c r="AW121" s="17" t="s">
        <v>27</v>
      </c>
      <c r="AX121" s="17" t="s">
        <v>27</v>
      </c>
      <c r="AY121" s="17" t="s">
        <v>23</v>
      </c>
      <c r="AZ121" s="17" t="s">
        <v>450</v>
      </c>
      <c r="BA121" s="21">
        <v>45398</v>
      </c>
      <c r="BB121" s="17">
        <v>0</v>
      </c>
      <c r="BC121" s="17"/>
      <c r="BD121" s="17" t="b">
        <v>0</v>
      </c>
      <c r="BE121" s="17" t="s">
        <v>2030</v>
      </c>
      <c r="BF121" s="21">
        <v>45398</v>
      </c>
      <c r="BG121" s="21">
        <v>45763</v>
      </c>
      <c r="BH121" s="17"/>
      <c r="BI121" s="21">
        <v>45398</v>
      </c>
      <c r="BJ121" s="17">
        <v>0</v>
      </c>
      <c r="BK121" s="17" t="s">
        <v>443</v>
      </c>
      <c r="BL121" s="17" t="s">
        <v>443</v>
      </c>
      <c r="BM121" s="17" t="b">
        <v>0</v>
      </c>
      <c r="BN121" s="17" t="b">
        <v>0</v>
      </c>
      <c r="BO121" s="17" t="b">
        <v>0</v>
      </c>
      <c r="BP121" s="17" t="b">
        <v>0</v>
      </c>
      <c r="BQ121" s="17" t="b">
        <v>0</v>
      </c>
      <c r="BR121" s="17" t="b">
        <v>0</v>
      </c>
      <c r="BS121" s="17" t="b">
        <v>0</v>
      </c>
      <c r="BT121" s="17" t="b">
        <v>0</v>
      </c>
      <c r="BU121" s="17" t="b">
        <v>0</v>
      </c>
      <c r="BV121" s="17">
        <v>0</v>
      </c>
      <c r="BW121" s="21">
        <v>43497</v>
      </c>
      <c r="BX121" s="17" t="s">
        <v>414</v>
      </c>
      <c r="BY121" s="17" t="s">
        <v>414</v>
      </c>
      <c r="BZ121" s="17">
        <v>0</v>
      </c>
      <c r="CA121" s="21">
        <v>45918</v>
      </c>
      <c r="CB121" s="17" t="s">
        <v>419</v>
      </c>
      <c r="CC121" s="17" t="s">
        <v>2129</v>
      </c>
      <c r="CD121" s="21"/>
      <c r="CE121" s="17"/>
      <c r="CF121" s="17" t="s">
        <v>414</v>
      </c>
      <c r="CG121" s="17" t="b">
        <v>0</v>
      </c>
      <c r="CH121" s="17" t="s">
        <v>414</v>
      </c>
      <c r="CI121" s="17">
        <v>0</v>
      </c>
      <c r="CJ121" s="21">
        <v>1</v>
      </c>
      <c r="CK121" s="21">
        <v>1</v>
      </c>
      <c r="CL121" s="17" t="s">
        <v>414</v>
      </c>
      <c r="CM121" s="21">
        <v>1</v>
      </c>
      <c r="CN121" s="21">
        <v>1</v>
      </c>
      <c r="CO121" s="21">
        <v>1</v>
      </c>
      <c r="CP121" s="17" t="b">
        <v>0</v>
      </c>
      <c r="CQ121" s="17" t="b">
        <v>0</v>
      </c>
      <c r="CR121" s="17" t="b">
        <v>0</v>
      </c>
      <c r="CW121" s="22"/>
    </row>
    <row r="122" spans="1:101" x14ac:dyDescent="0.25">
      <c r="A122" s="20">
        <v>545</v>
      </c>
      <c r="B122" s="17" t="s">
        <v>426</v>
      </c>
      <c r="C122" s="17" t="s">
        <v>530</v>
      </c>
      <c r="D122" s="17" t="s">
        <v>162</v>
      </c>
      <c r="E122" s="17" t="s">
        <v>1247</v>
      </c>
      <c r="F122" s="17" t="s">
        <v>1248</v>
      </c>
      <c r="G122" s="17" t="s">
        <v>414</v>
      </c>
      <c r="H122" s="17" t="s">
        <v>1249</v>
      </c>
      <c r="I122" s="17" t="s">
        <v>414</v>
      </c>
      <c r="J122" s="17" t="s">
        <v>16</v>
      </c>
      <c r="K122" s="17" t="b">
        <v>0</v>
      </c>
      <c r="L122" s="17" t="s">
        <v>1250</v>
      </c>
      <c r="M122" s="21">
        <v>29670</v>
      </c>
      <c r="N122" s="17" t="s">
        <v>1251</v>
      </c>
      <c r="O122" s="17" t="s">
        <v>17</v>
      </c>
      <c r="P122" s="17" t="s">
        <v>18</v>
      </c>
      <c r="Q122" s="17">
        <v>7</v>
      </c>
      <c r="R122" s="17" t="s">
        <v>163</v>
      </c>
      <c r="S122" s="17">
        <v>32</v>
      </c>
      <c r="T122" s="17" t="s">
        <v>1126</v>
      </c>
      <c r="U122" s="21">
        <v>43813</v>
      </c>
      <c r="V122" s="17" t="s">
        <v>58</v>
      </c>
      <c r="W122" s="21">
        <v>1.2479166666666668</v>
      </c>
      <c r="X122" s="17" t="s">
        <v>1252</v>
      </c>
      <c r="Y122" s="17" t="s">
        <v>21</v>
      </c>
      <c r="Z122" s="17">
        <v>391400</v>
      </c>
      <c r="AA122" s="17" t="s">
        <v>164</v>
      </c>
      <c r="AB122" s="17" t="s">
        <v>418</v>
      </c>
      <c r="AC122" s="17">
        <v>139</v>
      </c>
      <c r="AD122" s="21">
        <v>44472</v>
      </c>
      <c r="AE122" s="21">
        <v>45244</v>
      </c>
      <c r="AF122" s="17"/>
      <c r="AG122" s="21">
        <v>45610</v>
      </c>
      <c r="AH122" s="17">
        <v>59338517</v>
      </c>
      <c r="AI122" s="21">
        <v>44013</v>
      </c>
      <c r="AJ122" s="17">
        <v>4423</v>
      </c>
      <c r="AK122" s="17">
        <v>0.29749999999999999</v>
      </c>
      <c r="AL122" s="17">
        <v>1315.84</v>
      </c>
      <c r="AM122" s="17" t="b">
        <v>1</v>
      </c>
      <c r="AN122" s="17" t="b">
        <v>1</v>
      </c>
      <c r="AO122" s="21">
        <v>45624</v>
      </c>
      <c r="AP122" s="21">
        <v>45624</v>
      </c>
      <c r="AQ122" s="17" t="b">
        <v>0</v>
      </c>
      <c r="AR122" s="21">
        <v>45624</v>
      </c>
      <c r="AS122" s="21">
        <v>45624</v>
      </c>
      <c r="AT122" s="21">
        <v>43922</v>
      </c>
      <c r="AU122" s="17" t="b">
        <v>0</v>
      </c>
      <c r="AV122" s="21">
        <v>43904</v>
      </c>
      <c r="AW122" s="17" t="s">
        <v>41</v>
      </c>
      <c r="AX122" s="17" t="s">
        <v>23</v>
      </c>
      <c r="AY122" s="17" t="s">
        <v>414</v>
      </c>
      <c r="AZ122" s="17" t="s">
        <v>414</v>
      </c>
      <c r="BA122" s="21">
        <v>45624</v>
      </c>
      <c r="BB122" s="17">
        <v>0</v>
      </c>
      <c r="BC122" s="17"/>
      <c r="BD122" s="17" t="b">
        <v>0</v>
      </c>
      <c r="BE122" s="17" t="s">
        <v>2130</v>
      </c>
      <c r="BF122" s="21">
        <v>45624</v>
      </c>
      <c r="BG122" s="21">
        <v>45989</v>
      </c>
      <c r="BH122" s="17"/>
      <c r="BI122" s="21">
        <v>47289</v>
      </c>
      <c r="BJ122" s="17">
        <v>0</v>
      </c>
      <c r="BK122" s="17" t="s">
        <v>418</v>
      </c>
      <c r="BL122" s="17" t="s">
        <v>418</v>
      </c>
      <c r="BM122" s="17" t="b">
        <v>1</v>
      </c>
      <c r="BN122" s="17" t="b">
        <v>0</v>
      </c>
      <c r="BO122" s="17" t="b">
        <v>1</v>
      </c>
      <c r="BP122" s="17" t="b">
        <v>1</v>
      </c>
      <c r="BQ122" s="17" t="b">
        <v>1</v>
      </c>
      <c r="BR122" s="17" t="b">
        <v>1</v>
      </c>
      <c r="BS122" s="17" t="b">
        <v>0</v>
      </c>
      <c r="BT122" s="17" t="b">
        <v>0</v>
      </c>
      <c r="BU122" s="17" t="b">
        <v>0</v>
      </c>
      <c r="BV122" s="17">
        <v>0</v>
      </c>
      <c r="BW122" s="21">
        <v>43844</v>
      </c>
      <c r="BX122" s="17" t="s">
        <v>414</v>
      </c>
      <c r="BY122" s="17" t="s">
        <v>414</v>
      </c>
      <c r="BZ122" s="17">
        <v>0</v>
      </c>
      <c r="CA122" s="21">
        <v>45951</v>
      </c>
      <c r="CB122" s="17" t="s">
        <v>438</v>
      </c>
      <c r="CC122" s="17" t="s">
        <v>2131</v>
      </c>
      <c r="CD122" s="21"/>
      <c r="CE122" s="17"/>
      <c r="CF122" s="17" t="s">
        <v>1253</v>
      </c>
      <c r="CG122" s="17" t="b">
        <v>0</v>
      </c>
      <c r="CH122" s="17" t="s">
        <v>425</v>
      </c>
      <c r="CI122" s="17">
        <v>0</v>
      </c>
      <c r="CJ122" s="21">
        <v>45840</v>
      </c>
      <c r="CK122" s="21">
        <v>45904</v>
      </c>
      <c r="CL122" s="17" t="s">
        <v>414</v>
      </c>
      <c r="CM122" s="21">
        <v>1</v>
      </c>
      <c r="CN122" s="21">
        <v>1</v>
      </c>
      <c r="CO122" s="21">
        <v>1</v>
      </c>
      <c r="CP122" s="17" t="b">
        <v>0</v>
      </c>
      <c r="CQ122" s="17" t="b">
        <v>1</v>
      </c>
      <c r="CR122" s="17" t="b">
        <v>0</v>
      </c>
      <c r="CS122">
        <v>7400</v>
      </c>
      <c r="CT122" t="s">
        <v>1917</v>
      </c>
      <c r="CU122">
        <v>5692.31</v>
      </c>
      <c r="CV122">
        <v>1707.69</v>
      </c>
      <c r="CW122" s="22"/>
    </row>
    <row r="123" spans="1:101" x14ac:dyDescent="0.25">
      <c r="A123" s="20">
        <v>546</v>
      </c>
      <c r="B123" s="17" t="s">
        <v>426</v>
      </c>
      <c r="C123" s="17" t="s">
        <v>565</v>
      </c>
      <c r="D123" s="17" t="s">
        <v>165</v>
      </c>
      <c r="E123" s="17" t="s">
        <v>1254</v>
      </c>
      <c r="F123" s="17" t="s">
        <v>1255</v>
      </c>
      <c r="G123" s="17" t="s">
        <v>414</v>
      </c>
      <c r="H123" s="17" t="s">
        <v>1256</v>
      </c>
      <c r="I123" s="17" t="s">
        <v>432</v>
      </c>
      <c r="J123" s="17" t="s">
        <v>16</v>
      </c>
      <c r="K123" s="17" t="b">
        <v>0</v>
      </c>
      <c r="L123" s="17" t="s">
        <v>1257</v>
      </c>
      <c r="M123" s="21">
        <v>33020</v>
      </c>
      <c r="N123" s="17" t="s">
        <v>901</v>
      </c>
      <c r="O123" s="17" t="s">
        <v>17</v>
      </c>
      <c r="P123" s="17" t="s">
        <v>18</v>
      </c>
      <c r="Q123" s="17">
        <v>6</v>
      </c>
      <c r="R123" s="17" t="s">
        <v>64</v>
      </c>
      <c r="S123" s="17">
        <v>29</v>
      </c>
      <c r="T123" s="17" t="s">
        <v>1208</v>
      </c>
      <c r="U123" s="21">
        <v>43844</v>
      </c>
      <c r="V123" s="17" t="s">
        <v>58</v>
      </c>
      <c r="W123" s="21">
        <v>1.2708333333333335</v>
      </c>
      <c r="X123" s="17" t="s">
        <v>1258</v>
      </c>
      <c r="Y123" s="17" t="s">
        <v>21</v>
      </c>
      <c r="Z123" s="17">
        <v>219000</v>
      </c>
      <c r="AA123" s="17" t="s">
        <v>166</v>
      </c>
      <c r="AB123" s="17" t="s">
        <v>443</v>
      </c>
      <c r="AC123" s="17">
        <v>0</v>
      </c>
      <c r="AD123" s="21">
        <v>44044</v>
      </c>
      <c r="AE123" s="21">
        <v>2</v>
      </c>
      <c r="AF123" s="17">
        <v>365</v>
      </c>
      <c r="AG123" s="21">
        <v>368</v>
      </c>
      <c r="AH123" s="17">
        <v>76271949</v>
      </c>
      <c r="AI123" s="21">
        <v>45931</v>
      </c>
      <c r="AJ123" s="17">
        <v>4423</v>
      </c>
      <c r="AK123" s="17">
        <v>0.29749999999999999</v>
      </c>
      <c r="AL123" s="17">
        <v>1315.84</v>
      </c>
      <c r="AM123" s="17" t="b">
        <v>1</v>
      </c>
      <c r="AN123" s="17" t="b">
        <v>1</v>
      </c>
      <c r="AO123" s="21">
        <v>45447</v>
      </c>
      <c r="AP123" s="21">
        <v>45447</v>
      </c>
      <c r="AQ123" s="17" t="b">
        <v>0</v>
      </c>
      <c r="AR123" s="21">
        <v>45447</v>
      </c>
      <c r="AS123" s="21">
        <v>45447</v>
      </c>
      <c r="AT123" s="21">
        <v>45839</v>
      </c>
      <c r="AU123" s="17" t="b">
        <v>0</v>
      </c>
      <c r="AV123" s="21">
        <v>43935</v>
      </c>
      <c r="AW123" s="17" t="s">
        <v>27</v>
      </c>
      <c r="AX123" s="17" t="s">
        <v>27</v>
      </c>
      <c r="AY123" s="17" t="s">
        <v>414</v>
      </c>
      <c r="AZ123" s="17" t="s">
        <v>450</v>
      </c>
      <c r="BA123" s="21">
        <v>45447</v>
      </c>
      <c r="BB123" s="17">
        <v>0</v>
      </c>
      <c r="BC123" s="17"/>
      <c r="BD123" s="17" t="b">
        <v>0</v>
      </c>
      <c r="BE123" s="17" t="s">
        <v>1941</v>
      </c>
      <c r="BF123" s="21">
        <v>45839</v>
      </c>
      <c r="BG123" s="21">
        <v>46204</v>
      </c>
      <c r="BH123" s="17"/>
      <c r="BI123" s="21">
        <v>47864</v>
      </c>
      <c r="BJ123" s="17">
        <v>0</v>
      </c>
      <c r="BK123" s="17" t="s">
        <v>999</v>
      </c>
      <c r="BL123" s="17" t="s">
        <v>437</v>
      </c>
      <c r="BM123" s="17" t="b">
        <v>1</v>
      </c>
      <c r="BN123" s="17" t="b">
        <v>0</v>
      </c>
      <c r="BO123" s="17" t="b">
        <v>1</v>
      </c>
      <c r="BP123" s="17" t="b">
        <v>0</v>
      </c>
      <c r="BQ123" s="17" t="b">
        <v>1</v>
      </c>
      <c r="BR123" s="17" t="b">
        <v>1</v>
      </c>
      <c r="BS123" s="17" t="b">
        <v>1</v>
      </c>
      <c r="BT123" s="17" t="b">
        <v>0</v>
      </c>
      <c r="BU123" s="17" t="b">
        <v>0</v>
      </c>
      <c r="BV123" s="17">
        <v>0</v>
      </c>
      <c r="BW123" s="21">
        <v>43875</v>
      </c>
      <c r="BX123" s="17" t="s">
        <v>414</v>
      </c>
      <c r="BY123" s="17" t="s">
        <v>414</v>
      </c>
      <c r="BZ123" s="17">
        <v>0</v>
      </c>
      <c r="CA123" s="21">
        <v>45959</v>
      </c>
      <c r="CB123" s="17" t="s">
        <v>419</v>
      </c>
      <c r="CC123" s="17" t="s">
        <v>2132</v>
      </c>
      <c r="CD123" s="21">
        <v>45839</v>
      </c>
      <c r="CE123" s="17" t="s">
        <v>415</v>
      </c>
      <c r="CF123" s="17" t="s">
        <v>414</v>
      </c>
      <c r="CG123" s="17" t="b">
        <v>0</v>
      </c>
      <c r="CH123" s="17" t="s">
        <v>425</v>
      </c>
      <c r="CI123" s="17">
        <v>512</v>
      </c>
      <c r="CJ123" s="21">
        <v>45872</v>
      </c>
      <c r="CK123" s="21">
        <v>45945</v>
      </c>
      <c r="CL123" s="17" t="s">
        <v>414</v>
      </c>
      <c r="CM123" s="21">
        <v>1</v>
      </c>
      <c r="CN123" s="21">
        <v>1</v>
      </c>
      <c r="CO123" s="21">
        <v>1</v>
      </c>
      <c r="CP123" s="17" t="b">
        <v>0</v>
      </c>
      <c r="CQ123" s="17" t="b">
        <v>1</v>
      </c>
      <c r="CR123" s="17" t="b">
        <v>0</v>
      </c>
      <c r="CS123">
        <v>8500</v>
      </c>
      <c r="CT123" t="s">
        <v>1979</v>
      </c>
      <c r="CU123">
        <v>6538.46</v>
      </c>
      <c r="CV123">
        <v>1961.54</v>
      </c>
      <c r="CW123" s="22">
        <v>7354279295</v>
      </c>
    </row>
    <row r="124" spans="1:101" x14ac:dyDescent="0.25">
      <c r="A124" s="20">
        <v>550</v>
      </c>
      <c r="B124" s="17" t="s">
        <v>426</v>
      </c>
      <c r="C124" s="17" t="s">
        <v>460</v>
      </c>
      <c r="D124" s="17" t="s">
        <v>167</v>
      </c>
      <c r="E124" s="17" t="s">
        <v>1259</v>
      </c>
      <c r="F124" s="17" t="s">
        <v>413</v>
      </c>
      <c r="G124" s="17" t="s">
        <v>414</v>
      </c>
      <c r="H124" s="17" t="s">
        <v>414</v>
      </c>
      <c r="I124" s="17" t="s">
        <v>432</v>
      </c>
      <c r="J124" s="17" t="s">
        <v>16</v>
      </c>
      <c r="K124" s="17" t="b">
        <v>0</v>
      </c>
      <c r="L124" s="17" t="s">
        <v>1260</v>
      </c>
      <c r="M124" s="21">
        <v>32154</v>
      </c>
      <c r="N124" s="17" t="s">
        <v>414</v>
      </c>
      <c r="O124" s="17" t="s">
        <v>17</v>
      </c>
      <c r="P124" s="17" t="s">
        <v>18</v>
      </c>
      <c r="Q124" s="17">
        <v>9</v>
      </c>
      <c r="R124" s="17" t="s">
        <v>150</v>
      </c>
      <c r="S124" s="17">
        <v>17</v>
      </c>
      <c r="T124" s="17" t="s">
        <v>1111</v>
      </c>
      <c r="U124" s="21">
        <v>32154</v>
      </c>
      <c r="V124" s="17" t="s">
        <v>155</v>
      </c>
      <c r="W124" s="21">
        <v>1.28125</v>
      </c>
      <c r="X124" s="17" t="s">
        <v>1170</v>
      </c>
      <c r="Y124" s="17" t="s">
        <v>21</v>
      </c>
      <c r="Z124" s="17">
        <v>0</v>
      </c>
      <c r="AA124" s="17" t="s">
        <v>414</v>
      </c>
      <c r="AB124" s="17" t="s">
        <v>443</v>
      </c>
      <c r="AC124" s="17">
        <v>0</v>
      </c>
      <c r="AD124" s="21">
        <v>45371</v>
      </c>
      <c r="AE124" s="21">
        <v>2</v>
      </c>
      <c r="AF124" s="17"/>
      <c r="AG124" s="21">
        <v>368</v>
      </c>
      <c r="AH124" s="17">
        <v>0</v>
      </c>
      <c r="AI124" s="21">
        <v>1</v>
      </c>
      <c r="AJ124" s="17">
        <v>0</v>
      </c>
      <c r="AK124" s="17">
        <v>0.29749999999999999</v>
      </c>
      <c r="AL124" s="17">
        <v>0</v>
      </c>
      <c r="AM124" s="17" t="b">
        <v>0</v>
      </c>
      <c r="AN124" s="17" t="b">
        <v>0</v>
      </c>
      <c r="AO124" s="21">
        <v>44698</v>
      </c>
      <c r="AP124" s="21">
        <v>44706</v>
      </c>
      <c r="AQ124" s="17" t="b">
        <v>0</v>
      </c>
      <c r="AR124" s="21">
        <v>45371</v>
      </c>
      <c r="AS124" s="21">
        <v>45371</v>
      </c>
      <c r="AT124" s="21">
        <v>-90</v>
      </c>
      <c r="AU124" s="17" t="b">
        <v>0</v>
      </c>
      <c r="AV124" s="21">
        <v>32245</v>
      </c>
      <c r="AW124" s="17" t="s">
        <v>101</v>
      </c>
      <c r="AX124" s="17" t="s">
        <v>101</v>
      </c>
      <c r="AY124" s="17"/>
      <c r="AZ124" s="17" t="s">
        <v>450</v>
      </c>
      <c r="BA124" s="21">
        <v>45371</v>
      </c>
      <c r="BB124" s="17">
        <v>15836</v>
      </c>
      <c r="BC124" s="17"/>
      <c r="BD124" s="17" t="b">
        <v>0</v>
      </c>
      <c r="BE124" s="17" t="s">
        <v>2133</v>
      </c>
      <c r="BF124" s="21">
        <v>45371</v>
      </c>
      <c r="BG124" s="21">
        <v>45736</v>
      </c>
      <c r="BH124" s="17"/>
      <c r="BI124" s="21">
        <v>45371</v>
      </c>
      <c r="BJ124" s="17">
        <v>0</v>
      </c>
      <c r="BK124" s="17" t="s">
        <v>443</v>
      </c>
      <c r="BL124" s="17" t="s">
        <v>443</v>
      </c>
      <c r="BM124" s="17" t="b">
        <v>0</v>
      </c>
      <c r="BN124" s="17" t="b">
        <v>0</v>
      </c>
      <c r="BO124" s="17" t="b">
        <v>0</v>
      </c>
      <c r="BP124" s="17" t="b">
        <v>0</v>
      </c>
      <c r="BQ124" s="17" t="b">
        <v>0</v>
      </c>
      <c r="BR124" s="17" t="b">
        <v>0</v>
      </c>
      <c r="BS124" s="17" t="b">
        <v>0</v>
      </c>
      <c r="BT124" s="17" t="b">
        <v>0</v>
      </c>
      <c r="BU124" s="17" t="b">
        <v>0</v>
      </c>
      <c r="BV124" s="17">
        <v>0</v>
      </c>
      <c r="BW124" s="21">
        <v>32185</v>
      </c>
      <c r="BX124" s="17" t="s">
        <v>414</v>
      </c>
      <c r="BY124" s="17" t="s">
        <v>414</v>
      </c>
      <c r="BZ124" s="17">
        <v>0</v>
      </c>
      <c r="CA124" s="21">
        <v>45846</v>
      </c>
      <c r="CB124" s="17" t="s">
        <v>419</v>
      </c>
      <c r="CC124" s="17" t="s">
        <v>2133</v>
      </c>
      <c r="CD124" s="21"/>
      <c r="CE124" s="17"/>
      <c r="CF124" s="17" t="s">
        <v>414</v>
      </c>
      <c r="CG124" s="17" t="b">
        <v>0</v>
      </c>
      <c r="CH124" s="17" t="s">
        <v>414</v>
      </c>
      <c r="CI124" s="17"/>
      <c r="CJ124" s="21"/>
      <c r="CK124" s="21"/>
      <c r="CL124" s="17"/>
      <c r="CM124" s="21"/>
      <c r="CN124" s="21"/>
      <c r="CO124" s="21"/>
      <c r="CP124" s="17"/>
      <c r="CQ124" s="17"/>
      <c r="CR124" s="17"/>
      <c r="CW124" s="22"/>
    </row>
    <row r="125" spans="1:101" x14ac:dyDescent="0.25">
      <c r="A125" s="20">
        <v>556</v>
      </c>
      <c r="B125" s="17" t="s">
        <v>1202</v>
      </c>
      <c r="C125" s="17" t="s">
        <v>568</v>
      </c>
      <c r="D125" s="17" t="s">
        <v>168</v>
      </c>
      <c r="E125" s="17" t="s">
        <v>1261</v>
      </c>
      <c r="F125" s="17" t="s">
        <v>1262</v>
      </c>
      <c r="G125" s="17" t="s">
        <v>414</v>
      </c>
      <c r="H125" s="17" t="s">
        <v>1263</v>
      </c>
      <c r="I125" s="17" t="s">
        <v>414</v>
      </c>
      <c r="J125" s="17" t="s">
        <v>25</v>
      </c>
      <c r="K125" s="17" t="b">
        <v>0</v>
      </c>
      <c r="L125" s="17" t="s">
        <v>1264</v>
      </c>
      <c r="M125" s="21">
        <v>32154</v>
      </c>
      <c r="N125" s="17" t="s">
        <v>1265</v>
      </c>
      <c r="O125" s="17" t="s">
        <v>26</v>
      </c>
      <c r="P125" s="17" t="s">
        <v>18</v>
      </c>
      <c r="Q125" s="17">
        <v>8</v>
      </c>
      <c r="R125" s="17" t="s">
        <v>107</v>
      </c>
      <c r="S125" s="17">
        <v>3</v>
      </c>
      <c r="T125" s="17" t="s">
        <v>1105</v>
      </c>
      <c r="U125" s="21">
        <v>44164</v>
      </c>
      <c r="V125" s="17" t="s">
        <v>33</v>
      </c>
      <c r="W125" s="21">
        <v>1.28125</v>
      </c>
      <c r="X125" s="17" t="s">
        <v>1266</v>
      </c>
      <c r="Y125" s="17" t="s">
        <v>21</v>
      </c>
      <c r="Z125" s="17">
        <v>551950</v>
      </c>
      <c r="AA125" s="17" t="s">
        <v>140</v>
      </c>
      <c r="AB125" s="17" t="s">
        <v>443</v>
      </c>
      <c r="AC125" s="17">
        <v>0</v>
      </c>
      <c r="AD125" s="21">
        <v>45398</v>
      </c>
      <c r="AE125" s="21">
        <v>2</v>
      </c>
      <c r="AF125" s="17"/>
      <c r="AG125" s="21">
        <v>368</v>
      </c>
      <c r="AH125" s="17">
        <v>23236891</v>
      </c>
      <c r="AI125" s="21">
        <v>44593</v>
      </c>
      <c r="AJ125" s="17">
        <v>4121</v>
      </c>
      <c r="AK125" s="17">
        <v>0.29749999999999999</v>
      </c>
      <c r="AL125" s="17">
        <v>1226</v>
      </c>
      <c r="AM125" s="17" t="b">
        <v>1</v>
      </c>
      <c r="AN125" s="17" t="b">
        <v>1</v>
      </c>
      <c r="AO125" s="21">
        <v>44698</v>
      </c>
      <c r="AP125" s="21">
        <v>44706</v>
      </c>
      <c r="AQ125" s="17" t="b">
        <v>0</v>
      </c>
      <c r="AR125" s="21">
        <v>45398</v>
      </c>
      <c r="AS125" s="21">
        <v>45398</v>
      </c>
      <c r="AT125" s="21">
        <v>44501</v>
      </c>
      <c r="AU125" s="17" t="b">
        <v>0</v>
      </c>
      <c r="AV125" s="21">
        <v>44255</v>
      </c>
      <c r="AW125" s="17" t="s">
        <v>27</v>
      </c>
      <c r="AX125" s="17" t="s">
        <v>27</v>
      </c>
      <c r="AY125" s="17" t="s">
        <v>414</v>
      </c>
      <c r="AZ125" s="17" t="s">
        <v>450</v>
      </c>
      <c r="BA125" s="21">
        <v>45398</v>
      </c>
      <c r="BB125" s="17">
        <v>15836</v>
      </c>
      <c r="BC125" s="17"/>
      <c r="BD125" s="17" t="b">
        <v>0</v>
      </c>
      <c r="BE125" s="17" t="s">
        <v>2134</v>
      </c>
      <c r="BF125" s="21">
        <v>45398</v>
      </c>
      <c r="BG125" s="21">
        <v>45763</v>
      </c>
      <c r="BH125" s="17"/>
      <c r="BI125" s="21">
        <v>46131</v>
      </c>
      <c r="BJ125" s="17">
        <v>0</v>
      </c>
      <c r="BK125" s="17" t="s">
        <v>443</v>
      </c>
      <c r="BL125" s="17" t="s">
        <v>418</v>
      </c>
      <c r="BM125" s="17" t="b">
        <v>1</v>
      </c>
      <c r="BN125" s="17" t="b">
        <v>1</v>
      </c>
      <c r="BO125" s="17" t="b">
        <v>1</v>
      </c>
      <c r="BP125" s="17" t="b">
        <v>1</v>
      </c>
      <c r="BQ125" s="17" t="b">
        <v>1</v>
      </c>
      <c r="BR125" s="17" t="b">
        <v>0</v>
      </c>
      <c r="BS125" s="17" t="b">
        <v>1</v>
      </c>
      <c r="BT125" s="17" t="b">
        <v>1</v>
      </c>
      <c r="BU125" s="17" t="b">
        <v>1</v>
      </c>
      <c r="BV125" s="17">
        <v>0</v>
      </c>
      <c r="BW125" s="21">
        <v>44194</v>
      </c>
      <c r="BX125" s="17" t="s">
        <v>414</v>
      </c>
      <c r="BY125" s="17" t="s">
        <v>414</v>
      </c>
      <c r="BZ125" s="17">
        <v>0</v>
      </c>
      <c r="CA125" s="21">
        <v>45951</v>
      </c>
      <c r="CB125" s="17" t="s">
        <v>419</v>
      </c>
      <c r="CC125" s="17" t="s">
        <v>2133</v>
      </c>
      <c r="CD125" s="21"/>
      <c r="CE125" s="17"/>
      <c r="CF125" s="17" t="s">
        <v>1267</v>
      </c>
      <c r="CG125" s="17" t="b">
        <v>0</v>
      </c>
      <c r="CH125" s="17" t="s">
        <v>425</v>
      </c>
      <c r="CI125" s="17">
        <v>0</v>
      </c>
      <c r="CJ125" s="21">
        <v>45846</v>
      </c>
      <c r="CK125" s="21">
        <v>45904</v>
      </c>
      <c r="CL125" s="17" t="s">
        <v>414</v>
      </c>
      <c r="CM125" s="21">
        <v>1</v>
      </c>
      <c r="CN125" s="21">
        <v>1</v>
      </c>
      <c r="CO125" s="21">
        <v>1</v>
      </c>
      <c r="CP125" s="17" t="b">
        <v>0</v>
      </c>
      <c r="CQ125" s="17" t="b">
        <v>1</v>
      </c>
      <c r="CR125" s="17" t="b">
        <v>0</v>
      </c>
      <c r="CS125">
        <v>7000</v>
      </c>
      <c r="CT125" t="s">
        <v>1912</v>
      </c>
      <c r="CU125">
        <v>5384.62</v>
      </c>
      <c r="CV125">
        <v>1615.38</v>
      </c>
      <c r="CW125" s="22"/>
    </row>
    <row r="126" spans="1:101" x14ac:dyDescent="0.25">
      <c r="A126" s="20">
        <v>557</v>
      </c>
      <c r="B126" s="17" t="s">
        <v>714</v>
      </c>
      <c r="C126" s="17" t="s">
        <v>769</v>
      </c>
      <c r="D126" s="17" t="s">
        <v>169</v>
      </c>
      <c r="E126" s="17" t="s">
        <v>1073</v>
      </c>
      <c r="F126" s="17" t="s">
        <v>1268</v>
      </c>
      <c r="G126" s="17" t="s">
        <v>414</v>
      </c>
      <c r="H126" s="17" t="s">
        <v>1269</v>
      </c>
      <c r="I126" s="17" t="s">
        <v>432</v>
      </c>
      <c r="J126" s="17" t="s">
        <v>16</v>
      </c>
      <c r="K126" s="17" t="b">
        <v>0</v>
      </c>
      <c r="L126" s="17" t="s">
        <v>1270</v>
      </c>
      <c r="M126" s="21">
        <v>34977</v>
      </c>
      <c r="N126" s="17" t="s">
        <v>1271</v>
      </c>
      <c r="O126" s="17" t="s">
        <v>17</v>
      </c>
      <c r="P126" s="17" t="s">
        <v>18</v>
      </c>
      <c r="Q126" s="17">
        <v>8</v>
      </c>
      <c r="R126" s="17" t="s">
        <v>107</v>
      </c>
      <c r="S126" s="17">
        <v>35</v>
      </c>
      <c r="T126" s="17" t="s">
        <v>172</v>
      </c>
      <c r="U126" s="21">
        <v>45858</v>
      </c>
      <c r="V126" s="17" t="s">
        <v>61</v>
      </c>
      <c r="W126" s="21">
        <v>1.2847222222222223</v>
      </c>
      <c r="X126" s="17" t="s">
        <v>887</v>
      </c>
      <c r="Y126" s="17" t="s">
        <v>21</v>
      </c>
      <c r="Z126" s="17">
        <v>422100</v>
      </c>
      <c r="AA126" s="17" t="s">
        <v>170</v>
      </c>
      <c r="AB126" s="17" t="s">
        <v>443</v>
      </c>
      <c r="AC126" s="17">
        <v>0</v>
      </c>
      <c r="AD126" s="21">
        <v>45398</v>
      </c>
      <c r="AE126" s="21">
        <v>2</v>
      </c>
      <c r="AF126" s="17"/>
      <c r="AG126" s="21">
        <v>368</v>
      </c>
      <c r="AH126" s="17">
        <v>70950192</v>
      </c>
      <c r="AI126" s="21">
        <v>44341</v>
      </c>
      <c r="AJ126" s="17">
        <v>2693</v>
      </c>
      <c r="AK126" s="17">
        <v>0.29749999999999999</v>
      </c>
      <c r="AL126" s="17">
        <v>801.17</v>
      </c>
      <c r="AM126" s="17" t="b">
        <v>1</v>
      </c>
      <c r="AN126" s="17" t="b">
        <v>1</v>
      </c>
      <c r="AO126" s="21">
        <v>44374</v>
      </c>
      <c r="AP126" s="21">
        <v>44381</v>
      </c>
      <c r="AQ126" s="17" t="b">
        <v>0</v>
      </c>
      <c r="AR126" s="21">
        <v>45398</v>
      </c>
      <c r="AS126" s="21">
        <v>45398</v>
      </c>
      <c r="AT126" s="21">
        <v>44252</v>
      </c>
      <c r="AU126" s="17" t="b">
        <v>1</v>
      </c>
      <c r="AV126" s="21">
        <v>45950</v>
      </c>
      <c r="AW126" s="17" t="s">
        <v>23</v>
      </c>
      <c r="AX126" s="17" t="s">
        <v>23</v>
      </c>
      <c r="AY126" s="17" t="s">
        <v>414</v>
      </c>
      <c r="AZ126" s="17" t="s">
        <v>450</v>
      </c>
      <c r="BA126" s="21">
        <v>45398</v>
      </c>
      <c r="BB126" s="17">
        <v>0</v>
      </c>
      <c r="BC126" s="17"/>
      <c r="BD126" s="17" t="b">
        <v>0</v>
      </c>
      <c r="BE126" s="17" t="s">
        <v>2135</v>
      </c>
      <c r="BF126" s="21">
        <v>45398</v>
      </c>
      <c r="BG126" s="21">
        <v>45763</v>
      </c>
      <c r="BH126" s="17"/>
      <c r="BI126" s="21">
        <v>45422</v>
      </c>
      <c r="BJ126" s="17">
        <v>0</v>
      </c>
      <c r="BK126" s="17" t="s">
        <v>418</v>
      </c>
      <c r="BL126" s="17" t="s">
        <v>418</v>
      </c>
      <c r="BM126" s="17" t="b">
        <v>1</v>
      </c>
      <c r="BN126" s="17" t="b">
        <v>1</v>
      </c>
      <c r="BO126" s="17" t="b">
        <v>1</v>
      </c>
      <c r="BP126" s="17" t="b">
        <v>1</v>
      </c>
      <c r="BQ126" s="17" t="b">
        <v>1</v>
      </c>
      <c r="BR126" s="17" t="b">
        <v>0</v>
      </c>
      <c r="BS126" s="17" t="b">
        <v>1</v>
      </c>
      <c r="BT126" s="17" t="b">
        <v>1</v>
      </c>
      <c r="BU126" s="17" t="b">
        <v>1</v>
      </c>
      <c r="BV126" s="17">
        <v>0</v>
      </c>
      <c r="BW126" s="21">
        <v>45889</v>
      </c>
      <c r="BX126" s="17" t="s">
        <v>414</v>
      </c>
      <c r="BY126" s="17" t="s">
        <v>414</v>
      </c>
      <c r="BZ126" s="17">
        <v>0</v>
      </c>
      <c r="CA126" s="21">
        <v>45951</v>
      </c>
      <c r="CB126" s="17" t="s">
        <v>419</v>
      </c>
      <c r="CC126" s="17" t="s">
        <v>2136</v>
      </c>
      <c r="CD126" s="21">
        <v>45480</v>
      </c>
      <c r="CE126" s="17" t="s">
        <v>415</v>
      </c>
      <c r="CF126" s="17" t="s">
        <v>1272</v>
      </c>
      <c r="CG126" s="17" t="b">
        <v>1</v>
      </c>
      <c r="CH126" s="17" t="s">
        <v>425</v>
      </c>
      <c r="CI126" s="17">
        <v>0</v>
      </c>
      <c r="CJ126" s="21">
        <v>1</v>
      </c>
      <c r="CK126" s="21">
        <v>1</v>
      </c>
      <c r="CL126" s="17" t="s">
        <v>414</v>
      </c>
      <c r="CM126" s="21">
        <v>1</v>
      </c>
      <c r="CN126" s="21">
        <v>1</v>
      </c>
      <c r="CO126" s="21">
        <v>1</v>
      </c>
      <c r="CP126" s="17" t="b">
        <v>0</v>
      </c>
      <c r="CQ126" s="17" t="b">
        <v>0</v>
      </c>
      <c r="CR126" s="17" t="b">
        <v>0</v>
      </c>
      <c r="CS126">
        <v>7300</v>
      </c>
      <c r="CT126" t="s">
        <v>1911</v>
      </c>
      <c r="CU126">
        <v>5615.38</v>
      </c>
      <c r="CV126">
        <v>1684.62</v>
      </c>
      <c r="CW126" s="22"/>
    </row>
    <row r="127" spans="1:101" x14ac:dyDescent="0.25">
      <c r="A127" s="20">
        <v>558</v>
      </c>
      <c r="B127" s="17" t="s">
        <v>426</v>
      </c>
      <c r="C127" s="17" t="s">
        <v>862</v>
      </c>
      <c r="D127" s="17" t="s">
        <v>171</v>
      </c>
      <c r="E127" s="17" t="s">
        <v>1273</v>
      </c>
      <c r="F127" s="17" t="s">
        <v>1274</v>
      </c>
      <c r="G127" s="17" t="s">
        <v>414</v>
      </c>
      <c r="H127" s="17" t="s">
        <v>1275</v>
      </c>
      <c r="I127" s="17" t="s">
        <v>414</v>
      </c>
      <c r="J127" s="17" t="s">
        <v>16</v>
      </c>
      <c r="K127" s="17" t="b">
        <v>0</v>
      </c>
      <c r="L127" s="17" t="s">
        <v>1276</v>
      </c>
      <c r="M127" s="21">
        <v>35201</v>
      </c>
      <c r="N127" s="17" t="s">
        <v>901</v>
      </c>
      <c r="O127" s="17" t="s">
        <v>17</v>
      </c>
      <c r="P127" s="17" t="s">
        <v>18</v>
      </c>
      <c r="Q127" s="17">
        <v>8</v>
      </c>
      <c r="R127" s="17" t="s">
        <v>107</v>
      </c>
      <c r="S127" s="17">
        <v>35</v>
      </c>
      <c r="T127" s="17" t="s">
        <v>172</v>
      </c>
      <c r="U127" s="21">
        <v>44287</v>
      </c>
      <c r="V127" s="17" t="s">
        <v>61</v>
      </c>
      <c r="W127" s="21">
        <v>1.2777777777777777</v>
      </c>
      <c r="X127" s="17" t="s">
        <v>1277</v>
      </c>
      <c r="Y127" s="17" t="s">
        <v>21</v>
      </c>
      <c r="Z127" s="17">
        <v>985100</v>
      </c>
      <c r="AA127" s="17" t="s">
        <v>172</v>
      </c>
      <c r="AB127" s="17" t="s">
        <v>418</v>
      </c>
      <c r="AC127" s="17">
        <v>154</v>
      </c>
      <c r="AD127" s="21">
        <v>44705</v>
      </c>
      <c r="AE127" s="21">
        <v>45070</v>
      </c>
      <c r="AF127" s="17"/>
      <c r="AG127" s="21">
        <v>45436</v>
      </c>
      <c r="AH127" s="17">
        <v>66764722</v>
      </c>
      <c r="AI127" s="21">
        <v>44287</v>
      </c>
      <c r="AJ127" s="17">
        <v>4100</v>
      </c>
      <c r="AK127" s="17">
        <v>0.29749999999999999</v>
      </c>
      <c r="AL127" s="17">
        <v>1219.75</v>
      </c>
      <c r="AM127" s="17" t="b">
        <v>1</v>
      </c>
      <c r="AN127" s="17" t="b">
        <v>1</v>
      </c>
      <c r="AO127" s="21">
        <v>44405</v>
      </c>
      <c r="AP127" s="21">
        <v>44405</v>
      </c>
      <c r="AQ127" s="17" t="b">
        <v>0</v>
      </c>
      <c r="AR127" s="21">
        <v>45398</v>
      </c>
      <c r="AS127" s="21">
        <v>45398</v>
      </c>
      <c r="AT127" s="21">
        <v>44197</v>
      </c>
      <c r="AU127" s="17" t="b">
        <v>1</v>
      </c>
      <c r="AV127" s="21">
        <v>44378</v>
      </c>
      <c r="AW127" s="17" t="s">
        <v>23</v>
      </c>
      <c r="AX127" s="17" t="s">
        <v>23</v>
      </c>
      <c r="AY127" s="17" t="s">
        <v>414</v>
      </c>
      <c r="AZ127" s="17" t="s">
        <v>903</v>
      </c>
      <c r="BA127" s="21">
        <v>45398</v>
      </c>
      <c r="BB127" s="17">
        <v>0</v>
      </c>
      <c r="BC127" s="17"/>
      <c r="BD127" s="17" t="b">
        <v>0</v>
      </c>
      <c r="BE127" s="17" t="s">
        <v>2137</v>
      </c>
      <c r="BF127" s="21">
        <v>45398</v>
      </c>
      <c r="BG127" s="21">
        <v>45763</v>
      </c>
      <c r="BH127" s="17"/>
      <c r="BI127" s="21">
        <v>47770</v>
      </c>
      <c r="BJ127" s="17">
        <v>0</v>
      </c>
      <c r="BK127" s="17" t="s">
        <v>418</v>
      </c>
      <c r="BL127" s="17" t="s">
        <v>459</v>
      </c>
      <c r="BM127" s="17" t="b">
        <v>1</v>
      </c>
      <c r="BN127" s="17" t="b">
        <v>1</v>
      </c>
      <c r="BO127" s="17" t="b">
        <v>1</v>
      </c>
      <c r="BP127" s="17" t="b">
        <v>1</v>
      </c>
      <c r="BQ127" s="17" t="b">
        <v>1</v>
      </c>
      <c r="BR127" s="17" t="b">
        <v>1</v>
      </c>
      <c r="BS127" s="17" t="b">
        <v>1</v>
      </c>
      <c r="BT127" s="17" t="b">
        <v>0</v>
      </c>
      <c r="BU127" s="17" t="b">
        <v>1</v>
      </c>
      <c r="BV127" s="17">
        <v>0</v>
      </c>
      <c r="BW127" s="21">
        <v>44317</v>
      </c>
      <c r="BX127" s="17" t="s">
        <v>414</v>
      </c>
      <c r="BY127" s="17" t="s">
        <v>414</v>
      </c>
      <c r="BZ127" s="17">
        <v>0</v>
      </c>
      <c r="CA127" s="21">
        <v>45951</v>
      </c>
      <c r="CB127" s="17" t="s">
        <v>419</v>
      </c>
      <c r="CC127" s="17" t="s">
        <v>2138</v>
      </c>
      <c r="CD127" s="21"/>
      <c r="CE127" s="17"/>
      <c r="CF127" s="17" t="s">
        <v>1278</v>
      </c>
      <c r="CG127" s="17" t="b">
        <v>0</v>
      </c>
      <c r="CH127" s="17" t="s">
        <v>425</v>
      </c>
      <c r="CI127" s="17">
        <v>0</v>
      </c>
      <c r="CJ127" s="21">
        <v>45843</v>
      </c>
      <c r="CK127" s="21">
        <v>1</v>
      </c>
      <c r="CL127" s="17" t="s">
        <v>414</v>
      </c>
      <c r="CM127" s="21">
        <v>1</v>
      </c>
      <c r="CN127" s="21">
        <v>1</v>
      </c>
      <c r="CO127" s="21">
        <v>1</v>
      </c>
      <c r="CP127" s="17" t="b">
        <v>0</v>
      </c>
      <c r="CQ127" s="17" t="b">
        <v>1</v>
      </c>
      <c r="CR127" s="17" t="b">
        <v>0</v>
      </c>
      <c r="CS127">
        <v>7300</v>
      </c>
      <c r="CT127" t="s">
        <v>1911</v>
      </c>
      <c r="CU127">
        <v>5615.38</v>
      </c>
      <c r="CV127">
        <v>1684.62</v>
      </c>
      <c r="CW127" s="22"/>
    </row>
    <row r="128" spans="1:101" x14ac:dyDescent="0.25">
      <c r="A128" s="20">
        <v>562</v>
      </c>
      <c r="B128" s="17" t="s">
        <v>426</v>
      </c>
      <c r="C128" s="17" t="s">
        <v>484</v>
      </c>
      <c r="D128" s="17" t="s">
        <v>173</v>
      </c>
      <c r="E128" s="17" t="s">
        <v>1279</v>
      </c>
      <c r="F128" s="17" t="s">
        <v>1280</v>
      </c>
      <c r="G128" s="17" t="s">
        <v>414</v>
      </c>
      <c r="H128" s="17" t="s">
        <v>1281</v>
      </c>
      <c r="I128" s="17" t="s">
        <v>432</v>
      </c>
      <c r="J128" s="17" t="s">
        <v>16</v>
      </c>
      <c r="K128" s="17" t="b">
        <v>0</v>
      </c>
      <c r="L128" s="17" t="s">
        <v>1282</v>
      </c>
      <c r="M128" s="21">
        <v>27230</v>
      </c>
      <c r="N128" s="17" t="s">
        <v>901</v>
      </c>
      <c r="O128" s="17" t="s">
        <v>17</v>
      </c>
      <c r="P128" s="17" t="s">
        <v>18</v>
      </c>
      <c r="Q128" s="17">
        <v>19</v>
      </c>
      <c r="R128" s="17" t="s">
        <v>174</v>
      </c>
      <c r="S128" s="17">
        <v>35</v>
      </c>
      <c r="T128" s="17" t="s">
        <v>172</v>
      </c>
      <c r="U128" s="21">
        <v>44597</v>
      </c>
      <c r="V128" s="17" t="s">
        <v>31</v>
      </c>
      <c r="W128" s="21">
        <v>1</v>
      </c>
      <c r="X128" s="17" t="s">
        <v>715</v>
      </c>
      <c r="Y128" s="17" t="s">
        <v>45</v>
      </c>
      <c r="Z128" s="17">
        <v>985100</v>
      </c>
      <c r="AA128" s="17" t="s">
        <v>172</v>
      </c>
      <c r="AB128" s="17" t="s">
        <v>418</v>
      </c>
      <c r="AC128" s="17">
        <v>159</v>
      </c>
      <c r="AD128" s="21">
        <v>44852</v>
      </c>
      <c r="AE128" s="21">
        <v>45244</v>
      </c>
      <c r="AF128" s="17"/>
      <c r="AG128" s="21">
        <v>45610</v>
      </c>
      <c r="AH128" s="17">
        <v>50671839</v>
      </c>
      <c r="AI128" s="21">
        <v>44635</v>
      </c>
      <c r="AJ128" s="17">
        <v>4100</v>
      </c>
      <c r="AK128" s="17">
        <v>0.29749999999999999</v>
      </c>
      <c r="AL128" s="17">
        <v>1219.75</v>
      </c>
      <c r="AM128" s="17" t="b">
        <v>1</v>
      </c>
      <c r="AN128" s="17" t="b">
        <v>1</v>
      </c>
      <c r="AO128" s="21">
        <v>44698</v>
      </c>
      <c r="AP128" s="21">
        <v>44706</v>
      </c>
      <c r="AQ128" s="17" t="b">
        <v>0</v>
      </c>
      <c r="AR128" s="21">
        <v>45398</v>
      </c>
      <c r="AS128" s="21">
        <v>45398</v>
      </c>
      <c r="AT128" s="21">
        <v>44545</v>
      </c>
      <c r="AU128" s="17" t="b">
        <v>0</v>
      </c>
      <c r="AV128" s="21">
        <v>44686</v>
      </c>
      <c r="AW128" s="17" t="s">
        <v>101</v>
      </c>
      <c r="AX128" s="17" t="s">
        <v>101</v>
      </c>
      <c r="AY128" s="17" t="s">
        <v>414</v>
      </c>
      <c r="AZ128" s="17" t="s">
        <v>450</v>
      </c>
      <c r="BA128" s="21">
        <v>45398</v>
      </c>
      <c r="BB128" s="17">
        <v>15833</v>
      </c>
      <c r="BC128" s="17"/>
      <c r="BD128" s="17" t="b">
        <v>0</v>
      </c>
      <c r="BE128" s="17" t="s">
        <v>2139</v>
      </c>
      <c r="BF128" s="21">
        <v>45398</v>
      </c>
      <c r="BG128" s="21">
        <v>45763</v>
      </c>
      <c r="BH128" s="17"/>
      <c r="BI128" s="21">
        <v>44729</v>
      </c>
      <c r="BJ128" s="17">
        <v>0</v>
      </c>
      <c r="BK128" s="17" t="s">
        <v>418</v>
      </c>
      <c r="BL128" s="17" t="s">
        <v>461</v>
      </c>
      <c r="BM128" s="17" t="b">
        <v>1</v>
      </c>
      <c r="BN128" s="17" t="b">
        <v>1</v>
      </c>
      <c r="BO128" s="17" t="b">
        <v>1</v>
      </c>
      <c r="BP128" s="17" t="b">
        <v>1</v>
      </c>
      <c r="BQ128" s="17" t="b">
        <v>1</v>
      </c>
      <c r="BR128" s="17" t="b">
        <v>1</v>
      </c>
      <c r="BS128" s="17" t="b">
        <v>1</v>
      </c>
      <c r="BT128" s="17" t="b">
        <v>1</v>
      </c>
      <c r="BU128" s="17" t="b">
        <v>1</v>
      </c>
      <c r="BV128" s="17">
        <v>0</v>
      </c>
      <c r="BW128" s="21">
        <v>44625</v>
      </c>
      <c r="BX128" s="17" t="s">
        <v>414</v>
      </c>
      <c r="BY128" s="17" t="s">
        <v>414</v>
      </c>
      <c r="BZ128" s="17">
        <v>0</v>
      </c>
      <c r="CA128" s="21">
        <v>45951</v>
      </c>
      <c r="CB128" s="17" t="s">
        <v>419</v>
      </c>
      <c r="CC128" s="17" t="s">
        <v>2140</v>
      </c>
      <c r="CD128" s="21"/>
      <c r="CE128" s="17"/>
      <c r="CF128" s="17" t="s">
        <v>1283</v>
      </c>
      <c r="CG128" s="17" t="b">
        <v>0</v>
      </c>
      <c r="CH128" s="17" t="s">
        <v>425</v>
      </c>
      <c r="CI128" s="17">
        <v>0</v>
      </c>
      <c r="CJ128" s="21">
        <v>1</v>
      </c>
      <c r="CK128" s="21">
        <v>1</v>
      </c>
      <c r="CL128" s="17" t="s">
        <v>414</v>
      </c>
      <c r="CM128" s="21">
        <v>1</v>
      </c>
      <c r="CN128" s="21">
        <v>1</v>
      </c>
      <c r="CO128" s="21">
        <v>1</v>
      </c>
      <c r="CP128" s="17" t="b">
        <v>0</v>
      </c>
      <c r="CQ128" s="17" t="b">
        <v>0</v>
      </c>
      <c r="CR128" s="17" t="b">
        <v>0</v>
      </c>
      <c r="CS128">
        <v>7300</v>
      </c>
      <c r="CT128" t="s">
        <v>1911</v>
      </c>
      <c r="CU128">
        <v>5615.38</v>
      </c>
      <c r="CV128">
        <v>1684.62</v>
      </c>
      <c r="CW128" s="22"/>
    </row>
    <row r="129" spans="1:101" x14ac:dyDescent="0.25">
      <c r="A129" s="20">
        <v>570</v>
      </c>
      <c r="B129" s="17" t="s">
        <v>2141</v>
      </c>
      <c r="C129" s="17" t="s">
        <v>2142</v>
      </c>
      <c r="D129" s="17" t="s">
        <v>2143</v>
      </c>
      <c r="E129" s="17" t="s">
        <v>414</v>
      </c>
      <c r="F129" s="17" t="s">
        <v>2144</v>
      </c>
      <c r="G129" s="17" t="s">
        <v>2145</v>
      </c>
      <c r="H129" s="17" t="s">
        <v>2146</v>
      </c>
      <c r="I129" s="17" t="s">
        <v>432</v>
      </c>
      <c r="J129" s="17" t="s">
        <v>16</v>
      </c>
      <c r="K129" s="17" t="b">
        <v>0</v>
      </c>
      <c r="L129" s="17" t="s">
        <v>2147</v>
      </c>
      <c r="M129" s="21">
        <v>30896</v>
      </c>
      <c r="N129" s="17" t="s">
        <v>414</v>
      </c>
      <c r="O129" s="17" t="s">
        <v>17</v>
      </c>
      <c r="P129" s="17" t="s">
        <v>18</v>
      </c>
      <c r="Q129" s="17">
        <v>2</v>
      </c>
      <c r="R129" s="17" t="s">
        <v>50</v>
      </c>
      <c r="S129" s="17">
        <v>27</v>
      </c>
      <c r="T129" s="17" t="s">
        <v>1184</v>
      </c>
      <c r="U129" s="21">
        <v>45850</v>
      </c>
      <c r="V129" s="17" t="s">
        <v>155</v>
      </c>
      <c r="W129" s="21">
        <v>45952</v>
      </c>
      <c r="X129" s="17" t="s">
        <v>816</v>
      </c>
      <c r="Y129" s="17" t="s">
        <v>414</v>
      </c>
      <c r="Z129" s="17">
        <v>0</v>
      </c>
      <c r="AA129" s="17" t="s">
        <v>414</v>
      </c>
      <c r="AB129" s="17" t="s">
        <v>414</v>
      </c>
      <c r="AC129" s="17">
        <v>0</v>
      </c>
      <c r="AD129" s="21">
        <v>1</v>
      </c>
      <c r="AE129" s="21">
        <v>1</v>
      </c>
      <c r="AF129" s="17"/>
      <c r="AG129" s="21">
        <v>367</v>
      </c>
      <c r="AH129" s="17">
        <v>0</v>
      </c>
      <c r="AI129" s="21">
        <v>45952</v>
      </c>
      <c r="AJ129" s="17">
        <v>0</v>
      </c>
      <c r="AK129" s="17">
        <v>0</v>
      </c>
      <c r="AL129" s="17">
        <v>0</v>
      </c>
      <c r="AM129" s="17" t="b">
        <v>0</v>
      </c>
      <c r="AN129" s="17" t="b">
        <v>0</v>
      </c>
      <c r="AO129" s="21">
        <v>45952</v>
      </c>
      <c r="AP129" s="21">
        <v>45952</v>
      </c>
      <c r="AQ129" s="17" t="b">
        <v>0</v>
      </c>
      <c r="AR129" s="21">
        <v>45952</v>
      </c>
      <c r="AS129" s="21">
        <v>45952</v>
      </c>
      <c r="AT129" s="21">
        <v>45860</v>
      </c>
      <c r="AU129" s="17" t="b">
        <v>0</v>
      </c>
      <c r="AV129" s="21">
        <v>45942</v>
      </c>
      <c r="AW129" s="17" t="s">
        <v>27</v>
      </c>
      <c r="AX129" s="17" t="s">
        <v>27</v>
      </c>
      <c r="AY129" s="17" t="s">
        <v>414</v>
      </c>
      <c r="AZ129" s="17" t="s">
        <v>450</v>
      </c>
      <c r="BA129" s="21">
        <v>45952</v>
      </c>
      <c r="BB129" s="17">
        <v>0</v>
      </c>
      <c r="BC129" s="17"/>
      <c r="BD129" s="17" t="b">
        <v>0</v>
      </c>
      <c r="BE129" s="17" t="s">
        <v>2148</v>
      </c>
      <c r="BF129" s="21">
        <v>45952</v>
      </c>
      <c r="BG129" s="21">
        <v>46317</v>
      </c>
      <c r="BH129" s="17"/>
      <c r="BI129" s="21">
        <v>1</v>
      </c>
      <c r="BJ129" s="17">
        <v>0</v>
      </c>
      <c r="BK129" s="17" t="s">
        <v>414</v>
      </c>
      <c r="BL129" s="17" t="s">
        <v>414</v>
      </c>
      <c r="BM129" s="17" t="b">
        <v>0</v>
      </c>
      <c r="BN129" s="17" t="b">
        <v>0</v>
      </c>
      <c r="BO129" s="17" t="b">
        <v>0</v>
      </c>
      <c r="BP129" s="17" t="b">
        <v>0</v>
      </c>
      <c r="BQ129" s="17" t="b">
        <v>0</v>
      </c>
      <c r="BR129" s="17" t="b">
        <v>0</v>
      </c>
      <c r="BS129" s="17" t="b">
        <v>0</v>
      </c>
      <c r="BT129" s="17" t="b">
        <v>0</v>
      </c>
      <c r="BU129" s="17" t="b">
        <v>0</v>
      </c>
      <c r="BV129" s="17">
        <v>0</v>
      </c>
      <c r="BW129" s="21">
        <v>45881</v>
      </c>
      <c r="BX129" s="17" t="s">
        <v>414</v>
      </c>
      <c r="BY129" s="17" t="s">
        <v>414</v>
      </c>
      <c r="BZ129" s="17">
        <v>0</v>
      </c>
      <c r="CA129" s="21">
        <v>45952</v>
      </c>
      <c r="CB129" s="17" t="s">
        <v>414</v>
      </c>
      <c r="CC129" s="17" t="s">
        <v>2149</v>
      </c>
      <c r="CD129" s="21"/>
      <c r="CE129" s="17"/>
      <c r="CF129" s="17" t="s">
        <v>414</v>
      </c>
      <c r="CG129" s="17" t="b">
        <v>0</v>
      </c>
      <c r="CH129" s="17" t="s">
        <v>414</v>
      </c>
      <c r="CI129" s="17">
        <v>0</v>
      </c>
      <c r="CJ129" s="21">
        <v>1</v>
      </c>
      <c r="CK129" s="21">
        <v>1</v>
      </c>
      <c r="CL129" s="17" t="s">
        <v>414</v>
      </c>
      <c r="CM129" s="21">
        <v>1</v>
      </c>
      <c r="CN129" s="21">
        <v>1</v>
      </c>
      <c r="CO129" s="21">
        <v>1</v>
      </c>
      <c r="CP129" s="17" t="b">
        <v>0</v>
      </c>
      <c r="CQ129" s="17" t="b">
        <v>0</v>
      </c>
      <c r="CR129" s="17" t="b">
        <v>0</v>
      </c>
      <c r="CW129" s="22"/>
    </row>
    <row r="130" spans="1:101" x14ac:dyDescent="0.25">
      <c r="A130" s="20">
        <v>571</v>
      </c>
      <c r="B130" s="17" t="s">
        <v>1286</v>
      </c>
      <c r="C130" s="17" t="s">
        <v>603</v>
      </c>
      <c r="D130" s="17" t="s">
        <v>175</v>
      </c>
      <c r="E130" s="17" t="s">
        <v>414</v>
      </c>
      <c r="F130" s="17" t="s">
        <v>1287</v>
      </c>
      <c r="G130" s="17" t="s">
        <v>414</v>
      </c>
      <c r="H130" s="17" t="s">
        <v>1288</v>
      </c>
      <c r="I130" s="17" t="s">
        <v>432</v>
      </c>
      <c r="J130" s="17" t="s">
        <v>16</v>
      </c>
      <c r="K130" s="17" t="b">
        <v>0</v>
      </c>
      <c r="L130" s="17" t="s">
        <v>1289</v>
      </c>
      <c r="M130" s="21">
        <v>35872</v>
      </c>
      <c r="N130" s="17" t="s">
        <v>1290</v>
      </c>
      <c r="O130" s="17" t="s">
        <v>17</v>
      </c>
      <c r="P130" s="17" t="s">
        <v>18</v>
      </c>
      <c r="Q130" s="17">
        <v>8</v>
      </c>
      <c r="R130" s="17" t="s">
        <v>107</v>
      </c>
      <c r="S130" s="17">
        <v>35</v>
      </c>
      <c r="T130" s="17" t="s">
        <v>172</v>
      </c>
      <c r="U130" s="21">
        <v>45945</v>
      </c>
      <c r="V130" s="17" t="s">
        <v>33</v>
      </c>
      <c r="W130" s="21">
        <v>45945</v>
      </c>
      <c r="X130" s="17" t="s">
        <v>1291</v>
      </c>
      <c r="Y130" s="17" t="s">
        <v>21</v>
      </c>
      <c r="Z130" s="17">
        <v>0</v>
      </c>
      <c r="AA130" s="17" t="s">
        <v>414</v>
      </c>
      <c r="AB130" s="17" t="s">
        <v>414</v>
      </c>
      <c r="AC130" s="17">
        <v>0</v>
      </c>
      <c r="AD130" s="21">
        <v>1</v>
      </c>
      <c r="AE130" s="21">
        <v>1</v>
      </c>
      <c r="AF130" s="17"/>
      <c r="AG130" s="21">
        <v>367</v>
      </c>
      <c r="AH130" s="17">
        <v>0</v>
      </c>
      <c r="AI130" s="21">
        <v>45945</v>
      </c>
      <c r="AJ130" s="17">
        <v>0</v>
      </c>
      <c r="AK130" s="17">
        <v>0</v>
      </c>
      <c r="AL130" s="17">
        <v>0</v>
      </c>
      <c r="AM130" s="17" t="b">
        <v>0</v>
      </c>
      <c r="AN130" s="17" t="b">
        <v>0</v>
      </c>
      <c r="AO130" s="21">
        <v>45945</v>
      </c>
      <c r="AP130" s="21">
        <v>45945</v>
      </c>
      <c r="AQ130" s="17" t="b">
        <v>0</v>
      </c>
      <c r="AR130" s="21">
        <v>45945</v>
      </c>
      <c r="AS130" s="21">
        <v>45945</v>
      </c>
      <c r="AT130" s="21">
        <v>45853</v>
      </c>
      <c r="AU130" s="17" t="b">
        <v>1</v>
      </c>
      <c r="AV130" s="21">
        <v>46037</v>
      </c>
      <c r="AW130" s="17" t="s">
        <v>23</v>
      </c>
      <c r="AX130" s="17" t="s">
        <v>41</v>
      </c>
      <c r="AY130" s="17" t="s">
        <v>414</v>
      </c>
      <c r="AZ130" s="17" t="s">
        <v>414</v>
      </c>
      <c r="BA130" s="21">
        <v>45945</v>
      </c>
      <c r="BB130" s="17">
        <v>0</v>
      </c>
      <c r="BC130" s="17"/>
      <c r="BD130" s="17" t="b">
        <v>0</v>
      </c>
      <c r="BE130" s="17" t="s">
        <v>2150</v>
      </c>
      <c r="BF130" s="21">
        <v>45945</v>
      </c>
      <c r="BG130" s="21">
        <v>46310</v>
      </c>
      <c r="BH130" s="17"/>
      <c r="BI130" s="21">
        <v>47971</v>
      </c>
      <c r="BJ130" s="17">
        <v>0</v>
      </c>
      <c r="BK130" s="17" t="s">
        <v>436</v>
      </c>
      <c r="BL130" s="17" t="s">
        <v>414</v>
      </c>
      <c r="BM130" s="17" t="b">
        <v>1</v>
      </c>
      <c r="BN130" s="17" t="b">
        <v>0</v>
      </c>
      <c r="BO130" s="17" t="b">
        <v>1</v>
      </c>
      <c r="BP130" s="17" t="b">
        <v>1</v>
      </c>
      <c r="BQ130" s="17" t="b">
        <v>0</v>
      </c>
      <c r="BR130" s="17" t="b">
        <v>1</v>
      </c>
      <c r="BS130" s="17" t="b">
        <v>1</v>
      </c>
      <c r="BT130" s="17" t="b">
        <v>0</v>
      </c>
      <c r="BU130" s="17" t="b">
        <v>1</v>
      </c>
      <c r="BV130" s="17">
        <v>0</v>
      </c>
      <c r="BW130" s="21">
        <v>45976</v>
      </c>
      <c r="BX130" s="17" t="s">
        <v>414</v>
      </c>
      <c r="BY130" s="17" t="s">
        <v>414</v>
      </c>
      <c r="BZ130" s="17">
        <v>0</v>
      </c>
      <c r="CA130" s="21">
        <v>45951</v>
      </c>
      <c r="CB130" s="17" t="s">
        <v>419</v>
      </c>
      <c r="CC130" s="17" t="s">
        <v>2151</v>
      </c>
      <c r="CD130" s="21"/>
      <c r="CE130" s="17"/>
      <c r="CF130" s="17" t="s">
        <v>1292</v>
      </c>
      <c r="CG130" s="17" t="b">
        <v>0</v>
      </c>
      <c r="CH130" s="17" t="s">
        <v>1012</v>
      </c>
      <c r="CI130" s="17">
        <v>0</v>
      </c>
      <c r="CJ130" s="21">
        <v>1</v>
      </c>
      <c r="CK130" s="21">
        <v>1</v>
      </c>
      <c r="CL130" s="17" t="s">
        <v>414</v>
      </c>
      <c r="CM130" s="21">
        <v>1</v>
      </c>
      <c r="CN130" s="21">
        <v>1</v>
      </c>
      <c r="CO130" s="21">
        <v>1</v>
      </c>
      <c r="CP130" s="17" t="b">
        <v>0</v>
      </c>
      <c r="CQ130" s="17" t="b">
        <v>0</v>
      </c>
      <c r="CR130" s="17" t="b">
        <v>0</v>
      </c>
      <c r="CS130">
        <v>7300</v>
      </c>
      <c r="CT130" t="s">
        <v>1911</v>
      </c>
      <c r="CU130">
        <v>5615.38</v>
      </c>
      <c r="CV130">
        <v>1684.62</v>
      </c>
      <c r="CW130" s="22"/>
    </row>
    <row r="131" spans="1:101" x14ac:dyDescent="0.25">
      <c r="A131" s="20">
        <v>606</v>
      </c>
      <c r="B131" s="17" t="s">
        <v>1293</v>
      </c>
      <c r="C131" s="17" t="s">
        <v>420</v>
      </c>
      <c r="D131" s="17" t="s">
        <v>176</v>
      </c>
      <c r="E131" s="17" t="s">
        <v>1294</v>
      </c>
      <c r="F131" s="17" t="s">
        <v>1295</v>
      </c>
      <c r="G131" s="17" t="s">
        <v>414</v>
      </c>
      <c r="H131" s="17" t="s">
        <v>1296</v>
      </c>
      <c r="I131" s="17" t="s">
        <v>414</v>
      </c>
      <c r="J131" s="17" t="s">
        <v>25</v>
      </c>
      <c r="K131" s="17" t="b">
        <v>0</v>
      </c>
      <c r="L131" s="17" t="s">
        <v>1297</v>
      </c>
      <c r="M131" s="21">
        <v>29165</v>
      </c>
      <c r="N131" s="17" t="s">
        <v>414</v>
      </c>
      <c r="O131" s="17" t="s">
        <v>26</v>
      </c>
      <c r="P131" s="17" t="s">
        <v>18</v>
      </c>
      <c r="Q131" s="17">
        <v>1</v>
      </c>
      <c r="R131" s="17" t="s">
        <v>19</v>
      </c>
      <c r="S131" s="17">
        <v>2</v>
      </c>
      <c r="T131" s="17" t="s">
        <v>441</v>
      </c>
      <c r="U131" s="21">
        <v>43141</v>
      </c>
      <c r="V131" s="17" t="s">
        <v>29</v>
      </c>
      <c r="W131" s="21">
        <v>1.2430555555555554</v>
      </c>
      <c r="X131" s="17" t="s">
        <v>29</v>
      </c>
      <c r="Y131" s="17" t="s">
        <v>21</v>
      </c>
      <c r="Z131" s="17">
        <v>949900</v>
      </c>
      <c r="AA131" s="17" t="s">
        <v>22</v>
      </c>
      <c r="AB131" s="17" t="s">
        <v>418</v>
      </c>
      <c r="AC131" s="17">
        <v>62</v>
      </c>
      <c r="AD131" s="21">
        <v>43488</v>
      </c>
      <c r="AE131" s="21">
        <v>45389</v>
      </c>
      <c r="AF131" s="17"/>
      <c r="AG131" s="21">
        <v>45754</v>
      </c>
      <c r="AH131" s="17">
        <v>55559450</v>
      </c>
      <c r="AI131" s="21">
        <v>43230</v>
      </c>
      <c r="AJ131" s="17">
        <v>4121</v>
      </c>
      <c r="AK131" s="17">
        <v>0.29749999999999999</v>
      </c>
      <c r="AL131" s="17">
        <v>1226</v>
      </c>
      <c r="AM131" s="17" t="b">
        <v>1</v>
      </c>
      <c r="AN131" s="17" t="b">
        <v>1</v>
      </c>
      <c r="AO131" s="21">
        <v>45398</v>
      </c>
      <c r="AP131" s="21">
        <v>45398</v>
      </c>
      <c r="AQ131" s="17" t="b">
        <v>0</v>
      </c>
      <c r="AR131" s="21">
        <v>45398</v>
      </c>
      <c r="AS131" s="21">
        <v>45398</v>
      </c>
      <c r="AT131" s="21">
        <v>43141</v>
      </c>
      <c r="AU131" s="17" t="b">
        <v>0</v>
      </c>
      <c r="AV131" s="21">
        <v>43230</v>
      </c>
      <c r="AW131" s="17" t="s">
        <v>27</v>
      </c>
      <c r="AX131" s="17" t="s">
        <v>27</v>
      </c>
      <c r="AY131" s="17" t="s">
        <v>414</v>
      </c>
      <c r="AZ131" s="17" t="s">
        <v>450</v>
      </c>
      <c r="BA131" s="21">
        <v>45398</v>
      </c>
      <c r="BB131" s="17">
        <v>0</v>
      </c>
      <c r="BC131" s="17"/>
      <c r="BD131" s="17" t="b">
        <v>0</v>
      </c>
      <c r="BE131" s="17" t="s">
        <v>1915</v>
      </c>
      <c r="BF131" s="21">
        <v>45398</v>
      </c>
      <c r="BG131" s="21">
        <v>45763</v>
      </c>
      <c r="BH131" s="17"/>
      <c r="BI131" s="21">
        <v>46565</v>
      </c>
      <c r="BJ131" s="17">
        <v>0</v>
      </c>
      <c r="BK131" s="17" t="s">
        <v>443</v>
      </c>
      <c r="BL131" s="17" t="s">
        <v>443</v>
      </c>
      <c r="BM131" s="17" t="b">
        <v>1</v>
      </c>
      <c r="BN131" s="17" t="b">
        <v>0</v>
      </c>
      <c r="BO131" s="17" t="b">
        <v>1</v>
      </c>
      <c r="BP131" s="17" t="b">
        <v>1</v>
      </c>
      <c r="BQ131" s="17" t="b">
        <v>0</v>
      </c>
      <c r="BR131" s="17" t="b">
        <v>1</v>
      </c>
      <c r="BS131" s="17" t="b">
        <v>1</v>
      </c>
      <c r="BT131" s="17" t="b">
        <v>1</v>
      </c>
      <c r="BU131" s="17" t="b">
        <v>0</v>
      </c>
      <c r="BV131" s="17">
        <v>0</v>
      </c>
      <c r="BW131" s="21">
        <v>43169</v>
      </c>
      <c r="BX131" s="17" t="s">
        <v>414</v>
      </c>
      <c r="BY131" s="17" t="s">
        <v>414</v>
      </c>
      <c r="BZ131" s="17">
        <v>0</v>
      </c>
      <c r="CA131" s="21">
        <v>45951</v>
      </c>
      <c r="CB131" s="17" t="s">
        <v>419</v>
      </c>
      <c r="CC131" s="17" t="s">
        <v>2152</v>
      </c>
      <c r="CD131" s="21"/>
      <c r="CE131" s="17"/>
      <c r="CF131" s="17" t="s">
        <v>1298</v>
      </c>
      <c r="CG131" s="17" t="b">
        <v>0</v>
      </c>
      <c r="CH131" s="17" t="s">
        <v>425</v>
      </c>
      <c r="CI131" s="17">
        <v>0</v>
      </c>
      <c r="CJ131" s="21">
        <v>45851</v>
      </c>
      <c r="CK131" s="21">
        <v>45904</v>
      </c>
      <c r="CL131" s="17" t="s">
        <v>414</v>
      </c>
      <c r="CM131" s="21">
        <v>1</v>
      </c>
      <c r="CN131" s="21">
        <v>1</v>
      </c>
      <c r="CO131" s="21">
        <v>1</v>
      </c>
      <c r="CP131" s="17" t="b">
        <v>0</v>
      </c>
      <c r="CQ131" s="17" t="b">
        <v>1</v>
      </c>
      <c r="CR131" s="17" t="b">
        <v>0</v>
      </c>
      <c r="CS131">
        <v>7000</v>
      </c>
      <c r="CT131" t="s">
        <v>1912</v>
      </c>
      <c r="CU131">
        <v>5384.62</v>
      </c>
      <c r="CV131">
        <v>1615.38</v>
      </c>
      <c r="CW131" s="22"/>
    </row>
    <row r="132" spans="1:101" x14ac:dyDescent="0.25">
      <c r="A132" s="20">
        <v>613</v>
      </c>
      <c r="B132" s="17" t="s">
        <v>426</v>
      </c>
      <c r="C132" s="17" t="s">
        <v>830</v>
      </c>
      <c r="D132" s="17" t="s">
        <v>177</v>
      </c>
      <c r="E132" s="17" t="s">
        <v>1300</v>
      </c>
      <c r="F132" s="17" t="s">
        <v>1301</v>
      </c>
      <c r="G132" s="17" t="s">
        <v>414</v>
      </c>
      <c r="H132" s="17" t="s">
        <v>1302</v>
      </c>
      <c r="I132" s="17" t="s">
        <v>414</v>
      </c>
      <c r="J132" s="17" t="s">
        <v>16</v>
      </c>
      <c r="K132" s="17" t="b">
        <v>0</v>
      </c>
      <c r="L132" s="17" t="s">
        <v>1303</v>
      </c>
      <c r="M132" s="21">
        <v>32753</v>
      </c>
      <c r="N132" s="17" t="s">
        <v>414</v>
      </c>
      <c r="O132" s="17" t="s">
        <v>17</v>
      </c>
      <c r="P132" s="17" t="s">
        <v>18</v>
      </c>
      <c r="Q132" s="17">
        <v>1</v>
      </c>
      <c r="R132" s="17" t="s">
        <v>19</v>
      </c>
      <c r="S132" s="17">
        <v>8</v>
      </c>
      <c r="T132" s="17" t="s">
        <v>416</v>
      </c>
      <c r="U132" s="21">
        <v>43236</v>
      </c>
      <c r="V132" s="17" t="s">
        <v>61</v>
      </c>
      <c r="W132" s="21">
        <v>1.4527777777777779</v>
      </c>
      <c r="X132" s="17" t="s">
        <v>442</v>
      </c>
      <c r="Y132" s="17" t="s">
        <v>21</v>
      </c>
      <c r="Z132" s="17">
        <v>949900</v>
      </c>
      <c r="AA132" s="17" t="s">
        <v>22</v>
      </c>
      <c r="AB132" s="17" t="s">
        <v>418</v>
      </c>
      <c r="AC132" s="17">
        <v>127</v>
      </c>
      <c r="AD132" s="21">
        <v>44425</v>
      </c>
      <c r="AE132" s="21">
        <v>45159</v>
      </c>
      <c r="AF132" s="17"/>
      <c r="AG132" s="21">
        <v>45525</v>
      </c>
      <c r="AH132" s="17">
        <v>31702235</v>
      </c>
      <c r="AI132" s="21">
        <v>43236</v>
      </c>
      <c r="AJ132" s="17">
        <v>4110</v>
      </c>
      <c r="AK132" s="17">
        <v>0.29749999999999999</v>
      </c>
      <c r="AL132" s="17">
        <v>1222.73</v>
      </c>
      <c r="AM132" s="17" t="b">
        <v>1</v>
      </c>
      <c r="AN132" s="17" t="b">
        <v>1</v>
      </c>
      <c r="AO132" s="21">
        <v>45449</v>
      </c>
      <c r="AP132" s="21">
        <v>45449</v>
      </c>
      <c r="AQ132" s="17" t="b">
        <v>0</v>
      </c>
      <c r="AR132" s="21">
        <v>45449</v>
      </c>
      <c r="AS132" s="21">
        <v>45449</v>
      </c>
      <c r="AT132" s="21">
        <v>43147</v>
      </c>
      <c r="AU132" s="17" t="b">
        <v>0</v>
      </c>
      <c r="AV132" s="21">
        <v>43328</v>
      </c>
      <c r="AW132" s="17" t="s">
        <v>41</v>
      </c>
      <c r="AX132" s="17" t="s">
        <v>23</v>
      </c>
      <c r="AY132" s="17" t="s">
        <v>414</v>
      </c>
      <c r="AZ132" s="17" t="s">
        <v>414</v>
      </c>
      <c r="BA132" s="21">
        <v>45449</v>
      </c>
      <c r="BB132" s="17">
        <v>0</v>
      </c>
      <c r="BC132" s="17"/>
      <c r="BD132" s="17" t="b">
        <v>0</v>
      </c>
      <c r="BE132" s="17" t="s">
        <v>2153</v>
      </c>
      <c r="BF132" s="21">
        <v>45449</v>
      </c>
      <c r="BG132" s="21">
        <v>45814</v>
      </c>
      <c r="BH132" s="17"/>
      <c r="BI132" s="21">
        <v>45053</v>
      </c>
      <c r="BJ132" s="17">
        <v>0</v>
      </c>
      <c r="BK132" s="17" t="s">
        <v>418</v>
      </c>
      <c r="BL132" s="17" t="s">
        <v>1304</v>
      </c>
      <c r="BM132" s="17" t="b">
        <v>1</v>
      </c>
      <c r="BN132" s="17" t="b">
        <v>0</v>
      </c>
      <c r="BO132" s="17" t="b">
        <v>1</v>
      </c>
      <c r="BP132" s="17" t="b">
        <v>1</v>
      </c>
      <c r="BQ132" s="17" t="b">
        <v>0</v>
      </c>
      <c r="BR132" s="17" t="b">
        <v>1</v>
      </c>
      <c r="BS132" s="17" t="b">
        <v>1</v>
      </c>
      <c r="BT132" s="17" t="b">
        <v>1</v>
      </c>
      <c r="BU132" s="17" t="b">
        <v>0</v>
      </c>
      <c r="BV132" s="17">
        <v>0</v>
      </c>
      <c r="BW132" s="21">
        <v>43267</v>
      </c>
      <c r="BX132" s="17" t="s">
        <v>414</v>
      </c>
      <c r="BY132" s="17" t="s">
        <v>414</v>
      </c>
      <c r="BZ132" s="17">
        <v>0</v>
      </c>
      <c r="CA132" s="21">
        <v>45951</v>
      </c>
      <c r="CB132" s="17" t="s">
        <v>438</v>
      </c>
      <c r="CC132" s="17" t="s">
        <v>2154</v>
      </c>
      <c r="CD132" s="21"/>
      <c r="CE132" s="17"/>
      <c r="CF132" s="17" t="s">
        <v>1305</v>
      </c>
      <c r="CG132" s="17" t="b">
        <v>0</v>
      </c>
      <c r="CH132" s="17" t="s">
        <v>425</v>
      </c>
      <c r="CI132" s="17">
        <v>0</v>
      </c>
      <c r="CJ132" s="21">
        <v>45843</v>
      </c>
      <c r="CK132" s="21">
        <v>45904</v>
      </c>
      <c r="CL132" s="17" t="s">
        <v>414</v>
      </c>
      <c r="CM132" s="21">
        <v>1</v>
      </c>
      <c r="CN132" s="21">
        <v>1</v>
      </c>
      <c r="CO132" s="21">
        <v>1</v>
      </c>
      <c r="CP132" s="17" t="b">
        <v>0</v>
      </c>
      <c r="CQ132" s="17" t="b">
        <v>1</v>
      </c>
      <c r="CR132" s="17" t="b">
        <v>0</v>
      </c>
      <c r="CS132">
        <v>7500</v>
      </c>
      <c r="CT132" t="s">
        <v>1916</v>
      </c>
      <c r="CU132">
        <v>5769.23</v>
      </c>
      <c r="CV132">
        <v>1730.77</v>
      </c>
      <c r="CW132" s="22"/>
    </row>
    <row r="133" spans="1:101" x14ac:dyDescent="0.25">
      <c r="A133" s="20">
        <v>615</v>
      </c>
      <c r="B133" s="17" t="s">
        <v>426</v>
      </c>
      <c r="C133" s="17" t="s">
        <v>619</v>
      </c>
      <c r="D133" s="17" t="s">
        <v>178</v>
      </c>
      <c r="E133" s="17" t="s">
        <v>1306</v>
      </c>
      <c r="F133" s="17" t="s">
        <v>1307</v>
      </c>
      <c r="G133" s="17" t="s">
        <v>414</v>
      </c>
      <c r="H133" s="17" t="s">
        <v>1308</v>
      </c>
      <c r="I133" s="17" t="s">
        <v>414</v>
      </c>
      <c r="J133" s="17" t="s">
        <v>16</v>
      </c>
      <c r="K133" s="17" t="b">
        <v>0</v>
      </c>
      <c r="L133" s="17" t="s">
        <v>1309</v>
      </c>
      <c r="M133" s="21">
        <v>33970</v>
      </c>
      <c r="N133" s="17" t="s">
        <v>414</v>
      </c>
      <c r="O133" s="17" t="s">
        <v>17</v>
      </c>
      <c r="P133" s="17" t="s">
        <v>18</v>
      </c>
      <c r="Q133" s="17">
        <v>1</v>
      </c>
      <c r="R133" s="17" t="s">
        <v>19</v>
      </c>
      <c r="S133" s="17">
        <v>8</v>
      </c>
      <c r="T133" s="17" t="s">
        <v>416</v>
      </c>
      <c r="U133" s="21">
        <v>43009</v>
      </c>
      <c r="V133" s="17" t="s">
        <v>61</v>
      </c>
      <c r="W133" s="21">
        <v>1.28125</v>
      </c>
      <c r="X133" s="17" t="s">
        <v>417</v>
      </c>
      <c r="Y133" s="17" t="s">
        <v>21</v>
      </c>
      <c r="Z133" s="17">
        <v>949900</v>
      </c>
      <c r="AA133" s="17" t="s">
        <v>22</v>
      </c>
      <c r="AB133" s="17" t="s">
        <v>443</v>
      </c>
      <c r="AC133" s="17">
        <v>0</v>
      </c>
      <c r="AD133" s="21">
        <v>1</v>
      </c>
      <c r="AE133" s="21">
        <v>2</v>
      </c>
      <c r="AF133" s="17"/>
      <c r="AG133" s="21">
        <v>368</v>
      </c>
      <c r="AH133" s="17">
        <v>75861906</v>
      </c>
      <c r="AI133" s="21">
        <v>43313</v>
      </c>
      <c r="AJ133" s="17">
        <v>4115</v>
      </c>
      <c r="AK133" s="17">
        <v>0.29749999999999999</v>
      </c>
      <c r="AL133" s="17">
        <v>1224.21</v>
      </c>
      <c r="AM133" s="17" t="b">
        <v>1</v>
      </c>
      <c r="AN133" s="17" t="b">
        <v>1</v>
      </c>
      <c r="AO133" s="21">
        <v>45449</v>
      </c>
      <c r="AP133" s="21">
        <v>45449</v>
      </c>
      <c r="AQ133" s="17" t="b">
        <v>0</v>
      </c>
      <c r="AR133" s="21">
        <v>45449</v>
      </c>
      <c r="AS133" s="21">
        <v>45449</v>
      </c>
      <c r="AT133" s="21">
        <v>43221</v>
      </c>
      <c r="AU133" s="17" t="b">
        <v>0</v>
      </c>
      <c r="AV133" s="21">
        <v>43101</v>
      </c>
      <c r="AW133" s="17" t="s">
        <v>23</v>
      </c>
      <c r="AX133" s="17" t="s">
        <v>41</v>
      </c>
      <c r="AY133" s="17" t="s">
        <v>414</v>
      </c>
      <c r="AZ133" s="17" t="s">
        <v>414</v>
      </c>
      <c r="BA133" s="21">
        <v>45449</v>
      </c>
      <c r="BB133" s="17">
        <v>0</v>
      </c>
      <c r="BC133" s="17"/>
      <c r="BD133" s="17" t="b">
        <v>0</v>
      </c>
      <c r="BE133" s="17" t="s">
        <v>2155</v>
      </c>
      <c r="BF133" s="21">
        <v>45449</v>
      </c>
      <c r="BG133" s="21">
        <v>45814</v>
      </c>
      <c r="BH133" s="17"/>
      <c r="BI133" s="21">
        <v>45858</v>
      </c>
      <c r="BJ133" s="17">
        <v>0</v>
      </c>
      <c r="BK133" s="17" t="s">
        <v>436</v>
      </c>
      <c r="BL133" s="17" t="s">
        <v>428</v>
      </c>
      <c r="BM133" s="17" t="b">
        <v>1</v>
      </c>
      <c r="BN133" s="17" t="b">
        <v>0</v>
      </c>
      <c r="BO133" s="17" t="b">
        <v>1</v>
      </c>
      <c r="BP133" s="17" t="b">
        <v>1</v>
      </c>
      <c r="BQ133" s="17" t="b">
        <v>0</v>
      </c>
      <c r="BR133" s="17" t="b">
        <v>1</v>
      </c>
      <c r="BS133" s="17" t="b">
        <v>0</v>
      </c>
      <c r="BT133" s="17" t="b">
        <v>1</v>
      </c>
      <c r="BU133" s="17" t="b">
        <v>0</v>
      </c>
      <c r="BV133" s="17">
        <v>0</v>
      </c>
      <c r="BW133" s="21">
        <v>43040</v>
      </c>
      <c r="BX133" s="17" t="s">
        <v>414</v>
      </c>
      <c r="BY133" s="17" t="s">
        <v>414</v>
      </c>
      <c r="BZ133" s="17">
        <v>0</v>
      </c>
      <c r="CA133" s="21">
        <v>45951</v>
      </c>
      <c r="CB133" s="17" t="s">
        <v>438</v>
      </c>
      <c r="CC133" s="17" t="s">
        <v>2156</v>
      </c>
      <c r="CD133" s="21"/>
      <c r="CE133" s="17"/>
      <c r="CF133" s="17" t="s">
        <v>1310</v>
      </c>
      <c r="CG133" s="17" t="b">
        <v>0</v>
      </c>
      <c r="CH133" s="17" t="s">
        <v>652</v>
      </c>
      <c r="CI133" s="17">
        <v>0</v>
      </c>
      <c r="CJ133" s="21">
        <v>45845</v>
      </c>
      <c r="CK133" s="21">
        <v>45904</v>
      </c>
      <c r="CL133" s="17" t="s">
        <v>414</v>
      </c>
      <c r="CM133" s="21">
        <v>1</v>
      </c>
      <c r="CN133" s="21">
        <v>1</v>
      </c>
      <c r="CO133" s="21">
        <v>1</v>
      </c>
      <c r="CP133" s="17" t="b">
        <v>0</v>
      </c>
      <c r="CQ133" s="17" t="b">
        <v>1</v>
      </c>
      <c r="CR133" s="17" t="b">
        <v>0</v>
      </c>
      <c r="CS133">
        <v>7500</v>
      </c>
      <c r="CT133" t="s">
        <v>1916</v>
      </c>
      <c r="CU133">
        <v>5769.23</v>
      </c>
      <c r="CV133">
        <v>1730.77</v>
      </c>
      <c r="CW133" s="22"/>
    </row>
    <row r="134" spans="1:101" x14ac:dyDescent="0.25">
      <c r="A134" s="20">
        <v>617</v>
      </c>
      <c r="B134" s="17" t="s">
        <v>567</v>
      </c>
      <c r="C134" s="17" t="s">
        <v>426</v>
      </c>
      <c r="D134" s="17" t="s">
        <v>179</v>
      </c>
      <c r="E134" s="17" t="s">
        <v>1311</v>
      </c>
      <c r="F134" s="17" t="s">
        <v>1312</v>
      </c>
      <c r="G134" s="17" t="s">
        <v>414</v>
      </c>
      <c r="H134" s="17" t="s">
        <v>421</v>
      </c>
      <c r="I134" s="17" t="s">
        <v>414</v>
      </c>
      <c r="J134" s="17" t="s">
        <v>16</v>
      </c>
      <c r="K134" s="17" t="b">
        <v>0</v>
      </c>
      <c r="L134" s="17" t="s">
        <v>1313</v>
      </c>
      <c r="M134" s="21">
        <v>35096</v>
      </c>
      <c r="N134" s="17" t="s">
        <v>414</v>
      </c>
      <c r="O134" s="17" t="s">
        <v>17</v>
      </c>
      <c r="P134" s="17" t="s">
        <v>18</v>
      </c>
      <c r="Q134" s="17">
        <v>3</v>
      </c>
      <c r="R134" s="17" t="s">
        <v>156</v>
      </c>
      <c r="S134" s="17">
        <v>37</v>
      </c>
      <c r="T134" s="17" t="s">
        <v>1314</v>
      </c>
      <c r="U134" s="21">
        <v>43221</v>
      </c>
      <c r="V134" s="17" t="s">
        <v>58</v>
      </c>
      <c r="W134" s="21">
        <v>1.7361111111111112</v>
      </c>
      <c r="X134" s="17" t="s">
        <v>1315</v>
      </c>
      <c r="Y134" s="17" t="s">
        <v>21</v>
      </c>
      <c r="Z134" s="17">
        <v>34050</v>
      </c>
      <c r="AA134" s="17" t="s">
        <v>180</v>
      </c>
      <c r="AB134" s="17" t="s">
        <v>418</v>
      </c>
      <c r="AC134" s="17">
        <v>105</v>
      </c>
      <c r="AD134" s="21">
        <v>43549</v>
      </c>
      <c r="AE134" s="21">
        <v>45389</v>
      </c>
      <c r="AF134" s="17"/>
      <c r="AG134" s="21">
        <v>45754</v>
      </c>
      <c r="AH134" s="17">
        <v>75596501</v>
      </c>
      <c r="AI134" s="21">
        <v>43313</v>
      </c>
      <c r="AJ134" s="17">
        <v>4110</v>
      </c>
      <c r="AK134" s="17">
        <v>0.29749999999999999</v>
      </c>
      <c r="AL134" s="17">
        <v>1222.73</v>
      </c>
      <c r="AM134" s="17" t="b">
        <v>1</v>
      </c>
      <c r="AN134" s="17" t="b">
        <v>1</v>
      </c>
      <c r="AO134" s="21">
        <v>45672</v>
      </c>
      <c r="AP134" s="21">
        <v>45672</v>
      </c>
      <c r="AQ134" s="17" t="b">
        <v>0</v>
      </c>
      <c r="AR134" s="21">
        <v>45672</v>
      </c>
      <c r="AS134" s="21">
        <v>45672</v>
      </c>
      <c r="AT134" s="21">
        <v>43221</v>
      </c>
      <c r="AU134" s="17" t="b">
        <v>0</v>
      </c>
      <c r="AV134" s="21">
        <v>43313</v>
      </c>
      <c r="AW134" s="17" t="s">
        <v>41</v>
      </c>
      <c r="AX134" s="17" t="s">
        <v>41</v>
      </c>
      <c r="AY134" s="17" t="s">
        <v>41</v>
      </c>
      <c r="AZ134" s="17" t="s">
        <v>450</v>
      </c>
      <c r="BA134" s="21">
        <v>45672</v>
      </c>
      <c r="BB134" s="17">
        <v>0</v>
      </c>
      <c r="BC134" s="17"/>
      <c r="BD134" s="17" t="b">
        <v>0</v>
      </c>
      <c r="BE134" s="17" t="s">
        <v>2157</v>
      </c>
      <c r="BF134" s="21">
        <v>45672</v>
      </c>
      <c r="BG134" s="21">
        <v>46037</v>
      </c>
      <c r="BH134" s="17"/>
      <c r="BI134" s="21">
        <v>47416</v>
      </c>
      <c r="BJ134" s="17">
        <v>0</v>
      </c>
      <c r="BK134" s="17" t="s">
        <v>418</v>
      </c>
      <c r="BL134" s="17" t="s">
        <v>418</v>
      </c>
      <c r="BM134" s="17" t="b">
        <v>1</v>
      </c>
      <c r="BN134" s="17" t="b">
        <v>0</v>
      </c>
      <c r="BO134" s="17" t="b">
        <v>1</v>
      </c>
      <c r="BP134" s="17" t="b">
        <v>1</v>
      </c>
      <c r="BQ134" s="17" t="b">
        <v>0</v>
      </c>
      <c r="BR134" s="17" t="b">
        <v>1</v>
      </c>
      <c r="BS134" s="17" t="b">
        <v>1</v>
      </c>
      <c r="BT134" s="17" t="b">
        <v>1</v>
      </c>
      <c r="BU134" s="17" t="b">
        <v>0</v>
      </c>
      <c r="BV134" s="17">
        <v>0</v>
      </c>
      <c r="BW134" s="21">
        <v>43252</v>
      </c>
      <c r="BX134" s="17" t="s">
        <v>414</v>
      </c>
      <c r="BY134" s="17" t="s">
        <v>414</v>
      </c>
      <c r="BZ134" s="17">
        <v>0</v>
      </c>
      <c r="CA134" s="21">
        <v>45951</v>
      </c>
      <c r="CB134" s="17" t="s">
        <v>438</v>
      </c>
      <c r="CC134" s="17" t="s">
        <v>2090</v>
      </c>
      <c r="CD134" s="21">
        <v>45903</v>
      </c>
      <c r="CE134" s="17" t="s">
        <v>415</v>
      </c>
      <c r="CF134" s="17" t="s">
        <v>1316</v>
      </c>
      <c r="CG134" s="17" t="b">
        <v>0</v>
      </c>
      <c r="CH134" s="17" t="s">
        <v>425</v>
      </c>
      <c r="CI134" s="17">
        <v>0</v>
      </c>
      <c r="CJ134" s="21">
        <v>45839</v>
      </c>
      <c r="CK134" s="21">
        <v>1</v>
      </c>
      <c r="CL134" s="17" t="s">
        <v>414</v>
      </c>
      <c r="CM134" s="21">
        <v>1</v>
      </c>
      <c r="CN134" s="21">
        <v>1</v>
      </c>
      <c r="CO134" s="21">
        <v>1</v>
      </c>
      <c r="CP134" s="17" t="b">
        <v>0</v>
      </c>
      <c r="CQ134" s="17" t="b">
        <v>1</v>
      </c>
      <c r="CR134" s="17" t="b">
        <v>0</v>
      </c>
      <c r="CS134">
        <v>7400</v>
      </c>
      <c r="CT134" t="s">
        <v>1917</v>
      </c>
      <c r="CU134">
        <v>5692.31</v>
      </c>
      <c r="CV134">
        <v>1707.69</v>
      </c>
      <c r="CW134" s="22"/>
    </row>
    <row r="135" spans="1:101" x14ac:dyDescent="0.25">
      <c r="A135" s="20">
        <v>620</v>
      </c>
      <c r="B135" s="17" t="s">
        <v>426</v>
      </c>
      <c r="C135" s="17" t="s">
        <v>426</v>
      </c>
      <c r="D135" s="17" t="s">
        <v>181</v>
      </c>
      <c r="E135" s="17" t="s">
        <v>1319</v>
      </c>
      <c r="F135" s="17" t="s">
        <v>1320</v>
      </c>
      <c r="G135" s="17" t="s">
        <v>414</v>
      </c>
      <c r="H135" s="17" t="s">
        <v>1321</v>
      </c>
      <c r="I135" s="17" t="s">
        <v>414</v>
      </c>
      <c r="J135" s="17" t="s">
        <v>16</v>
      </c>
      <c r="K135" s="17" t="b">
        <v>0</v>
      </c>
      <c r="L135" s="17" t="s">
        <v>1322</v>
      </c>
      <c r="M135" s="21">
        <v>32009</v>
      </c>
      <c r="N135" s="17" t="s">
        <v>414</v>
      </c>
      <c r="O135" s="17" t="s">
        <v>17</v>
      </c>
      <c r="P135" s="17" t="s">
        <v>18</v>
      </c>
      <c r="Q135" s="17">
        <v>4</v>
      </c>
      <c r="R135" s="17" t="s">
        <v>54</v>
      </c>
      <c r="S135" s="17">
        <v>4</v>
      </c>
      <c r="T135" s="17" t="s">
        <v>577</v>
      </c>
      <c r="U135" s="21">
        <v>42728</v>
      </c>
      <c r="V135" s="17" t="s">
        <v>33</v>
      </c>
      <c r="W135" s="21">
        <v>1.2743055555555554</v>
      </c>
      <c r="X135" s="17" t="s">
        <v>1266</v>
      </c>
      <c r="Y135" s="17" t="s">
        <v>21</v>
      </c>
      <c r="Z135" s="17">
        <v>203100</v>
      </c>
      <c r="AA135" s="17" t="s">
        <v>55</v>
      </c>
      <c r="AB135" s="17" t="s">
        <v>418</v>
      </c>
      <c r="AC135" s="17">
        <v>210</v>
      </c>
      <c r="AD135" s="21">
        <v>45091</v>
      </c>
      <c r="AE135" s="21">
        <v>45091</v>
      </c>
      <c r="AF135" s="17"/>
      <c r="AG135" s="21">
        <v>45457</v>
      </c>
      <c r="AH135" s="17">
        <v>65720703</v>
      </c>
      <c r="AI135" s="21">
        <v>42818</v>
      </c>
      <c r="AJ135" s="17">
        <v>4115</v>
      </c>
      <c r="AK135" s="17">
        <v>0.29749999999999999</v>
      </c>
      <c r="AL135" s="17">
        <v>1224.21</v>
      </c>
      <c r="AM135" s="17" t="b">
        <v>1</v>
      </c>
      <c r="AN135" s="17" t="b">
        <v>1</v>
      </c>
      <c r="AO135" s="21">
        <v>45490</v>
      </c>
      <c r="AP135" s="21">
        <v>45490</v>
      </c>
      <c r="AQ135" s="17" t="b">
        <v>0</v>
      </c>
      <c r="AR135" s="21">
        <v>45490</v>
      </c>
      <c r="AS135" s="21">
        <v>45490</v>
      </c>
      <c r="AT135" s="21">
        <v>42728</v>
      </c>
      <c r="AU135" s="17" t="b">
        <v>0</v>
      </c>
      <c r="AV135" s="21">
        <v>42818</v>
      </c>
      <c r="AW135" s="17" t="s">
        <v>23</v>
      </c>
      <c r="AX135" s="17" t="s">
        <v>41</v>
      </c>
      <c r="AY135" s="17" t="s">
        <v>23</v>
      </c>
      <c r="AZ135" s="17" t="s">
        <v>414</v>
      </c>
      <c r="BA135" s="21">
        <v>45490</v>
      </c>
      <c r="BB135" s="17">
        <v>0</v>
      </c>
      <c r="BC135" s="17"/>
      <c r="BD135" s="17" t="b">
        <v>0</v>
      </c>
      <c r="BE135" s="17" t="s">
        <v>2026</v>
      </c>
      <c r="BF135" s="21">
        <v>45490</v>
      </c>
      <c r="BG135" s="21">
        <v>45855</v>
      </c>
      <c r="BH135" s="17"/>
      <c r="BI135" s="21">
        <v>47900</v>
      </c>
      <c r="BJ135" s="17">
        <v>0</v>
      </c>
      <c r="BK135" s="17" t="s">
        <v>423</v>
      </c>
      <c r="BL135" s="17" t="s">
        <v>428</v>
      </c>
      <c r="BM135" s="17" t="b">
        <v>1</v>
      </c>
      <c r="BN135" s="17" t="b">
        <v>1</v>
      </c>
      <c r="BO135" s="17" t="b">
        <v>1</v>
      </c>
      <c r="BP135" s="17" t="b">
        <v>1</v>
      </c>
      <c r="BQ135" s="17" t="b">
        <v>1</v>
      </c>
      <c r="BR135" s="17" t="b">
        <v>1</v>
      </c>
      <c r="BS135" s="17" t="b">
        <v>1</v>
      </c>
      <c r="BT135" s="17" t="b">
        <v>1</v>
      </c>
      <c r="BU135" s="17" t="b">
        <v>1</v>
      </c>
      <c r="BV135" s="17">
        <v>0</v>
      </c>
      <c r="BW135" s="21">
        <v>42759</v>
      </c>
      <c r="BX135" s="17" t="s">
        <v>414</v>
      </c>
      <c r="BY135" s="17" t="s">
        <v>414</v>
      </c>
      <c r="BZ135" s="17">
        <v>0</v>
      </c>
      <c r="CA135" s="21">
        <v>45951</v>
      </c>
      <c r="CB135" s="17" t="s">
        <v>438</v>
      </c>
      <c r="CC135" s="17" t="s">
        <v>2158</v>
      </c>
      <c r="CD135" s="21"/>
      <c r="CE135" s="17"/>
      <c r="CF135" s="17" t="s">
        <v>1323</v>
      </c>
      <c r="CG135" s="17" t="b">
        <v>0</v>
      </c>
      <c r="CH135" s="17" t="s">
        <v>425</v>
      </c>
      <c r="CI135" s="17">
        <v>0</v>
      </c>
      <c r="CJ135" s="21">
        <v>45783</v>
      </c>
      <c r="CK135" s="21">
        <v>1</v>
      </c>
      <c r="CL135" s="17" t="s">
        <v>414</v>
      </c>
      <c r="CM135" s="21">
        <v>1</v>
      </c>
      <c r="CN135" s="21">
        <v>1</v>
      </c>
      <c r="CO135" s="21">
        <v>1</v>
      </c>
      <c r="CP135" s="17" t="b">
        <v>0</v>
      </c>
      <c r="CQ135" s="17" t="b">
        <v>1</v>
      </c>
      <c r="CR135" s="17" t="b">
        <v>0</v>
      </c>
      <c r="CS135">
        <v>7400</v>
      </c>
      <c r="CT135" t="s">
        <v>1917</v>
      </c>
      <c r="CU135">
        <v>5692.31</v>
      </c>
      <c r="CV135">
        <v>1707.69</v>
      </c>
      <c r="CW135" s="22"/>
    </row>
    <row r="136" spans="1:101" x14ac:dyDescent="0.25">
      <c r="A136" s="20">
        <v>621</v>
      </c>
      <c r="B136" s="17" t="s">
        <v>426</v>
      </c>
      <c r="C136" s="17" t="s">
        <v>1324</v>
      </c>
      <c r="D136" s="17" t="s">
        <v>182</v>
      </c>
      <c r="E136" s="17" t="s">
        <v>1325</v>
      </c>
      <c r="F136" s="17" t="s">
        <v>1326</v>
      </c>
      <c r="G136" s="17" t="s">
        <v>414</v>
      </c>
      <c r="H136" s="17" t="s">
        <v>660</v>
      </c>
      <c r="I136" s="17" t="s">
        <v>414</v>
      </c>
      <c r="J136" s="17" t="s">
        <v>16</v>
      </c>
      <c r="K136" s="17" t="b">
        <v>0</v>
      </c>
      <c r="L136" s="17" t="s">
        <v>1327</v>
      </c>
      <c r="M136" s="21">
        <v>34870</v>
      </c>
      <c r="N136" s="17" t="s">
        <v>414</v>
      </c>
      <c r="O136" s="17" t="s">
        <v>17</v>
      </c>
      <c r="P136" s="17" t="s">
        <v>18</v>
      </c>
      <c r="Q136" s="17">
        <v>4</v>
      </c>
      <c r="R136" s="17" t="s">
        <v>54</v>
      </c>
      <c r="S136" s="17">
        <v>4</v>
      </c>
      <c r="T136" s="17" t="s">
        <v>577</v>
      </c>
      <c r="U136" s="21">
        <v>42917</v>
      </c>
      <c r="V136" s="17" t="s">
        <v>29</v>
      </c>
      <c r="W136" s="21">
        <v>1</v>
      </c>
      <c r="X136" s="17" t="s">
        <v>661</v>
      </c>
      <c r="Y136" s="17" t="s">
        <v>21</v>
      </c>
      <c r="Z136" s="17">
        <v>203100</v>
      </c>
      <c r="AA136" s="17" t="s">
        <v>55</v>
      </c>
      <c r="AB136" s="17" t="s">
        <v>418</v>
      </c>
      <c r="AC136" s="17">
        <v>78</v>
      </c>
      <c r="AD136" s="21">
        <v>43488</v>
      </c>
      <c r="AE136" s="21">
        <v>45077</v>
      </c>
      <c r="AF136" s="17"/>
      <c r="AG136" s="21">
        <v>45443</v>
      </c>
      <c r="AH136" s="17">
        <v>74521976</v>
      </c>
      <c r="AI136" s="21">
        <v>45931</v>
      </c>
      <c r="AJ136" s="17">
        <v>4115</v>
      </c>
      <c r="AK136" s="17">
        <v>0.29749999999999999</v>
      </c>
      <c r="AL136" s="17">
        <v>1224.21</v>
      </c>
      <c r="AM136" s="17" t="b">
        <v>1</v>
      </c>
      <c r="AN136" s="17" t="b">
        <v>1</v>
      </c>
      <c r="AO136" s="21">
        <v>45490</v>
      </c>
      <c r="AP136" s="21">
        <v>45490</v>
      </c>
      <c r="AQ136" s="17" t="b">
        <v>0</v>
      </c>
      <c r="AR136" s="21">
        <v>45490</v>
      </c>
      <c r="AS136" s="21">
        <v>45490</v>
      </c>
      <c r="AT136" s="21">
        <v>45839</v>
      </c>
      <c r="AU136" s="17" t="b">
        <v>0</v>
      </c>
      <c r="AV136" s="21">
        <v>43009</v>
      </c>
      <c r="AW136" s="17" t="s">
        <v>41</v>
      </c>
      <c r="AX136" s="17" t="s">
        <v>23</v>
      </c>
      <c r="AY136" s="17" t="s">
        <v>414</v>
      </c>
      <c r="AZ136" s="17" t="s">
        <v>414</v>
      </c>
      <c r="BA136" s="21">
        <v>45490</v>
      </c>
      <c r="BB136" s="17">
        <v>0</v>
      </c>
      <c r="BC136" s="17"/>
      <c r="BD136" s="17" t="b">
        <v>0</v>
      </c>
      <c r="BE136" s="17" t="s">
        <v>2028</v>
      </c>
      <c r="BF136" s="21">
        <v>45490</v>
      </c>
      <c r="BG136" s="21">
        <v>45855</v>
      </c>
      <c r="BH136" s="17"/>
      <c r="BI136" s="21">
        <v>46894</v>
      </c>
      <c r="BJ136" s="17">
        <v>0</v>
      </c>
      <c r="BK136" s="17" t="s">
        <v>418</v>
      </c>
      <c r="BL136" s="17" t="s">
        <v>418</v>
      </c>
      <c r="BM136" s="17" t="b">
        <v>1</v>
      </c>
      <c r="BN136" s="17" t="b">
        <v>0</v>
      </c>
      <c r="BO136" s="17" t="b">
        <v>1</v>
      </c>
      <c r="BP136" s="17" t="b">
        <v>1</v>
      </c>
      <c r="BQ136" s="17" t="b">
        <v>1</v>
      </c>
      <c r="BR136" s="17" t="b">
        <v>1</v>
      </c>
      <c r="BS136" s="17" t="b">
        <v>0</v>
      </c>
      <c r="BT136" s="17" t="b">
        <v>1</v>
      </c>
      <c r="BU136" s="17" t="b">
        <v>1</v>
      </c>
      <c r="BV136" s="17">
        <v>0</v>
      </c>
      <c r="BW136" s="21">
        <v>42948</v>
      </c>
      <c r="BX136" s="17" t="s">
        <v>414</v>
      </c>
      <c r="BY136" s="17" t="s">
        <v>414</v>
      </c>
      <c r="BZ136" s="17">
        <v>0</v>
      </c>
      <c r="CA136" s="21">
        <v>45951</v>
      </c>
      <c r="CB136" s="17" t="s">
        <v>438</v>
      </c>
      <c r="CC136" s="17" t="s">
        <v>2159</v>
      </c>
      <c r="CD136" s="21"/>
      <c r="CE136" s="17"/>
      <c r="CF136" s="17" t="s">
        <v>1328</v>
      </c>
      <c r="CG136" s="17" t="b">
        <v>0</v>
      </c>
      <c r="CH136" s="17" t="s">
        <v>425</v>
      </c>
      <c r="CI136" s="17">
        <v>0</v>
      </c>
      <c r="CJ136" s="21">
        <v>45846</v>
      </c>
      <c r="CK136" s="21">
        <v>45931</v>
      </c>
      <c r="CL136" s="17" t="s">
        <v>414</v>
      </c>
      <c r="CM136" s="21">
        <v>1</v>
      </c>
      <c r="CN136" s="21">
        <v>1</v>
      </c>
      <c r="CO136" s="21">
        <v>1</v>
      </c>
      <c r="CP136" s="17" t="b">
        <v>0</v>
      </c>
      <c r="CQ136" s="17" t="b">
        <v>1</v>
      </c>
      <c r="CR136" s="17" t="b">
        <v>0</v>
      </c>
      <c r="CS136">
        <v>7300</v>
      </c>
      <c r="CT136" t="s">
        <v>1911</v>
      </c>
      <c r="CU136">
        <v>5615.38</v>
      </c>
      <c r="CV136">
        <v>1684.62</v>
      </c>
      <c r="CW136" s="22"/>
    </row>
    <row r="137" spans="1:101" x14ac:dyDescent="0.25">
      <c r="A137" s="20">
        <v>622</v>
      </c>
      <c r="B137" s="17" t="s">
        <v>460</v>
      </c>
      <c r="C137" s="17" t="s">
        <v>1329</v>
      </c>
      <c r="D137" s="17" t="s">
        <v>183</v>
      </c>
      <c r="E137" s="17" t="s">
        <v>1330</v>
      </c>
      <c r="F137" s="17" t="s">
        <v>1331</v>
      </c>
      <c r="G137" s="17" t="s">
        <v>414</v>
      </c>
      <c r="H137" s="17" t="s">
        <v>1332</v>
      </c>
      <c r="I137" s="17" t="s">
        <v>432</v>
      </c>
      <c r="J137" s="17" t="s">
        <v>16</v>
      </c>
      <c r="K137" s="17" t="b">
        <v>0</v>
      </c>
      <c r="L137" s="17" t="s">
        <v>1333</v>
      </c>
      <c r="M137" s="21">
        <v>26850</v>
      </c>
      <c r="N137" s="17" t="s">
        <v>414</v>
      </c>
      <c r="O137" s="17" t="s">
        <v>17</v>
      </c>
      <c r="P137" s="17" t="s">
        <v>18</v>
      </c>
      <c r="Q137" s="17">
        <v>8</v>
      </c>
      <c r="R137" s="17" t="s">
        <v>107</v>
      </c>
      <c r="S137" s="17">
        <v>34</v>
      </c>
      <c r="T137" s="17" t="s">
        <v>1334</v>
      </c>
      <c r="U137" s="21">
        <v>43435</v>
      </c>
      <c r="V137" s="17" t="s">
        <v>29</v>
      </c>
      <c r="W137" s="21">
        <v>1</v>
      </c>
      <c r="X137" s="17" t="s">
        <v>661</v>
      </c>
      <c r="Y137" s="17" t="s">
        <v>21</v>
      </c>
      <c r="Z137" s="17">
        <v>215300</v>
      </c>
      <c r="AA137" s="17" t="s">
        <v>184</v>
      </c>
      <c r="AB137" s="17" t="s">
        <v>418</v>
      </c>
      <c r="AC137" s="17">
        <v>122</v>
      </c>
      <c r="AD137" s="21">
        <v>44425</v>
      </c>
      <c r="AE137" s="21">
        <v>45159</v>
      </c>
      <c r="AF137" s="17"/>
      <c r="AG137" s="21">
        <v>45525</v>
      </c>
      <c r="AH137" s="17">
        <v>51342519</v>
      </c>
      <c r="AI137" s="21">
        <v>45931</v>
      </c>
      <c r="AJ137" s="17">
        <v>4100</v>
      </c>
      <c r="AK137" s="17">
        <v>0.29749999999999999</v>
      </c>
      <c r="AL137" s="17">
        <v>1219.75</v>
      </c>
      <c r="AM137" s="17" t="b">
        <v>1</v>
      </c>
      <c r="AN137" s="17" t="b">
        <v>1</v>
      </c>
      <c r="AO137" s="21">
        <v>45398</v>
      </c>
      <c r="AP137" s="21">
        <v>45398</v>
      </c>
      <c r="AQ137" s="17" t="b">
        <v>0</v>
      </c>
      <c r="AR137" s="21">
        <v>45398</v>
      </c>
      <c r="AS137" s="21">
        <v>45398</v>
      </c>
      <c r="AT137" s="21">
        <v>45839</v>
      </c>
      <c r="AU137" s="17" t="b">
        <v>0</v>
      </c>
      <c r="AV137" s="21">
        <v>43525</v>
      </c>
      <c r="AW137" s="17" t="s">
        <v>23</v>
      </c>
      <c r="AX137" s="17" t="s">
        <v>23</v>
      </c>
      <c r="AY137" s="17" t="s">
        <v>414</v>
      </c>
      <c r="AZ137" s="17" t="s">
        <v>450</v>
      </c>
      <c r="BA137" s="21">
        <v>45398</v>
      </c>
      <c r="BB137" s="17">
        <v>0</v>
      </c>
      <c r="BC137" s="17"/>
      <c r="BD137" s="17" t="b">
        <v>0</v>
      </c>
      <c r="BE137" s="17" t="s">
        <v>1972</v>
      </c>
      <c r="BF137" s="21">
        <v>45398</v>
      </c>
      <c r="BG137" s="21">
        <v>45763</v>
      </c>
      <c r="BH137" s="17"/>
      <c r="BI137" s="21">
        <v>47470</v>
      </c>
      <c r="BJ137" s="17">
        <v>0</v>
      </c>
      <c r="BK137" s="17" t="s">
        <v>418</v>
      </c>
      <c r="BL137" s="17" t="s">
        <v>418</v>
      </c>
      <c r="BM137" s="17" t="b">
        <v>1</v>
      </c>
      <c r="BN137" s="17" t="b">
        <v>0</v>
      </c>
      <c r="BO137" s="17" t="b">
        <v>1</v>
      </c>
      <c r="BP137" s="17" t="b">
        <v>1</v>
      </c>
      <c r="BQ137" s="17" t="b">
        <v>0</v>
      </c>
      <c r="BR137" s="17" t="b">
        <v>1</v>
      </c>
      <c r="BS137" s="17" t="b">
        <v>1</v>
      </c>
      <c r="BT137" s="17" t="b">
        <v>0</v>
      </c>
      <c r="BU137" s="17" t="b">
        <v>1</v>
      </c>
      <c r="BV137" s="17">
        <v>0</v>
      </c>
      <c r="BW137" s="21">
        <v>43466</v>
      </c>
      <c r="BX137" s="17" t="s">
        <v>414</v>
      </c>
      <c r="BY137" s="17" t="s">
        <v>414</v>
      </c>
      <c r="BZ137" s="17">
        <v>0</v>
      </c>
      <c r="CA137" s="21">
        <v>45951</v>
      </c>
      <c r="CB137" s="17" t="s">
        <v>419</v>
      </c>
      <c r="CC137" s="17" t="s">
        <v>2160</v>
      </c>
      <c r="CD137" s="21"/>
      <c r="CE137" s="17"/>
      <c r="CF137" s="17" t="s">
        <v>1335</v>
      </c>
      <c r="CG137" s="17" t="b">
        <v>0</v>
      </c>
      <c r="CH137" s="17" t="s">
        <v>425</v>
      </c>
      <c r="CI137" s="17">
        <v>0</v>
      </c>
      <c r="CJ137" s="21">
        <v>45845</v>
      </c>
      <c r="CK137" s="21">
        <v>45931</v>
      </c>
      <c r="CL137" s="17" t="s">
        <v>414</v>
      </c>
      <c r="CM137" s="21">
        <v>1</v>
      </c>
      <c r="CN137" s="21">
        <v>1</v>
      </c>
      <c r="CO137" s="21">
        <v>1</v>
      </c>
      <c r="CP137" s="17" t="b">
        <v>0</v>
      </c>
      <c r="CQ137" s="17" t="b">
        <v>1</v>
      </c>
      <c r="CR137" s="17" t="b">
        <v>0</v>
      </c>
      <c r="CS137">
        <v>7500</v>
      </c>
      <c r="CT137" t="s">
        <v>1916</v>
      </c>
      <c r="CU137">
        <v>5769.23</v>
      </c>
      <c r="CV137">
        <v>1730.77</v>
      </c>
      <c r="CW137" s="22"/>
    </row>
    <row r="138" spans="1:101" x14ac:dyDescent="0.25">
      <c r="A138" s="20">
        <v>623</v>
      </c>
      <c r="B138" s="17" t="s">
        <v>1336</v>
      </c>
      <c r="C138" s="17" t="s">
        <v>1337</v>
      </c>
      <c r="D138" s="17" t="s">
        <v>185</v>
      </c>
      <c r="E138" s="17" t="s">
        <v>1338</v>
      </c>
      <c r="F138" s="17" t="s">
        <v>1339</v>
      </c>
      <c r="G138" s="17" t="s">
        <v>414</v>
      </c>
      <c r="H138" s="17" t="s">
        <v>1340</v>
      </c>
      <c r="I138" s="17" t="s">
        <v>414</v>
      </c>
      <c r="J138" s="17" t="s">
        <v>16</v>
      </c>
      <c r="K138" s="17" t="b">
        <v>0</v>
      </c>
      <c r="L138" s="17" t="s">
        <v>1341</v>
      </c>
      <c r="M138" s="21">
        <v>28157</v>
      </c>
      <c r="N138" s="17" t="s">
        <v>414</v>
      </c>
      <c r="O138" s="17" t="s">
        <v>17</v>
      </c>
      <c r="P138" s="17" t="s">
        <v>18</v>
      </c>
      <c r="Q138" s="17">
        <v>8</v>
      </c>
      <c r="R138" s="17" t="s">
        <v>107</v>
      </c>
      <c r="S138" s="17">
        <v>40</v>
      </c>
      <c r="T138" s="17" t="s">
        <v>188</v>
      </c>
      <c r="U138" s="21">
        <v>43313</v>
      </c>
      <c r="V138" s="17" t="s">
        <v>31</v>
      </c>
      <c r="W138" s="21">
        <v>1</v>
      </c>
      <c r="X138" s="17" t="s">
        <v>1342</v>
      </c>
      <c r="Y138" s="17" t="s">
        <v>21</v>
      </c>
      <c r="Z138" s="17">
        <v>586100</v>
      </c>
      <c r="AA138" s="17" t="s">
        <v>186</v>
      </c>
      <c r="AB138" s="17" t="s">
        <v>418</v>
      </c>
      <c r="AC138" s="17">
        <v>112</v>
      </c>
      <c r="AD138" s="21">
        <v>43579</v>
      </c>
      <c r="AE138" s="21">
        <v>45383</v>
      </c>
      <c r="AF138" s="17"/>
      <c r="AG138" s="21">
        <v>45748</v>
      </c>
      <c r="AH138" s="17">
        <v>20479659</v>
      </c>
      <c r="AI138" s="21">
        <v>45931</v>
      </c>
      <c r="AJ138" s="17">
        <v>4115</v>
      </c>
      <c r="AK138" s="17">
        <v>0.29749999999999999</v>
      </c>
      <c r="AL138" s="17">
        <v>1224.21</v>
      </c>
      <c r="AM138" s="17" t="b">
        <v>1</v>
      </c>
      <c r="AN138" s="17" t="b">
        <v>1</v>
      </c>
      <c r="AO138" s="21">
        <v>45398</v>
      </c>
      <c r="AP138" s="21">
        <v>45398</v>
      </c>
      <c r="AQ138" s="17" t="b">
        <v>0</v>
      </c>
      <c r="AR138" s="21">
        <v>45398</v>
      </c>
      <c r="AS138" s="21">
        <v>45398</v>
      </c>
      <c r="AT138" s="21">
        <v>45839</v>
      </c>
      <c r="AU138" s="17" t="b">
        <v>0</v>
      </c>
      <c r="AV138" s="21">
        <v>43405</v>
      </c>
      <c r="AW138" s="17" t="s">
        <v>101</v>
      </c>
      <c r="AX138" s="17" t="s">
        <v>101</v>
      </c>
      <c r="AY138" s="17" t="s">
        <v>414</v>
      </c>
      <c r="AZ138" s="17" t="s">
        <v>450</v>
      </c>
      <c r="BA138" s="21">
        <v>45398</v>
      </c>
      <c r="BB138" s="17">
        <v>0</v>
      </c>
      <c r="BC138" s="17"/>
      <c r="BD138" s="17" t="b">
        <v>0</v>
      </c>
      <c r="BE138" s="17" t="s">
        <v>2161</v>
      </c>
      <c r="BF138" s="21">
        <v>45398</v>
      </c>
      <c r="BG138" s="21">
        <v>45763</v>
      </c>
      <c r="BH138" s="17"/>
      <c r="BI138" s="21">
        <v>47282</v>
      </c>
      <c r="BJ138" s="17">
        <v>0</v>
      </c>
      <c r="BK138" s="17" t="s">
        <v>418</v>
      </c>
      <c r="BL138" s="17" t="s">
        <v>418</v>
      </c>
      <c r="BM138" s="17" t="b">
        <v>1</v>
      </c>
      <c r="BN138" s="17" t="b">
        <v>1</v>
      </c>
      <c r="BO138" s="17" t="b">
        <v>1</v>
      </c>
      <c r="BP138" s="17" t="b">
        <v>1</v>
      </c>
      <c r="BQ138" s="17" t="b">
        <v>1</v>
      </c>
      <c r="BR138" s="17" t="b">
        <v>1</v>
      </c>
      <c r="BS138" s="17" t="b">
        <v>0</v>
      </c>
      <c r="BT138" s="17" t="b">
        <v>1</v>
      </c>
      <c r="BU138" s="17" t="b">
        <v>0</v>
      </c>
      <c r="BV138" s="17">
        <v>0</v>
      </c>
      <c r="BW138" s="21">
        <v>43344</v>
      </c>
      <c r="BX138" s="17" t="s">
        <v>414</v>
      </c>
      <c r="BY138" s="17" t="s">
        <v>414</v>
      </c>
      <c r="BZ138" s="17">
        <v>0</v>
      </c>
      <c r="CA138" s="21">
        <v>45951</v>
      </c>
      <c r="CB138" s="17" t="s">
        <v>419</v>
      </c>
      <c r="CC138" s="17" t="s">
        <v>2162</v>
      </c>
      <c r="CD138" s="21"/>
      <c r="CE138" s="17"/>
      <c r="CF138" s="17" t="s">
        <v>1343</v>
      </c>
      <c r="CG138" s="17" t="b">
        <v>0</v>
      </c>
      <c r="CH138" s="17" t="s">
        <v>1344</v>
      </c>
      <c r="CI138" s="17">
        <v>0</v>
      </c>
      <c r="CJ138" s="21">
        <v>45840</v>
      </c>
      <c r="CK138" s="21">
        <v>45931</v>
      </c>
      <c r="CL138" s="17" t="s">
        <v>414</v>
      </c>
      <c r="CM138" s="21">
        <v>1</v>
      </c>
      <c r="CN138" s="21">
        <v>1</v>
      </c>
      <c r="CO138" s="21">
        <v>1</v>
      </c>
      <c r="CP138" s="17" t="b">
        <v>0</v>
      </c>
      <c r="CQ138" s="17" t="b">
        <v>1</v>
      </c>
      <c r="CR138" s="17" t="b">
        <v>0</v>
      </c>
      <c r="CS138">
        <v>7400</v>
      </c>
      <c r="CT138" t="s">
        <v>1917</v>
      </c>
      <c r="CU138">
        <v>5692.31</v>
      </c>
      <c r="CV138">
        <v>1707.69</v>
      </c>
      <c r="CW138" s="22"/>
    </row>
    <row r="139" spans="1:101" x14ac:dyDescent="0.25">
      <c r="A139" s="20">
        <v>624</v>
      </c>
      <c r="B139" s="17" t="s">
        <v>426</v>
      </c>
      <c r="C139" s="17" t="s">
        <v>440</v>
      </c>
      <c r="D139" s="17" t="s">
        <v>187</v>
      </c>
      <c r="E139" s="17" t="s">
        <v>1345</v>
      </c>
      <c r="F139" s="17" t="s">
        <v>1346</v>
      </c>
      <c r="G139" s="17" t="s">
        <v>414</v>
      </c>
      <c r="H139" s="17" t="s">
        <v>1347</v>
      </c>
      <c r="I139" s="17" t="s">
        <v>414</v>
      </c>
      <c r="J139" s="17" t="s">
        <v>16</v>
      </c>
      <c r="K139" s="17" t="b">
        <v>0</v>
      </c>
      <c r="L139" s="17" t="s">
        <v>1348</v>
      </c>
      <c r="M139" s="21">
        <v>29526</v>
      </c>
      <c r="N139" s="17" t="s">
        <v>1349</v>
      </c>
      <c r="O139" s="17" t="s">
        <v>17</v>
      </c>
      <c r="P139" s="17" t="s">
        <v>18</v>
      </c>
      <c r="Q139" s="17">
        <v>8</v>
      </c>
      <c r="R139" s="17" t="s">
        <v>107</v>
      </c>
      <c r="S139" s="17">
        <v>40</v>
      </c>
      <c r="T139" s="17" t="s">
        <v>188</v>
      </c>
      <c r="U139" s="21">
        <v>43466</v>
      </c>
      <c r="V139" s="17" t="s">
        <v>61</v>
      </c>
      <c r="W139" s="21">
        <v>1</v>
      </c>
      <c r="X139" s="17" t="s">
        <v>417</v>
      </c>
      <c r="Y139" s="17" t="s">
        <v>21</v>
      </c>
      <c r="Z139" s="17">
        <v>203300</v>
      </c>
      <c r="AA139" s="17" t="s">
        <v>188</v>
      </c>
      <c r="AB139" s="17" t="s">
        <v>443</v>
      </c>
      <c r="AC139" s="17">
        <v>0</v>
      </c>
      <c r="AD139" s="21">
        <v>45398</v>
      </c>
      <c r="AE139" s="21">
        <v>2</v>
      </c>
      <c r="AF139" s="17"/>
      <c r="AG139" s="21">
        <v>368</v>
      </c>
      <c r="AH139" s="17">
        <v>48341519</v>
      </c>
      <c r="AI139" s="21">
        <v>45931</v>
      </c>
      <c r="AJ139" s="17">
        <v>4115</v>
      </c>
      <c r="AK139" s="17">
        <v>0.29749999999999999</v>
      </c>
      <c r="AL139" s="17">
        <v>1224.21</v>
      </c>
      <c r="AM139" s="17" t="b">
        <v>1</v>
      </c>
      <c r="AN139" s="17" t="b">
        <v>1</v>
      </c>
      <c r="AO139" s="21">
        <v>44256</v>
      </c>
      <c r="AP139" s="21">
        <v>44270</v>
      </c>
      <c r="AQ139" s="17" t="b">
        <v>0</v>
      </c>
      <c r="AR139" s="21">
        <v>45398</v>
      </c>
      <c r="AS139" s="21">
        <v>45398</v>
      </c>
      <c r="AT139" s="21">
        <v>45839</v>
      </c>
      <c r="AU139" s="17" t="b">
        <v>0</v>
      </c>
      <c r="AV139" s="21">
        <v>43556</v>
      </c>
      <c r="AW139" s="17" t="s">
        <v>23</v>
      </c>
      <c r="AX139" s="17" t="s">
        <v>41</v>
      </c>
      <c r="AY139" s="17" t="s">
        <v>414</v>
      </c>
      <c r="AZ139" s="17" t="s">
        <v>414</v>
      </c>
      <c r="BA139" s="21">
        <v>45398</v>
      </c>
      <c r="BB139" s="17">
        <v>0</v>
      </c>
      <c r="BC139" s="17"/>
      <c r="BD139" s="17" t="b">
        <v>0</v>
      </c>
      <c r="BE139" s="17" t="s">
        <v>2030</v>
      </c>
      <c r="BF139" s="21">
        <v>45398</v>
      </c>
      <c r="BG139" s="21">
        <v>45763</v>
      </c>
      <c r="BH139" s="17"/>
      <c r="BI139" s="21">
        <v>45765</v>
      </c>
      <c r="BJ139" s="17">
        <v>0</v>
      </c>
      <c r="BK139" s="17" t="s">
        <v>418</v>
      </c>
      <c r="BL139" s="17" t="s">
        <v>459</v>
      </c>
      <c r="BM139" s="17" t="b">
        <v>1</v>
      </c>
      <c r="BN139" s="17" t="b">
        <v>0</v>
      </c>
      <c r="BO139" s="17" t="b">
        <v>1</v>
      </c>
      <c r="BP139" s="17" t="b">
        <v>1</v>
      </c>
      <c r="BQ139" s="17" t="b">
        <v>1</v>
      </c>
      <c r="BR139" s="17" t="b">
        <v>0</v>
      </c>
      <c r="BS139" s="17" t="b">
        <v>1</v>
      </c>
      <c r="BT139" s="17" t="b">
        <v>1</v>
      </c>
      <c r="BU139" s="17" t="b">
        <v>1</v>
      </c>
      <c r="BV139" s="17">
        <v>0</v>
      </c>
      <c r="BW139" s="21">
        <v>43497</v>
      </c>
      <c r="BX139" s="17" t="s">
        <v>414</v>
      </c>
      <c r="BY139" s="17" t="s">
        <v>414</v>
      </c>
      <c r="BZ139" s="17">
        <v>0</v>
      </c>
      <c r="CA139" s="21">
        <v>45951</v>
      </c>
      <c r="CB139" s="17" t="s">
        <v>419</v>
      </c>
      <c r="CC139" s="17" t="s">
        <v>2163</v>
      </c>
      <c r="CD139" s="21"/>
      <c r="CE139" s="17"/>
      <c r="CF139" s="17" t="s">
        <v>1350</v>
      </c>
      <c r="CG139" s="17" t="b">
        <v>0</v>
      </c>
      <c r="CH139" s="17" t="s">
        <v>1080</v>
      </c>
      <c r="CI139" s="17">
        <v>0</v>
      </c>
      <c r="CJ139" s="21">
        <v>45844</v>
      </c>
      <c r="CK139" s="21">
        <v>45931</v>
      </c>
      <c r="CL139" s="17" t="s">
        <v>414</v>
      </c>
      <c r="CM139" s="21">
        <v>1</v>
      </c>
      <c r="CN139" s="21">
        <v>1</v>
      </c>
      <c r="CO139" s="21">
        <v>1</v>
      </c>
      <c r="CP139" s="17" t="b">
        <v>0</v>
      </c>
      <c r="CQ139" s="17" t="b">
        <v>1</v>
      </c>
      <c r="CR139" s="17" t="b">
        <v>0</v>
      </c>
      <c r="CS139">
        <v>7400</v>
      </c>
      <c r="CT139" t="s">
        <v>1917</v>
      </c>
      <c r="CU139">
        <v>5692.31</v>
      </c>
      <c r="CV139">
        <v>1707.69</v>
      </c>
      <c r="CW139" s="22"/>
    </row>
    <row r="140" spans="1:101" x14ac:dyDescent="0.25">
      <c r="A140" s="20">
        <v>628</v>
      </c>
      <c r="B140" s="17" t="s">
        <v>1352</v>
      </c>
      <c r="C140" s="17" t="s">
        <v>758</v>
      </c>
      <c r="D140" s="17" t="s">
        <v>189</v>
      </c>
      <c r="E140" s="17" t="s">
        <v>1353</v>
      </c>
      <c r="F140" s="17" t="s">
        <v>1354</v>
      </c>
      <c r="G140" s="17" t="s">
        <v>414</v>
      </c>
      <c r="H140" s="17" t="s">
        <v>1355</v>
      </c>
      <c r="I140" s="17" t="s">
        <v>414</v>
      </c>
      <c r="J140" s="17" t="s">
        <v>25</v>
      </c>
      <c r="K140" s="17" t="b">
        <v>0</v>
      </c>
      <c r="L140" s="17" t="s">
        <v>1356</v>
      </c>
      <c r="M140" s="21">
        <v>29957</v>
      </c>
      <c r="N140" s="17" t="s">
        <v>414</v>
      </c>
      <c r="O140" s="17" t="s">
        <v>26</v>
      </c>
      <c r="P140" s="17" t="s">
        <v>18</v>
      </c>
      <c r="Q140" s="17">
        <v>1</v>
      </c>
      <c r="R140" s="17" t="s">
        <v>19</v>
      </c>
      <c r="S140" s="17">
        <v>3</v>
      </c>
      <c r="T140" s="17" t="s">
        <v>1105</v>
      </c>
      <c r="U140" s="21">
        <v>43359</v>
      </c>
      <c r="V140" s="17" t="s">
        <v>20</v>
      </c>
      <c r="W140" s="21">
        <v>1.2916666666666665</v>
      </c>
      <c r="X140" s="17" t="s">
        <v>1357</v>
      </c>
      <c r="Y140" s="17" t="s">
        <v>21</v>
      </c>
      <c r="Z140" s="17">
        <v>949900</v>
      </c>
      <c r="AA140" s="17" t="s">
        <v>22</v>
      </c>
      <c r="AB140" s="17" t="s">
        <v>418</v>
      </c>
      <c r="AC140" s="17">
        <v>118</v>
      </c>
      <c r="AD140" s="21">
        <v>44425</v>
      </c>
      <c r="AE140" s="21">
        <v>45159</v>
      </c>
      <c r="AF140" s="17"/>
      <c r="AG140" s="21">
        <v>45525</v>
      </c>
      <c r="AH140" s="17">
        <v>57980177</v>
      </c>
      <c r="AI140" s="21">
        <v>43605</v>
      </c>
      <c r="AJ140" s="17">
        <v>4121</v>
      </c>
      <c r="AK140" s="17">
        <v>0.29749999999999999</v>
      </c>
      <c r="AL140" s="17">
        <v>1226</v>
      </c>
      <c r="AM140" s="17" t="b">
        <v>1</v>
      </c>
      <c r="AN140" s="17" t="b">
        <v>1</v>
      </c>
      <c r="AO140" s="21">
        <v>45398</v>
      </c>
      <c r="AP140" s="21">
        <v>45398</v>
      </c>
      <c r="AQ140" s="17" t="b">
        <v>0</v>
      </c>
      <c r="AR140" s="21">
        <v>45398</v>
      </c>
      <c r="AS140" s="21">
        <v>45398</v>
      </c>
      <c r="AT140" s="21">
        <v>43516</v>
      </c>
      <c r="AU140" s="17" t="b">
        <v>0</v>
      </c>
      <c r="AV140" s="21">
        <v>43450</v>
      </c>
      <c r="AW140" s="17" t="s">
        <v>27</v>
      </c>
      <c r="AX140" s="17" t="s">
        <v>27</v>
      </c>
      <c r="AY140" s="17" t="s">
        <v>414</v>
      </c>
      <c r="AZ140" s="17" t="s">
        <v>450</v>
      </c>
      <c r="BA140" s="21">
        <v>45398</v>
      </c>
      <c r="BB140" s="17">
        <v>0</v>
      </c>
      <c r="BC140" s="17"/>
      <c r="BD140" s="17" t="b">
        <v>0</v>
      </c>
      <c r="BE140" s="17" t="s">
        <v>2164</v>
      </c>
      <c r="BF140" s="21">
        <v>45398</v>
      </c>
      <c r="BG140" s="21">
        <v>45763</v>
      </c>
      <c r="BH140" s="17"/>
      <c r="BI140" s="21">
        <v>46350</v>
      </c>
      <c r="BJ140" s="17">
        <v>0</v>
      </c>
      <c r="BK140" s="17" t="s">
        <v>443</v>
      </c>
      <c r="BL140" s="17" t="s">
        <v>443</v>
      </c>
      <c r="BM140" s="17" t="b">
        <v>1</v>
      </c>
      <c r="BN140" s="17" t="b">
        <v>1</v>
      </c>
      <c r="BO140" s="17" t="b">
        <v>1</v>
      </c>
      <c r="BP140" s="17" t="b">
        <v>1</v>
      </c>
      <c r="BQ140" s="17" t="b">
        <v>0</v>
      </c>
      <c r="BR140" s="17" t="b">
        <v>1</v>
      </c>
      <c r="BS140" s="17" t="b">
        <v>1</v>
      </c>
      <c r="BT140" s="17" t="b">
        <v>1</v>
      </c>
      <c r="BU140" s="17" t="b">
        <v>0</v>
      </c>
      <c r="BV140" s="17">
        <v>0</v>
      </c>
      <c r="BW140" s="21">
        <v>43389</v>
      </c>
      <c r="BX140" s="17" t="s">
        <v>414</v>
      </c>
      <c r="BY140" s="17" t="s">
        <v>414</v>
      </c>
      <c r="BZ140" s="17">
        <v>0</v>
      </c>
      <c r="CA140" s="21">
        <v>45951</v>
      </c>
      <c r="CB140" s="17" t="s">
        <v>419</v>
      </c>
      <c r="CC140" s="17" t="s">
        <v>2165</v>
      </c>
      <c r="CD140" s="21"/>
      <c r="CE140" s="17"/>
      <c r="CF140" s="17" t="s">
        <v>1358</v>
      </c>
      <c r="CG140" s="17" t="b">
        <v>0</v>
      </c>
      <c r="CH140" s="17" t="s">
        <v>425</v>
      </c>
      <c r="CI140" s="17">
        <v>0</v>
      </c>
      <c r="CJ140" s="21">
        <v>45851</v>
      </c>
      <c r="CK140" s="21">
        <v>45904</v>
      </c>
      <c r="CL140" s="17" t="s">
        <v>414</v>
      </c>
      <c r="CM140" s="21">
        <v>1</v>
      </c>
      <c r="CN140" s="21">
        <v>1</v>
      </c>
      <c r="CO140" s="21">
        <v>1</v>
      </c>
      <c r="CP140" s="17" t="b">
        <v>0</v>
      </c>
      <c r="CQ140" s="17" t="b">
        <v>1</v>
      </c>
      <c r="CR140" s="17" t="b">
        <v>0</v>
      </c>
      <c r="CS140">
        <v>7000</v>
      </c>
      <c r="CT140" t="s">
        <v>1912</v>
      </c>
      <c r="CU140">
        <v>5384.62</v>
      </c>
      <c r="CV140">
        <v>1615.38</v>
      </c>
      <c r="CW140" s="22"/>
    </row>
    <row r="141" spans="1:101" x14ac:dyDescent="0.25">
      <c r="A141" s="20">
        <v>631</v>
      </c>
      <c r="B141" s="17" t="s">
        <v>807</v>
      </c>
      <c r="C141" s="17" t="s">
        <v>426</v>
      </c>
      <c r="D141" s="17" t="s">
        <v>190</v>
      </c>
      <c r="E141" s="17" t="s">
        <v>1359</v>
      </c>
      <c r="F141" s="17" t="s">
        <v>721</v>
      </c>
      <c r="G141" s="17" t="s">
        <v>414</v>
      </c>
      <c r="H141" s="17" t="s">
        <v>1360</v>
      </c>
      <c r="I141" s="17" t="s">
        <v>414</v>
      </c>
      <c r="J141" s="17" t="s">
        <v>16</v>
      </c>
      <c r="K141" s="17" t="b">
        <v>0</v>
      </c>
      <c r="L141" s="17" t="s">
        <v>1361</v>
      </c>
      <c r="M141" s="21">
        <v>29709</v>
      </c>
      <c r="N141" s="17" t="s">
        <v>414</v>
      </c>
      <c r="O141" s="17" t="s">
        <v>17</v>
      </c>
      <c r="P141" s="17" t="s">
        <v>18</v>
      </c>
      <c r="Q141" s="17">
        <v>1</v>
      </c>
      <c r="R141" s="17" t="s">
        <v>19</v>
      </c>
      <c r="S141" s="17">
        <v>9</v>
      </c>
      <c r="T141" s="17" t="s">
        <v>434</v>
      </c>
      <c r="U141" s="21">
        <v>43506</v>
      </c>
      <c r="V141" s="17" t="s">
        <v>20</v>
      </c>
      <c r="W141" s="21">
        <v>1.2916666666666665</v>
      </c>
      <c r="X141" s="17" t="s">
        <v>1362</v>
      </c>
      <c r="Y141" s="17" t="s">
        <v>21</v>
      </c>
      <c r="Z141" s="17">
        <v>0</v>
      </c>
      <c r="AA141" s="17" t="s">
        <v>414</v>
      </c>
      <c r="AB141" s="17" t="s">
        <v>418</v>
      </c>
      <c r="AC141" s="17">
        <v>242</v>
      </c>
      <c r="AD141" s="21">
        <v>45245</v>
      </c>
      <c r="AE141" s="21">
        <v>45245</v>
      </c>
      <c r="AF141" s="17"/>
      <c r="AG141" s="21">
        <v>45611</v>
      </c>
      <c r="AH141" s="17">
        <v>73581029</v>
      </c>
      <c r="AI141" s="21">
        <v>43595</v>
      </c>
      <c r="AJ141" s="17">
        <v>4115</v>
      </c>
      <c r="AK141" s="17">
        <v>0.29749999999999999</v>
      </c>
      <c r="AL141" s="17">
        <v>1224.21</v>
      </c>
      <c r="AM141" s="17" t="b">
        <v>1</v>
      </c>
      <c r="AN141" s="17" t="b">
        <v>1</v>
      </c>
      <c r="AO141" s="21">
        <v>45449</v>
      </c>
      <c r="AP141" s="21">
        <v>45449</v>
      </c>
      <c r="AQ141" s="17" t="b">
        <v>0</v>
      </c>
      <c r="AR141" s="21">
        <v>45449</v>
      </c>
      <c r="AS141" s="21">
        <v>45449</v>
      </c>
      <c r="AT141" s="21">
        <v>43506</v>
      </c>
      <c r="AU141" s="17" t="b">
        <v>0</v>
      </c>
      <c r="AV141" s="21">
        <v>43595</v>
      </c>
      <c r="AW141" s="17" t="s">
        <v>23</v>
      </c>
      <c r="AX141" s="17" t="s">
        <v>41</v>
      </c>
      <c r="AY141" s="17" t="s">
        <v>23</v>
      </c>
      <c r="AZ141" s="17" t="s">
        <v>414</v>
      </c>
      <c r="BA141" s="21">
        <v>45449</v>
      </c>
      <c r="BB141" s="17">
        <v>0</v>
      </c>
      <c r="BC141" s="17"/>
      <c r="BD141" s="17" t="b">
        <v>0</v>
      </c>
      <c r="BE141" s="17" t="s">
        <v>2098</v>
      </c>
      <c r="BF141" s="21">
        <v>45449</v>
      </c>
      <c r="BG141" s="21">
        <v>45814</v>
      </c>
      <c r="BH141" s="17"/>
      <c r="BI141" s="21">
        <v>45861</v>
      </c>
      <c r="BJ141" s="17">
        <v>0</v>
      </c>
      <c r="BK141" s="17" t="s">
        <v>418</v>
      </c>
      <c r="BL141" s="17" t="s">
        <v>418</v>
      </c>
      <c r="BM141" s="17" t="b">
        <v>1</v>
      </c>
      <c r="BN141" s="17" t="b">
        <v>0</v>
      </c>
      <c r="BO141" s="17" t="b">
        <v>1</v>
      </c>
      <c r="BP141" s="17" t="b">
        <v>1</v>
      </c>
      <c r="BQ141" s="17" t="b">
        <v>0</v>
      </c>
      <c r="BR141" s="17" t="b">
        <v>1</v>
      </c>
      <c r="BS141" s="17" t="b">
        <v>1</v>
      </c>
      <c r="BT141" s="17" t="b">
        <v>1</v>
      </c>
      <c r="BU141" s="17" t="b">
        <v>0</v>
      </c>
      <c r="BV141" s="17">
        <v>0</v>
      </c>
      <c r="BW141" s="21">
        <v>43534</v>
      </c>
      <c r="BX141" s="17" t="s">
        <v>414</v>
      </c>
      <c r="BY141" s="17" t="s">
        <v>414</v>
      </c>
      <c r="BZ141" s="17">
        <v>0</v>
      </c>
      <c r="CA141" s="21">
        <v>45951</v>
      </c>
      <c r="CB141" s="17" t="s">
        <v>438</v>
      </c>
      <c r="CC141" s="17" t="s">
        <v>2166</v>
      </c>
      <c r="CD141" s="21"/>
      <c r="CE141" s="17"/>
      <c r="CF141" s="17" t="s">
        <v>1363</v>
      </c>
      <c r="CG141" s="17" t="b">
        <v>0</v>
      </c>
      <c r="CH141" s="17" t="s">
        <v>425</v>
      </c>
      <c r="CI141" s="17">
        <v>0</v>
      </c>
      <c r="CJ141" s="21">
        <v>45853</v>
      </c>
      <c r="CK141" s="21">
        <v>45904</v>
      </c>
      <c r="CL141" s="17" t="s">
        <v>414</v>
      </c>
      <c r="CM141" s="21">
        <v>1</v>
      </c>
      <c r="CN141" s="21">
        <v>1</v>
      </c>
      <c r="CO141" s="21">
        <v>1</v>
      </c>
      <c r="CP141" s="17" t="b">
        <v>0</v>
      </c>
      <c r="CQ141" s="17" t="b">
        <v>1</v>
      </c>
      <c r="CR141" s="17" t="b">
        <v>0</v>
      </c>
      <c r="CS141">
        <v>7300</v>
      </c>
      <c r="CT141" t="s">
        <v>1911</v>
      </c>
      <c r="CU141">
        <v>5615.38</v>
      </c>
      <c r="CV141">
        <v>1684.62</v>
      </c>
      <c r="CW141" s="22"/>
    </row>
    <row r="142" spans="1:101" x14ac:dyDescent="0.25">
      <c r="A142" s="20">
        <v>632</v>
      </c>
      <c r="B142" s="17" t="s">
        <v>950</v>
      </c>
      <c r="C142" s="17" t="s">
        <v>1364</v>
      </c>
      <c r="D142" s="17" t="s">
        <v>191</v>
      </c>
      <c r="E142" s="17" t="s">
        <v>1365</v>
      </c>
      <c r="F142" s="17" t="s">
        <v>1366</v>
      </c>
      <c r="G142" s="17" t="s">
        <v>414</v>
      </c>
      <c r="H142" s="17" t="s">
        <v>1367</v>
      </c>
      <c r="I142" s="17" t="s">
        <v>414</v>
      </c>
      <c r="J142" s="17" t="s">
        <v>16</v>
      </c>
      <c r="K142" s="17" t="b">
        <v>0</v>
      </c>
      <c r="L142" s="17" t="s">
        <v>1368</v>
      </c>
      <c r="M142" s="21">
        <v>26820</v>
      </c>
      <c r="N142" s="17" t="s">
        <v>414</v>
      </c>
      <c r="O142" s="17" t="s">
        <v>17</v>
      </c>
      <c r="P142" s="17" t="s">
        <v>18</v>
      </c>
      <c r="Q142" s="17">
        <v>1</v>
      </c>
      <c r="R142" s="17" t="s">
        <v>19</v>
      </c>
      <c r="S142" s="17">
        <v>41</v>
      </c>
      <c r="T142" s="17" t="s">
        <v>1369</v>
      </c>
      <c r="U142" s="21">
        <v>42913</v>
      </c>
      <c r="V142" s="17" t="s">
        <v>61</v>
      </c>
      <c r="W142" s="21">
        <v>1.28125</v>
      </c>
      <c r="X142" s="17" t="s">
        <v>417</v>
      </c>
      <c r="Y142" s="17" t="s">
        <v>21</v>
      </c>
      <c r="Z142" s="17">
        <v>949900</v>
      </c>
      <c r="AA142" s="17" t="s">
        <v>22</v>
      </c>
      <c r="AB142" s="17" t="s">
        <v>418</v>
      </c>
      <c r="AC142" s="17">
        <v>170</v>
      </c>
      <c r="AD142" s="21">
        <v>44873</v>
      </c>
      <c r="AE142" s="21">
        <v>45244</v>
      </c>
      <c r="AF142" s="17"/>
      <c r="AG142" s="21">
        <v>45610</v>
      </c>
      <c r="AH142" s="17">
        <v>62684578</v>
      </c>
      <c r="AI142" s="21">
        <v>43005</v>
      </c>
      <c r="AJ142" s="17">
        <v>4121</v>
      </c>
      <c r="AK142" s="17">
        <v>0.29749999999999999</v>
      </c>
      <c r="AL142" s="17">
        <v>1226</v>
      </c>
      <c r="AM142" s="17" t="b">
        <v>1</v>
      </c>
      <c r="AN142" s="17" t="b">
        <v>1</v>
      </c>
      <c r="AO142" s="21">
        <v>45449</v>
      </c>
      <c r="AP142" s="21">
        <v>45449</v>
      </c>
      <c r="AQ142" s="17" t="b">
        <v>0</v>
      </c>
      <c r="AR142" s="21">
        <v>45449</v>
      </c>
      <c r="AS142" s="21">
        <v>45449</v>
      </c>
      <c r="AT142" s="21">
        <v>42913</v>
      </c>
      <c r="AU142" s="17" t="b">
        <v>0</v>
      </c>
      <c r="AV142" s="21">
        <v>43005</v>
      </c>
      <c r="AW142" s="17" t="s">
        <v>41</v>
      </c>
      <c r="AX142" s="17" t="s">
        <v>23</v>
      </c>
      <c r="AY142" s="17" t="s">
        <v>41</v>
      </c>
      <c r="AZ142" s="17" t="s">
        <v>414</v>
      </c>
      <c r="BA142" s="21">
        <v>45449</v>
      </c>
      <c r="BB142" s="17">
        <v>0</v>
      </c>
      <c r="BC142" s="17"/>
      <c r="BD142" s="17" t="b">
        <v>0</v>
      </c>
      <c r="BE142" s="17" t="s">
        <v>2167</v>
      </c>
      <c r="BF142" s="21">
        <v>45449</v>
      </c>
      <c r="BG142" s="21">
        <v>45814</v>
      </c>
      <c r="BH142" s="17"/>
      <c r="BI142" s="21">
        <v>45954</v>
      </c>
      <c r="BJ142" s="17">
        <v>0</v>
      </c>
      <c r="BK142" s="17" t="s">
        <v>418</v>
      </c>
      <c r="BL142" s="17" t="s">
        <v>443</v>
      </c>
      <c r="BM142" s="17" t="b">
        <v>1</v>
      </c>
      <c r="BN142" s="17" t="b">
        <v>0</v>
      </c>
      <c r="BO142" s="17" t="b">
        <v>1</v>
      </c>
      <c r="BP142" s="17" t="b">
        <v>1</v>
      </c>
      <c r="BQ142" s="17" t="b">
        <v>1</v>
      </c>
      <c r="BR142" s="17" t="b">
        <v>1</v>
      </c>
      <c r="BS142" s="17" t="b">
        <v>1</v>
      </c>
      <c r="BT142" s="17" t="b">
        <v>1</v>
      </c>
      <c r="BU142" s="17" t="b">
        <v>0</v>
      </c>
      <c r="BV142" s="17">
        <v>0</v>
      </c>
      <c r="BW142" s="21">
        <v>42943</v>
      </c>
      <c r="BX142" s="17" t="s">
        <v>414</v>
      </c>
      <c r="BY142" s="17" t="s">
        <v>414</v>
      </c>
      <c r="BZ142" s="17">
        <v>0</v>
      </c>
      <c r="CA142" s="21">
        <v>45951</v>
      </c>
      <c r="CB142" s="17" t="s">
        <v>438</v>
      </c>
      <c r="CC142" s="17" t="s">
        <v>2168</v>
      </c>
      <c r="CD142" s="21"/>
      <c r="CE142" s="17"/>
      <c r="CF142" s="17" t="s">
        <v>1370</v>
      </c>
      <c r="CG142" s="17" t="b">
        <v>0</v>
      </c>
      <c r="CH142" s="17" t="s">
        <v>610</v>
      </c>
      <c r="CI142" s="17">
        <v>0</v>
      </c>
      <c r="CJ142" s="21">
        <v>45851</v>
      </c>
      <c r="CK142" s="21">
        <v>45904</v>
      </c>
      <c r="CL142" s="17" t="s">
        <v>414</v>
      </c>
      <c r="CM142" s="21">
        <v>1</v>
      </c>
      <c r="CN142" s="21">
        <v>1</v>
      </c>
      <c r="CO142" s="21">
        <v>1</v>
      </c>
      <c r="CP142" s="17" t="b">
        <v>0</v>
      </c>
      <c r="CQ142" s="17" t="b">
        <v>1</v>
      </c>
      <c r="CR142" s="17" t="b">
        <v>0</v>
      </c>
      <c r="CS142">
        <v>7100</v>
      </c>
      <c r="CT142" t="s">
        <v>1913</v>
      </c>
      <c r="CU142">
        <v>5461.54</v>
      </c>
      <c r="CV142">
        <v>1638.46</v>
      </c>
      <c r="CW142" s="22"/>
    </row>
    <row r="143" spans="1:101" x14ac:dyDescent="0.25">
      <c r="A143" s="20">
        <v>633</v>
      </c>
      <c r="B143" s="17" t="s">
        <v>1371</v>
      </c>
      <c r="C143" s="17" t="s">
        <v>426</v>
      </c>
      <c r="D143" s="17" t="s">
        <v>192</v>
      </c>
      <c r="E143" s="17" t="s">
        <v>1372</v>
      </c>
      <c r="F143" s="17" t="s">
        <v>1373</v>
      </c>
      <c r="G143" s="17" t="s">
        <v>414</v>
      </c>
      <c r="H143" s="17" t="s">
        <v>512</v>
      </c>
      <c r="I143" s="17" t="s">
        <v>414</v>
      </c>
      <c r="J143" s="17" t="s">
        <v>16</v>
      </c>
      <c r="K143" s="17" t="b">
        <v>0</v>
      </c>
      <c r="L143" s="17" t="s">
        <v>1374</v>
      </c>
      <c r="M143" s="21">
        <v>26451</v>
      </c>
      <c r="N143" s="17" t="s">
        <v>414</v>
      </c>
      <c r="O143" s="17" t="s">
        <v>17</v>
      </c>
      <c r="P143" s="17" t="s">
        <v>18</v>
      </c>
      <c r="Q143" s="17">
        <v>1</v>
      </c>
      <c r="R143" s="17" t="s">
        <v>19</v>
      </c>
      <c r="S143" s="17">
        <v>41</v>
      </c>
      <c r="T143" s="17" t="s">
        <v>1369</v>
      </c>
      <c r="U143" s="21">
        <v>43556</v>
      </c>
      <c r="V143" s="17" t="s">
        <v>29</v>
      </c>
      <c r="W143" s="21">
        <v>1.4166666666666665</v>
      </c>
      <c r="X143" s="17" t="s">
        <v>29</v>
      </c>
      <c r="Y143" s="17" t="s">
        <v>21</v>
      </c>
      <c r="Z143" s="17">
        <v>949900</v>
      </c>
      <c r="AA143" s="17" t="s">
        <v>22</v>
      </c>
      <c r="AB143" s="17" t="s">
        <v>418</v>
      </c>
      <c r="AC143" s="17">
        <v>185</v>
      </c>
      <c r="AD143" s="21">
        <v>44913</v>
      </c>
      <c r="AE143" s="21">
        <v>45277</v>
      </c>
      <c r="AF143" s="17"/>
      <c r="AG143" s="21">
        <v>45643</v>
      </c>
      <c r="AH143" s="17">
        <v>50394275</v>
      </c>
      <c r="AI143" s="21">
        <v>43647</v>
      </c>
      <c r="AJ143" s="17">
        <v>4121</v>
      </c>
      <c r="AK143" s="17">
        <v>0.29749999999999999</v>
      </c>
      <c r="AL143" s="17">
        <v>1226</v>
      </c>
      <c r="AM143" s="17" t="b">
        <v>0</v>
      </c>
      <c r="AN143" s="17" t="b">
        <v>1</v>
      </c>
      <c r="AO143" s="21">
        <v>45624</v>
      </c>
      <c r="AP143" s="21">
        <v>45624</v>
      </c>
      <c r="AQ143" s="17" t="b">
        <v>0</v>
      </c>
      <c r="AR143" s="21">
        <v>45624</v>
      </c>
      <c r="AS143" s="21">
        <v>45624</v>
      </c>
      <c r="AT143" s="21">
        <v>43556</v>
      </c>
      <c r="AU143" s="17" t="b">
        <v>0</v>
      </c>
      <c r="AV143" s="21">
        <v>43647</v>
      </c>
      <c r="AW143" s="17" t="s">
        <v>23</v>
      </c>
      <c r="AX143" s="17" t="s">
        <v>41</v>
      </c>
      <c r="AY143" s="17" t="s">
        <v>23</v>
      </c>
      <c r="AZ143" s="17" t="s">
        <v>414</v>
      </c>
      <c r="BA143" s="21">
        <v>45624</v>
      </c>
      <c r="BB143" s="17">
        <v>0</v>
      </c>
      <c r="BC143" s="17"/>
      <c r="BD143" s="17" t="b">
        <v>0</v>
      </c>
      <c r="BE143" s="17" t="s">
        <v>2007</v>
      </c>
      <c r="BF143" s="21">
        <v>45624</v>
      </c>
      <c r="BG143" s="21">
        <v>45989</v>
      </c>
      <c r="BH143" s="17"/>
      <c r="BI143" s="21">
        <v>45741</v>
      </c>
      <c r="BJ143" s="17">
        <v>0</v>
      </c>
      <c r="BK143" s="17" t="s">
        <v>418</v>
      </c>
      <c r="BL143" s="17" t="s">
        <v>443</v>
      </c>
      <c r="BM143" s="17" t="b">
        <v>1</v>
      </c>
      <c r="BN143" s="17" t="b">
        <v>0</v>
      </c>
      <c r="BO143" s="17" t="b">
        <v>1</v>
      </c>
      <c r="BP143" s="17" t="b">
        <v>1</v>
      </c>
      <c r="BQ143" s="17" t="b">
        <v>0</v>
      </c>
      <c r="BR143" s="17" t="b">
        <v>1</v>
      </c>
      <c r="BS143" s="17" t="b">
        <v>0</v>
      </c>
      <c r="BT143" s="17" t="b">
        <v>0</v>
      </c>
      <c r="BU143" s="17" t="b">
        <v>0</v>
      </c>
      <c r="BV143" s="17">
        <v>0</v>
      </c>
      <c r="BW143" s="21">
        <v>43586</v>
      </c>
      <c r="BX143" s="17" t="s">
        <v>414</v>
      </c>
      <c r="BY143" s="17" t="s">
        <v>414</v>
      </c>
      <c r="BZ143" s="17">
        <v>0</v>
      </c>
      <c r="CA143" s="21">
        <v>45951</v>
      </c>
      <c r="CB143" s="17" t="s">
        <v>438</v>
      </c>
      <c r="CC143" s="17" t="s">
        <v>2169</v>
      </c>
      <c r="CD143" s="21"/>
      <c r="CE143" s="17"/>
      <c r="CF143" s="17" t="s">
        <v>1375</v>
      </c>
      <c r="CG143" s="17" t="b">
        <v>0</v>
      </c>
      <c r="CH143" s="17" t="s">
        <v>425</v>
      </c>
      <c r="CI143" s="17">
        <v>0</v>
      </c>
      <c r="CJ143" s="21">
        <v>45852</v>
      </c>
      <c r="CK143" s="21">
        <v>45904</v>
      </c>
      <c r="CL143" s="17" t="s">
        <v>414</v>
      </c>
      <c r="CM143" s="21">
        <v>1</v>
      </c>
      <c r="CN143" s="21">
        <v>1</v>
      </c>
      <c r="CO143" s="21">
        <v>1</v>
      </c>
      <c r="CP143" s="17" t="b">
        <v>0</v>
      </c>
      <c r="CQ143" s="17" t="b">
        <v>1</v>
      </c>
      <c r="CR143" s="17" t="b">
        <v>0</v>
      </c>
      <c r="CS143">
        <v>7100</v>
      </c>
      <c r="CT143" t="s">
        <v>1913</v>
      </c>
      <c r="CU143">
        <v>5461.54</v>
      </c>
      <c r="CV143">
        <v>1638.46</v>
      </c>
      <c r="CW143" s="22"/>
    </row>
    <row r="144" spans="1:101" x14ac:dyDescent="0.25">
      <c r="A144" s="20">
        <v>634</v>
      </c>
      <c r="B144" s="17" t="s">
        <v>426</v>
      </c>
      <c r="C144" s="17" t="s">
        <v>766</v>
      </c>
      <c r="D144" s="17" t="s">
        <v>193</v>
      </c>
      <c r="E144" s="17" t="s">
        <v>1376</v>
      </c>
      <c r="F144" s="17" t="s">
        <v>1377</v>
      </c>
      <c r="G144" s="17" t="s">
        <v>414</v>
      </c>
      <c r="H144" s="17" t="s">
        <v>1378</v>
      </c>
      <c r="I144" s="17" t="s">
        <v>414</v>
      </c>
      <c r="J144" s="17" t="s">
        <v>16</v>
      </c>
      <c r="K144" s="17" t="b">
        <v>0</v>
      </c>
      <c r="L144" s="17" t="s">
        <v>1379</v>
      </c>
      <c r="M144" s="21">
        <v>28089</v>
      </c>
      <c r="N144" s="17" t="s">
        <v>414</v>
      </c>
      <c r="O144" s="17" t="s">
        <v>17</v>
      </c>
      <c r="P144" s="17" t="s">
        <v>18</v>
      </c>
      <c r="Q144" s="17">
        <v>1</v>
      </c>
      <c r="R144" s="17" t="s">
        <v>19</v>
      </c>
      <c r="S144" s="17">
        <v>1</v>
      </c>
      <c r="T144" s="17" t="s">
        <v>422</v>
      </c>
      <c r="U144" s="21">
        <v>42595</v>
      </c>
      <c r="V144" s="17" t="s">
        <v>61</v>
      </c>
      <c r="W144" s="21">
        <v>1.2708333333333335</v>
      </c>
      <c r="X144" s="17" t="s">
        <v>1380</v>
      </c>
      <c r="Y144" s="17" t="s">
        <v>21</v>
      </c>
      <c r="Z144" s="17">
        <v>949900</v>
      </c>
      <c r="AA144" s="17" t="s">
        <v>22</v>
      </c>
      <c r="AB144" s="17" t="s">
        <v>418</v>
      </c>
      <c r="AC144" s="17">
        <v>49</v>
      </c>
      <c r="AD144" s="21">
        <v>43465</v>
      </c>
      <c r="AE144" s="21">
        <v>45012</v>
      </c>
      <c r="AF144" s="17"/>
      <c r="AG144" s="21">
        <v>45378</v>
      </c>
      <c r="AH144" s="17">
        <v>14652312</v>
      </c>
      <c r="AI144" s="21">
        <v>42594</v>
      </c>
      <c r="AJ144" s="17">
        <v>4121</v>
      </c>
      <c r="AK144" s="17">
        <v>0.29749999999999999</v>
      </c>
      <c r="AL144" s="17">
        <v>1226</v>
      </c>
      <c r="AM144" s="17" t="b">
        <v>1</v>
      </c>
      <c r="AN144" s="17" t="b">
        <v>1</v>
      </c>
      <c r="AO144" s="21">
        <v>45477</v>
      </c>
      <c r="AP144" s="21">
        <v>45477</v>
      </c>
      <c r="AQ144" s="17" t="b">
        <v>0</v>
      </c>
      <c r="AR144" s="21">
        <v>45477</v>
      </c>
      <c r="AS144" s="21">
        <v>45477</v>
      </c>
      <c r="AT144" s="21">
        <v>42502</v>
      </c>
      <c r="AU144" s="17" t="b">
        <v>0</v>
      </c>
      <c r="AV144" s="21">
        <v>42687</v>
      </c>
      <c r="AW144" s="17" t="s">
        <v>41</v>
      </c>
      <c r="AX144" s="17" t="s">
        <v>23</v>
      </c>
      <c r="AY144" s="17" t="s">
        <v>414</v>
      </c>
      <c r="AZ144" s="17" t="s">
        <v>414</v>
      </c>
      <c r="BA144" s="21">
        <v>45477</v>
      </c>
      <c r="BB144" s="17">
        <v>0</v>
      </c>
      <c r="BC144" s="17"/>
      <c r="BD144" s="17" t="b">
        <v>0</v>
      </c>
      <c r="BE144" s="17" t="s">
        <v>2170</v>
      </c>
      <c r="BF144" s="21">
        <v>45477</v>
      </c>
      <c r="BG144" s="21">
        <v>45842</v>
      </c>
      <c r="BH144" s="17"/>
      <c r="BI144" s="21">
        <v>48067</v>
      </c>
      <c r="BJ144" s="17">
        <v>0</v>
      </c>
      <c r="BK144" s="17" t="s">
        <v>436</v>
      </c>
      <c r="BL144" s="17" t="s">
        <v>418</v>
      </c>
      <c r="BM144" s="17" t="b">
        <v>1</v>
      </c>
      <c r="BN144" s="17" t="b">
        <v>0</v>
      </c>
      <c r="BO144" s="17" t="b">
        <v>1</v>
      </c>
      <c r="BP144" s="17" t="b">
        <v>1</v>
      </c>
      <c r="BQ144" s="17" t="b">
        <v>1</v>
      </c>
      <c r="BR144" s="17" t="b">
        <v>1</v>
      </c>
      <c r="BS144" s="17" t="b">
        <v>1</v>
      </c>
      <c r="BT144" s="17" t="b">
        <v>1</v>
      </c>
      <c r="BU144" s="17" t="b">
        <v>0</v>
      </c>
      <c r="BV144" s="17">
        <v>0</v>
      </c>
      <c r="BW144" s="21">
        <v>42626</v>
      </c>
      <c r="BX144" s="17" t="s">
        <v>414</v>
      </c>
      <c r="BY144" s="17" t="s">
        <v>414</v>
      </c>
      <c r="BZ144" s="17">
        <v>0</v>
      </c>
      <c r="CA144" s="21">
        <v>45951</v>
      </c>
      <c r="CB144" s="17" t="s">
        <v>438</v>
      </c>
      <c r="CC144" s="17" t="s">
        <v>2171</v>
      </c>
      <c r="CD144" s="21"/>
      <c r="CE144" s="17"/>
      <c r="CF144" s="17" t="s">
        <v>1381</v>
      </c>
      <c r="CG144" s="17" t="b">
        <v>0</v>
      </c>
      <c r="CH144" s="17" t="s">
        <v>425</v>
      </c>
      <c r="CI144" s="17">
        <v>0</v>
      </c>
      <c r="CJ144" s="21">
        <v>45850</v>
      </c>
      <c r="CK144" s="21">
        <v>45906</v>
      </c>
      <c r="CL144" s="17" t="s">
        <v>414</v>
      </c>
      <c r="CM144" s="21">
        <v>1</v>
      </c>
      <c r="CN144" s="21">
        <v>1</v>
      </c>
      <c r="CO144" s="21">
        <v>1</v>
      </c>
      <c r="CP144" s="17" t="b">
        <v>0</v>
      </c>
      <c r="CQ144" s="17" t="b">
        <v>1</v>
      </c>
      <c r="CR144" s="17" t="b">
        <v>0</v>
      </c>
      <c r="CS144">
        <v>7100</v>
      </c>
      <c r="CT144" t="s">
        <v>1913</v>
      </c>
      <c r="CU144">
        <v>5461.54</v>
      </c>
      <c r="CV144">
        <v>1638.46</v>
      </c>
      <c r="CW144" s="22"/>
    </row>
    <row r="145" spans="1:101" x14ac:dyDescent="0.25">
      <c r="A145" s="20">
        <v>635</v>
      </c>
      <c r="B145" s="17" t="s">
        <v>619</v>
      </c>
      <c r="C145" s="17" t="s">
        <v>559</v>
      </c>
      <c r="D145" s="17" t="s">
        <v>194</v>
      </c>
      <c r="E145" s="17" t="s">
        <v>1382</v>
      </c>
      <c r="F145" s="17" t="s">
        <v>1383</v>
      </c>
      <c r="G145" s="17" t="s">
        <v>414</v>
      </c>
      <c r="H145" s="17" t="s">
        <v>512</v>
      </c>
      <c r="I145" s="17" t="s">
        <v>414</v>
      </c>
      <c r="J145" s="17" t="s">
        <v>16</v>
      </c>
      <c r="K145" s="17" t="b">
        <v>0</v>
      </c>
      <c r="L145" s="17" t="s">
        <v>1384</v>
      </c>
      <c r="M145" s="21">
        <v>29911</v>
      </c>
      <c r="N145" s="17" t="s">
        <v>414</v>
      </c>
      <c r="O145" s="17" t="s">
        <v>17</v>
      </c>
      <c r="P145" s="17" t="s">
        <v>18</v>
      </c>
      <c r="Q145" s="17">
        <v>1</v>
      </c>
      <c r="R145" s="17" t="s">
        <v>19</v>
      </c>
      <c r="S145" s="17">
        <v>11</v>
      </c>
      <c r="T145" s="17" t="s">
        <v>782</v>
      </c>
      <c r="U145" s="21">
        <v>43391</v>
      </c>
      <c r="V145" s="17" t="s">
        <v>29</v>
      </c>
      <c r="W145" s="21">
        <v>1.0763888888888888</v>
      </c>
      <c r="X145" s="17" t="s">
        <v>513</v>
      </c>
      <c r="Y145" s="17" t="s">
        <v>21</v>
      </c>
      <c r="Z145" s="17">
        <v>949900</v>
      </c>
      <c r="AA145" s="17" t="s">
        <v>22</v>
      </c>
      <c r="AB145" s="17" t="s">
        <v>443</v>
      </c>
      <c r="AC145" s="17">
        <v>0</v>
      </c>
      <c r="AD145" s="21">
        <v>1</v>
      </c>
      <c r="AE145" s="21">
        <v>2</v>
      </c>
      <c r="AF145" s="17"/>
      <c r="AG145" s="21">
        <v>368</v>
      </c>
      <c r="AH145" s="17">
        <v>76384862</v>
      </c>
      <c r="AI145" s="21">
        <v>43647</v>
      </c>
      <c r="AJ145" s="17">
        <v>4121</v>
      </c>
      <c r="AK145" s="17">
        <v>0.29749999999999999</v>
      </c>
      <c r="AL145" s="17">
        <v>1226</v>
      </c>
      <c r="AM145" s="17" t="b">
        <v>1</v>
      </c>
      <c r="AN145" s="17" t="b">
        <v>1</v>
      </c>
      <c r="AO145" s="21">
        <v>45477</v>
      </c>
      <c r="AP145" s="21">
        <v>45477</v>
      </c>
      <c r="AQ145" s="17" t="b">
        <v>0</v>
      </c>
      <c r="AR145" s="21">
        <v>45477</v>
      </c>
      <c r="AS145" s="21">
        <v>45477</v>
      </c>
      <c r="AT145" s="21">
        <v>43556</v>
      </c>
      <c r="AU145" s="17" t="b">
        <v>0</v>
      </c>
      <c r="AV145" s="21">
        <v>43483</v>
      </c>
      <c r="AW145" s="17" t="s">
        <v>41</v>
      </c>
      <c r="AX145" s="17" t="s">
        <v>41</v>
      </c>
      <c r="AY145" s="17" t="s">
        <v>41</v>
      </c>
      <c r="AZ145" s="17" t="s">
        <v>520</v>
      </c>
      <c r="BA145" s="21">
        <v>45477</v>
      </c>
      <c r="BB145" s="17">
        <v>0</v>
      </c>
      <c r="BC145" s="17"/>
      <c r="BD145" s="17" t="b">
        <v>0</v>
      </c>
      <c r="BE145" s="17" t="s">
        <v>2172</v>
      </c>
      <c r="BF145" s="21">
        <v>45477</v>
      </c>
      <c r="BG145" s="21">
        <v>45842</v>
      </c>
      <c r="BH145" s="17"/>
      <c r="BI145" s="21">
        <v>45424</v>
      </c>
      <c r="BJ145" s="17">
        <v>0</v>
      </c>
      <c r="BK145" s="17" t="s">
        <v>443</v>
      </c>
      <c r="BL145" s="17" t="s">
        <v>418</v>
      </c>
      <c r="BM145" s="17" t="b">
        <v>1</v>
      </c>
      <c r="BN145" s="17" t="b">
        <v>0</v>
      </c>
      <c r="BO145" s="17" t="b">
        <v>1</v>
      </c>
      <c r="BP145" s="17" t="b">
        <v>1</v>
      </c>
      <c r="BQ145" s="17" t="b">
        <v>0</v>
      </c>
      <c r="BR145" s="17" t="b">
        <v>0</v>
      </c>
      <c r="BS145" s="17" t="b">
        <v>1</v>
      </c>
      <c r="BT145" s="17" t="b">
        <v>1</v>
      </c>
      <c r="BU145" s="17" t="b">
        <v>0</v>
      </c>
      <c r="BV145" s="17">
        <v>0</v>
      </c>
      <c r="BW145" s="21">
        <v>43422</v>
      </c>
      <c r="BX145" s="17" t="s">
        <v>414</v>
      </c>
      <c r="BY145" s="17" t="s">
        <v>414</v>
      </c>
      <c r="BZ145" s="17">
        <v>0</v>
      </c>
      <c r="CA145" s="21">
        <v>45951</v>
      </c>
      <c r="CB145" s="17" t="s">
        <v>438</v>
      </c>
      <c r="CC145" s="17" t="s">
        <v>2173</v>
      </c>
      <c r="CD145" s="21"/>
      <c r="CE145" s="17"/>
      <c r="CF145" s="17" t="s">
        <v>1385</v>
      </c>
      <c r="CG145" s="17" t="b">
        <v>0</v>
      </c>
      <c r="CH145" s="17" t="s">
        <v>425</v>
      </c>
      <c r="CI145" s="17">
        <v>0</v>
      </c>
      <c r="CJ145" s="21">
        <v>45843</v>
      </c>
      <c r="CK145" s="21">
        <v>1</v>
      </c>
      <c r="CL145" s="17" t="s">
        <v>414</v>
      </c>
      <c r="CM145" s="21">
        <v>1</v>
      </c>
      <c r="CN145" s="21">
        <v>1</v>
      </c>
      <c r="CO145" s="21">
        <v>1</v>
      </c>
      <c r="CP145" s="17" t="b">
        <v>0</v>
      </c>
      <c r="CQ145" s="17" t="b">
        <v>1</v>
      </c>
      <c r="CR145" s="17" t="b">
        <v>0</v>
      </c>
      <c r="CS145">
        <v>7100</v>
      </c>
      <c r="CT145" t="s">
        <v>1913</v>
      </c>
      <c r="CU145">
        <v>5461.54</v>
      </c>
      <c r="CV145">
        <v>1638.46</v>
      </c>
      <c r="CW145" s="22"/>
    </row>
    <row r="146" spans="1:101" x14ac:dyDescent="0.25">
      <c r="A146" s="20">
        <v>636</v>
      </c>
      <c r="B146" s="17" t="s">
        <v>888</v>
      </c>
      <c r="C146" s="17" t="s">
        <v>530</v>
      </c>
      <c r="D146" s="17" t="s">
        <v>195</v>
      </c>
      <c r="E146" s="17" t="s">
        <v>1386</v>
      </c>
      <c r="F146" s="17" t="s">
        <v>1387</v>
      </c>
      <c r="G146" s="17" t="s">
        <v>414</v>
      </c>
      <c r="H146" s="17" t="s">
        <v>1388</v>
      </c>
      <c r="I146" s="17" t="s">
        <v>414</v>
      </c>
      <c r="J146" s="17" t="s">
        <v>16</v>
      </c>
      <c r="K146" s="17" t="b">
        <v>0</v>
      </c>
      <c r="L146" s="17" t="s">
        <v>1389</v>
      </c>
      <c r="M146" s="21">
        <v>25658</v>
      </c>
      <c r="N146" s="17" t="s">
        <v>414</v>
      </c>
      <c r="O146" s="17" t="s">
        <v>17</v>
      </c>
      <c r="P146" s="17" t="s">
        <v>18</v>
      </c>
      <c r="Q146" s="17">
        <v>1</v>
      </c>
      <c r="R146" s="17" t="s">
        <v>19</v>
      </c>
      <c r="S146" s="17">
        <v>41</v>
      </c>
      <c r="T146" s="17" t="s">
        <v>1369</v>
      </c>
      <c r="U146" s="21">
        <v>43344</v>
      </c>
      <c r="V146" s="17" t="s">
        <v>61</v>
      </c>
      <c r="W146" s="21">
        <v>1.6180555555555554</v>
      </c>
      <c r="X146" s="17" t="s">
        <v>626</v>
      </c>
      <c r="Y146" s="17" t="s">
        <v>21</v>
      </c>
      <c r="Z146" s="17">
        <v>949900</v>
      </c>
      <c r="AA146" s="17" t="s">
        <v>22</v>
      </c>
      <c r="AB146" s="17" t="s">
        <v>418</v>
      </c>
      <c r="AC146" s="17">
        <v>198</v>
      </c>
      <c r="AD146" s="21">
        <v>45004</v>
      </c>
      <c r="AE146" s="21">
        <v>45389</v>
      </c>
      <c r="AF146" s="17"/>
      <c r="AG146" s="21">
        <v>45754</v>
      </c>
      <c r="AH146" s="17">
        <v>48420727</v>
      </c>
      <c r="AI146" s="21">
        <v>43435</v>
      </c>
      <c r="AJ146" s="17">
        <v>4121</v>
      </c>
      <c r="AK146" s="17">
        <v>0.29749999999999999</v>
      </c>
      <c r="AL146" s="17">
        <v>1226</v>
      </c>
      <c r="AM146" s="17" t="b">
        <v>1</v>
      </c>
      <c r="AN146" s="17" t="b">
        <v>1</v>
      </c>
      <c r="AO146" s="21">
        <v>45477</v>
      </c>
      <c r="AP146" s="21">
        <v>45477</v>
      </c>
      <c r="AQ146" s="17" t="b">
        <v>0</v>
      </c>
      <c r="AR146" s="21">
        <v>45477</v>
      </c>
      <c r="AS146" s="21">
        <v>45477</v>
      </c>
      <c r="AT146" s="21">
        <v>43344</v>
      </c>
      <c r="AU146" s="17" t="b">
        <v>0</v>
      </c>
      <c r="AV146" s="21">
        <v>43435</v>
      </c>
      <c r="AW146" s="17" t="s">
        <v>41</v>
      </c>
      <c r="AX146" s="17" t="s">
        <v>23</v>
      </c>
      <c r="AY146" s="17" t="s">
        <v>414</v>
      </c>
      <c r="AZ146" s="17" t="s">
        <v>414</v>
      </c>
      <c r="BA146" s="21">
        <v>45477</v>
      </c>
      <c r="BB146" s="17">
        <v>0</v>
      </c>
      <c r="BC146" s="17"/>
      <c r="BD146" s="17" t="b">
        <v>0</v>
      </c>
      <c r="BE146" s="17" t="s">
        <v>1996</v>
      </c>
      <c r="BF146" s="21">
        <v>45477</v>
      </c>
      <c r="BG146" s="21">
        <v>45842</v>
      </c>
      <c r="BH146" s="17"/>
      <c r="BI146" s="21">
        <v>47926</v>
      </c>
      <c r="BJ146" s="17">
        <v>0</v>
      </c>
      <c r="BK146" s="17" t="s">
        <v>443</v>
      </c>
      <c r="BL146" s="17" t="s">
        <v>443</v>
      </c>
      <c r="BM146" s="17" t="b">
        <v>1</v>
      </c>
      <c r="BN146" s="17" t="b">
        <v>0</v>
      </c>
      <c r="BO146" s="17" t="b">
        <v>1</v>
      </c>
      <c r="BP146" s="17" t="b">
        <v>1</v>
      </c>
      <c r="BQ146" s="17" t="b">
        <v>0</v>
      </c>
      <c r="BR146" s="17" t="b">
        <v>1</v>
      </c>
      <c r="BS146" s="17" t="b">
        <v>0</v>
      </c>
      <c r="BT146" s="17" t="b">
        <v>1</v>
      </c>
      <c r="BU146" s="17" t="b">
        <v>0</v>
      </c>
      <c r="BV146" s="17">
        <v>0</v>
      </c>
      <c r="BW146" s="21">
        <v>43374</v>
      </c>
      <c r="BX146" s="17" t="s">
        <v>414</v>
      </c>
      <c r="BY146" s="17" t="s">
        <v>414</v>
      </c>
      <c r="BZ146" s="17">
        <v>0</v>
      </c>
      <c r="CA146" s="21">
        <v>45951</v>
      </c>
      <c r="CB146" s="17" t="s">
        <v>438</v>
      </c>
      <c r="CC146" s="17" t="s">
        <v>2174</v>
      </c>
      <c r="CD146" s="21"/>
      <c r="CE146" s="17"/>
      <c r="CF146" s="17" t="s">
        <v>1390</v>
      </c>
      <c r="CG146" s="17" t="b">
        <v>0</v>
      </c>
      <c r="CH146" s="17" t="s">
        <v>425</v>
      </c>
      <c r="CI146" s="17">
        <v>0</v>
      </c>
      <c r="CJ146" s="21">
        <v>45843</v>
      </c>
      <c r="CK146" s="21">
        <v>45906</v>
      </c>
      <c r="CL146" s="17" t="s">
        <v>414</v>
      </c>
      <c r="CM146" s="21">
        <v>1</v>
      </c>
      <c r="CN146" s="21">
        <v>1</v>
      </c>
      <c r="CO146" s="21">
        <v>1</v>
      </c>
      <c r="CP146" s="17" t="b">
        <v>0</v>
      </c>
      <c r="CQ146" s="17" t="b">
        <v>1</v>
      </c>
      <c r="CR146" s="17" t="b">
        <v>0</v>
      </c>
      <c r="CS146">
        <v>7100</v>
      </c>
      <c r="CT146" t="s">
        <v>1913</v>
      </c>
      <c r="CU146">
        <v>5461.54</v>
      </c>
      <c r="CV146">
        <v>1638.46</v>
      </c>
      <c r="CW146" s="22"/>
    </row>
    <row r="147" spans="1:101" x14ac:dyDescent="0.25">
      <c r="A147" s="20">
        <v>638</v>
      </c>
      <c r="B147" s="17" t="s">
        <v>522</v>
      </c>
      <c r="C147" s="17" t="s">
        <v>1391</v>
      </c>
      <c r="D147" s="17" t="s">
        <v>196</v>
      </c>
      <c r="E147" s="17" t="s">
        <v>1392</v>
      </c>
      <c r="F147" s="17" t="s">
        <v>1393</v>
      </c>
      <c r="G147" s="17" t="s">
        <v>414</v>
      </c>
      <c r="H147" s="17" t="s">
        <v>1394</v>
      </c>
      <c r="I147" s="17" t="s">
        <v>414</v>
      </c>
      <c r="J147" s="17" t="s">
        <v>16</v>
      </c>
      <c r="K147" s="17" t="b">
        <v>0</v>
      </c>
      <c r="L147" s="17" t="s">
        <v>1395</v>
      </c>
      <c r="M147" s="21">
        <v>30037</v>
      </c>
      <c r="N147" s="17" t="s">
        <v>414</v>
      </c>
      <c r="O147" s="17" t="s">
        <v>17</v>
      </c>
      <c r="P147" s="17" t="s">
        <v>18</v>
      </c>
      <c r="Q147" s="17">
        <v>1</v>
      </c>
      <c r="R147" s="17" t="s">
        <v>19</v>
      </c>
      <c r="S147" s="17">
        <v>6</v>
      </c>
      <c r="T147" s="17" t="s">
        <v>1226</v>
      </c>
      <c r="U147" s="21">
        <v>43101</v>
      </c>
      <c r="V147" s="17" t="s">
        <v>20</v>
      </c>
      <c r="W147" s="21">
        <v>1.6180555555555554</v>
      </c>
      <c r="X147" s="17" t="s">
        <v>1396</v>
      </c>
      <c r="Y147" s="17" t="s">
        <v>21</v>
      </c>
      <c r="Z147" s="17">
        <v>949900</v>
      </c>
      <c r="AA147" s="17" t="s">
        <v>22</v>
      </c>
      <c r="AB147" s="17" t="s">
        <v>418</v>
      </c>
      <c r="AC147" s="17">
        <v>136</v>
      </c>
      <c r="AD147" s="21">
        <v>44472</v>
      </c>
      <c r="AE147" s="21">
        <v>45244</v>
      </c>
      <c r="AF147" s="17"/>
      <c r="AG147" s="21">
        <v>45610</v>
      </c>
      <c r="AH147" s="17">
        <v>65318878</v>
      </c>
      <c r="AI147" s="21">
        <v>43191</v>
      </c>
      <c r="AJ147" s="17">
        <v>4121</v>
      </c>
      <c r="AK147" s="17">
        <v>0.29749999999999999</v>
      </c>
      <c r="AL147" s="17">
        <v>1226</v>
      </c>
      <c r="AM147" s="17" t="b">
        <v>0</v>
      </c>
      <c r="AN147" s="17" t="b">
        <v>1</v>
      </c>
      <c r="AO147" s="21">
        <v>45434</v>
      </c>
      <c r="AP147" s="21">
        <v>45434</v>
      </c>
      <c r="AQ147" s="17" t="b">
        <v>0</v>
      </c>
      <c r="AR147" s="21">
        <v>45434</v>
      </c>
      <c r="AS147" s="21">
        <v>45434</v>
      </c>
      <c r="AT147" s="21">
        <v>43101</v>
      </c>
      <c r="AU147" s="17" t="b">
        <v>0</v>
      </c>
      <c r="AV147" s="21">
        <v>43191</v>
      </c>
      <c r="AW147" s="17" t="s">
        <v>41</v>
      </c>
      <c r="AX147" s="17" t="s">
        <v>41</v>
      </c>
      <c r="AY147" s="17" t="s">
        <v>41</v>
      </c>
      <c r="AZ147" s="17" t="s">
        <v>520</v>
      </c>
      <c r="BA147" s="21">
        <v>45434</v>
      </c>
      <c r="BB147" s="17">
        <v>0</v>
      </c>
      <c r="BC147" s="17"/>
      <c r="BD147" s="17" t="b">
        <v>0</v>
      </c>
      <c r="BE147" s="17" t="s">
        <v>1988</v>
      </c>
      <c r="BF147" s="21">
        <v>45434</v>
      </c>
      <c r="BG147" s="21">
        <v>45799</v>
      </c>
      <c r="BH147" s="17"/>
      <c r="BI147" s="21">
        <v>46610</v>
      </c>
      <c r="BJ147" s="17">
        <v>0</v>
      </c>
      <c r="BK147" s="17" t="s">
        <v>418</v>
      </c>
      <c r="BL147" s="17" t="s">
        <v>428</v>
      </c>
      <c r="BM147" s="17" t="b">
        <v>1</v>
      </c>
      <c r="BN147" s="17" t="b">
        <v>0</v>
      </c>
      <c r="BO147" s="17" t="b">
        <v>1</v>
      </c>
      <c r="BP147" s="17" t="b">
        <v>1</v>
      </c>
      <c r="BQ147" s="17" t="b">
        <v>0</v>
      </c>
      <c r="BR147" s="17" t="b">
        <v>1</v>
      </c>
      <c r="BS147" s="17" t="b">
        <v>0</v>
      </c>
      <c r="BT147" s="17" t="b">
        <v>1</v>
      </c>
      <c r="BU147" s="17" t="b">
        <v>0</v>
      </c>
      <c r="BV147" s="17">
        <v>0</v>
      </c>
      <c r="BW147" s="21">
        <v>43132</v>
      </c>
      <c r="BX147" s="17" t="s">
        <v>414</v>
      </c>
      <c r="BY147" s="17" t="s">
        <v>414</v>
      </c>
      <c r="BZ147" s="17">
        <v>0</v>
      </c>
      <c r="CA147" s="21">
        <v>45951</v>
      </c>
      <c r="CB147" s="17" t="s">
        <v>438</v>
      </c>
      <c r="CC147" s="17" t="s">
        <v>2175</v>
      </c>
      <c r="CD147" s="21"/>
      <c r="CE147" s="17"/>
      <c r="CF147" s="17" t="s">
        <v>1397</v>
      </c>
      <c r="CG147" s="17" t="b">
        <v>0</v>
      </c>
      <c r="CH147" s="17" t="s">
        <v>425</v>
      </c>
      <c r="CI147" s="17">
        <v>0</v>
      </c>
      <c r="CJ147" s="21">
        <v>45846</v>
      </c>
      <c r="CK147" s="21">
        <v>45906</v>
      </c>
      <c r="CL147" s="17" t="s">
        <v>414</v>
      </c>
      <c r="CM147" s="21">
        <v>1</v>
      </c>
      <c r="CN147" s="21">
        <v>1</v>
      </c>
      <c r="CO147" s="21">
        <v>1</v>
      </c>
      <c r="CP147" s="17" t="b">
        <v>0</v>
      </c>
      <c r="CQ147" s="17" t="b">
        <v>1</v>
      </c>
      <c r="CR147" s="17" t="b">
        <v>0</v>
      </c>
      <c r="CS147">
        <v>7400</v>
      </c>
      <c r="CT147" t="s">
        <v>1917</v>
      </c>
      <c r="CU147">
        <v>5692.31</v>
      </c>
      <c r="CV147">
        <v>1707.69</v>
      </c>
      <c r="CW147" s="22"/>
    </row>
    <row r="148" spans="1:101" x14ac:dyDescent="0.25">
      <c r="A148" s="20">
        <v>639</v>
      </c>
      <c r="B148" s="17" t="s">
        <v>1398</v>
      </c>
      <c r="C148" s="17" t="s">
        <v>1399</v>
      </c>
      <c r="D148" s="17" t="s">
        <v>197</v>
      </c>
      <c r="E148" s="17" t="s">
        <v>1400</v>
      </c>
      <c r="F148" s="17" t="s">
        <v>1401</v>
      </c>
      <c r="G148" s="17" t="s">
        <v>414</v>
      </c>
      <c r="H148" s="17" t="s">
        <v>421</v>
      </c>
      <c r="I148" s="17" t="s">
        <v>414</v>
      </c>
      <c r="J148" s="17" t="s">
        <v>16</v>
      </c>
      <c r="K148" s="17" t="b">
        <v>0</v>
      </c>
      <c r="L148" s="17" t="s">
        <v>1402</v>
      </c>
      <c r="M148" s="21">
        <v>37082</v>
      </c>
      <c r="N148" s="17" t="s">
        <v>414</v>
      </c>
      <c r="O148" s="17" t="s">
        <v>17</v>
      </c>
      <c r="P148" s="17" t="s">
        <v>18</v>
      </c>
      <c r="Q148" s="17">
        <v>4</v>
      </c>
      <c r="R148" s="17" t="s">
        <v>54</v>
      </c>
      <c r="S148" s="17">
        <v>4</v>
      </c>
      <c r="T148" s="17" t="s">
        <v>577</v>
      </c>
      <c r="U148" s="21">
        <v>43565</v>
      </c>
      <c r="V148" s="17" t="s">
        <v>58</v>
      </c>
      <c r="W148" s="21">
        <v>1.2361111111111112</v>
      </c>
      <c r="X148" s="17" t="s">
        <v>58</v>
      </c>
      <c r="Y148" s="17" t="s">
        <v>21</v>
      </c>
      <c r="Z148" s="17">
        <v>203100</v>
      </c>
      <c r="AA148" s="17" t="s">
        <v>55</v>
      </c>
      <c r="AB148" s="17" t="s">
        <v>418</v>
      </c>
      <c r="AC148" s="17">
        <v>186</v>
      </c>
      <c r="AD148" s="21">
        <v>44913</v>
      </c>
      <c r="AE148" s="21">
        <v>45277</v>
      </c>
      <c r="AF148" s="17"/>
      <c r="AG148" s="21">
        <v>45643</v>
      </c>
      <c r="AH148" s="17">
        <v>74097214</v>
      </c>
      <c r="AI148" s="21">
        <v>43656</v>
      </c>
      <c r="AJ148" s="17">
        <v>4115</v>
      </c>
      <c r="AK148" s="17">
        <v>0.29749999999999999</v>
      </c>
      <c r="AL148" s="17">
        <v>1224.21</v>
      </c>
      <c r="AM148" s="17" t="b">
        <v>1</v>
      </c>
      <c r="AN148" s="17" t="b">
        <v>1</v>
      </c>
      <c r="AO148" s="21">
        <v>45477</v>
      </c>
      <c r="AP148" s="21">
        <v>45477</v>
      </c>
      <c r="AQ148" s="17" t="b">
        <v>0</v>
      </c>
      <c r="AR148" s="21">
        <v>45477</v>
      </c>
      <c r="AS148" s="21">
        <v>45477</v>
      </c>
      <c r="AT148" s="21">
        <v>43565</v>
      </c>
      <c r="AU148" s="17" t="b">
        <v>0</v>
      </c>
      <c r="AV148" s="21">
        <v>43656</v>
      </c>
      <c r="AW148" s="17" t="s">
        <v>23</v>
      </c>
      <c r="AX148" s="17" t="s">
        <v>41</v>
      </c>
      <c r="AY148" s="17" t="s">
        <v>414</v>
      </c>
      <c r="AZ148" s="17" t="s">
        <v>414</v>
      </c>
      <c r="BA148" s="21">
        <v>45477</v>
      </c>
      <c r="BB148" s="17">
        <v>0</v>
      </c>
      <c r="BC148" s="17"/>
      <c r="BD148" s="17" t="b">
        <v>0</v>
      </c>
      <c r="BE148" s="17" t="s">
        <v>2176</v>
      </c>
      <c r="BF148" s="21">
        <v>45477</v>
      </c>
      <c r="BG148" s="21">
        <v>45842</v>
      </c>
      <c r="BH148" s="17"/>
      <c r="BI148" s="21">
        <v>45982</v>
      </c>
      <c r="BJ148" s="17">
        <v>0</v>
      </c>
      <c r="BK148" s="17" t="s">
        <v>443</v>
      </c>
      <c r="BL148" s="17" t="s">
        <v>443</v>
      </c>
      <c r="BM148" s="17" t="b">
        <v>1</v>
      </c>
      <c r="BN148" s="17" t="b">
        <v>1</v>
      </c>
      <c r="BO148" s="17" t="b">
        <v>1</v>
      </c>
      <c r="BP148" s="17" t="b">
        <v>1</v>
      </c>
      <c r="BQ148" s="17" t="b">
        <v>1</v>
      </c>
      <c r="BR148" s="17" t="b">
        <v>1</v>
      </c>
      <c r="BS148" s="17" t="b">
        <v>0</v>
      </c>
      <c r="BT148" s="17" t="b">
        <v>1</v>
      </c>
      <c r="BU148" s="17" t="b">
        <v>0</v>
      </c>
      <c r="BV148" s="17">
        <v>0</v>
      </c>
      <c r="BW148" s="21">
        <v>43595</v>
      </c>
      <c r="BX148" s="17" t="s">
        <v>414</v>
      </c>
      <c r="BY148" s="17" t="s">
        <v>414</v>
      </c>
      <c r="BZ148" s="17">
        <v>0</v>
      </c>
      <c r="CA148" s="21">
        <v>45951</v>
      </c>
      <c r="CB148" s="17" t="s">
        <v>438</v>
      </c>
      <c r="CC148" s="17" t="s">
        <v>2177</v>
      </c>
      <c r="CD148" s="21"/>
      <c r="CE148" s="17"/>
      <c r="CF148" s="17" t="s">
        <v>1403</v>
      </c>
      <c r="CG148" s="17" t="b">
        <v>0</v>
      </c>
      <c r="CH148" s="17" t="s">
        <v>425</v>
      </c>
      <c r="CI148" s="17">
        <v>0</v>
      </c>
      <c r="CJ148" s="21">
        <v>45846</v>
      </c>
      <c r="CK148" s="21">
        <v>45906</v>
      </c>
      <c r="CL148" s="17" t="s">
        <v>414</v>
      </c>
      <c r="CM148" s="21">
        <v>1</v>
      </c>
      <c r="CN148" s="21">
        <v>1</v>
      </c>
      <c r="CO148" s="21">
        <v>1</v>
      </c>
      <c r="CP148" s="17" t="b">
        <v>0</v>
      </c>
      <c r="CQ148" s="17" t="b">
        <v>1</v>
      </c>
      <c r="CR148" s="17" t="b">
        <v>0</v>
      </c>
      <c r="CS148">
        <v>7300</v>
      </c>
      <c r="CT148" t="s">
        <v>1911</v>
      </c>
      <c r="CU148">
        <v>5615.38</v>
      </c>
      <c r="CV148">
        <v>1684.62</v>
      </c>
      <c r="CW148" s="22"/>
    </row>
    <row r="149" spans="1:101" x14ac:dyDescent="0.25">
      <c r="A149" s="20">
        <v>640</v>
      </c>
      <c r="B149" s="17" t="s">
        <v>420</v>
      </c>
      <c r="C149" s="17" t="s">
        <v>806</v>
      </c>
      <c r="D149" s="17" t="s">
        <v>198</v>
      </c>
      <c r="E149" s="17" t="s">
        <v>1404</v>
      </c>
      <c r="F149" s="17" t="s">
        <v>1405</v>
      </c>
      <c r="G149" s="17" t="s">
        <v>414</v>
      </c>
      <c r="H149" s="17" t="s">
        <v>1406</v>
      </c>
      <c r="I149" s="17" t="s">
        <v>414</v>
      </c>
      <c r="J149" s="17" t="s">
        <v>16</v>
      </c>
      <c r="K149" s="17" t="b">
        <v>0</v>
      </c>
      <c r="L149" s="17" t="s">
        <v>1407</v>
      </c>
      <c r="M149" s="21">
        <v>33822</v>
      </c>
      <c r="N149" s="17" t="s">
        <v>414</v>
      </c>
      <c r="O149" s="17" t="s">
        <v>17</v>
      </c>
      <c r="P149" s="17" t="s">
        <v>18</v>
      </c>
      <c r="Q149" s="17">
        <v>4</v>
      </c>
      <c r="R149" s="17" t="s">
        <v>54</v>
      </c>
      <c r="S149" s="17">
        <v>4</v>
      </c>
      <c r="T149" s="17" t="s">
        <v>577</v>
      </c>
      <c r="U149" s="21">
        <v>43208</v>
      </c>
      <c r="V149" s="17" t="s">
        <v>58</v>
      </c>
      <c r="W149" s="21">
        <v>1.2513888888888891</v>
      </c>
      <c r="X149" s="17" t="s">
        <v>1408</v>
      </c>
      <c r="Y149" s="17" t="s">
        <v>21</v>
      </c>
      <c r="Z149" s="17">
        <v>203100</v>
      </c>
      <c r="AA149" s="17" t="s">
        <v>55</v>
      </c>
      <c r="AB149" s="17" t="s">
        <v>418</v>
      </c>
      <c r="AC149" s="17">
        <v>243</v>
      </c>
      <c r="AD149" s="21">
        <v>45245</v>
      </c>
      <c r="AE149" s="21">
        <v>45245</v>
      </c>
      <c r="AF149" s="17"/>
      <c r="AG149" s="21">
        <v>45611</v>
      </c>
      <c r="AH149" s="17">
        <v>74838129</v>
      </c>
      <c r="AI149" s="21">
        <v>43299</v>
      </c>
      <c r="AJ149" s="17">
        <v>4115</v>
      </c>
      <c r="AK149" s="17">
        <v>0.29749999999999999</v>
      </c>
      <c r="AL149" s="17">
        <v>1224.21</v>
      </c>
      <c r="AM149" s="17" t="b">
        <v>1</v>
      </c>
      <c r="AN149" s="17" t="b">
        <v>1</v>
      </c>
      <c r="AO149" s="21">
        <v>45477</v>
      </c>
      <c r="AP149" s="21">
        <v>45477</v>
      </c>
      <c r="AQ149" s="17" t="b">
        <v>0</v>
      </c>
      <c r="AR149" s="21">
        <v>45477</v>
      </c>
      <c r="AS149" s="21">
        <v>45477</v>
      </c>
      <c r="AT149" s="21">
        <v>43208</v>
      </c>
      <c r="AU149" s="17" t="b">
        <v>0</v>
      </c>
      <c r="AV149" s="21">
        <v>43299</v>
      </c>
      <c r="AW149" s="17" t="s">
        <v>23</v>
      </c>
      <c r="AX149" s="17" t="s">
        <v>41</v>
      </c>
      <c r="AY149" s="17" t="s">
        <v>23</v>
      </c>
      <c r="AZ149" s="17" t="s">
        <v>414</v>
      </c>
      <c r="BA149" s="21">
        <v>45477</v>
      </c>
      <c r="BB149" s="17">
        <v>0</v>
      </c>
      <c r="BC149" s="17"/>
      <c r="BD149" s="17" t="b">
        <v>0</v>
      </c>
      <c r="BE149" s="17" t="s">
        <v>2100</v>
      </c>
      <c r="BF149" s="21">
        <v>45477</v>
      </c>
      <c r="BG149" s="21">
        <v>45842</v>
      </c>
      <c r="BH149" s="17"/>
      <c r="BI149" s="21">
        <v>45727</v>
      </c>
      <c r="BJ149" s="17">
        <v>0</v>
      </c>
      <c r="BK149" s="17" t="s">
        <v>418</v>
      </c>
      <c r="BL149" s="17" t="s">
        <v>418</v>
      </c>
      <c r="BM149" s="17" t="b">
        <v>1</v>
      </c>
      <c r="BN149" s="17" t="b">
        <v>1</v>
      </c>
      <c r="BO149" s="17" t="b">
        <v>1</v>
      </c>
      <c r="BP149" s="17" t="b">
        <v>0</v>
      </c>
      <c r="BQ149" s="17" t="b">
        <v>1</v>
      </c>
      <c r="BR149" s="17" t="b">
        <v>1</v>
      </c>
      <c r="BS149" s="17" t="b">
        <v>1</v>
      </c>
      <c r="BT149" s="17" t="b">
        <v>1</v>
      </c>
      <c r="BU149" s="17" t="b">
        <v>1</v>
      </c>
      <c r="BV149" s="17">
        <v>0</v>
      </c>
      <c r="BW149" s="21">
        <v>43238</v>
      </c>
      <c r="BX149" s="17" t="s">
        <v>414</v>
      </c>
      <c r="BY149" s="17" t="s">
        <v>414</v>
      </c>
      <c r="BZ149" s="17">
        <v>0</v>
      </c>
      <c r="CA149" s="21">
        <v>45951</v>
      </c>
      <c r="CB149" s="17" t="s">
        <v>438</v>
      </c>
      <c r="CC149" s="17" t="s">
        <v>2178</v>
      </c>
      <c r="CD149" s="21"/>
      <c r="CE149" s="17"/>
      <c r="CF149" s="17" t="s">
        <v>1409</v>
      </c>
      <c r="CG149" s="17" t="b">
        <v>0</v>
      </c>
      <c r="CH149" s="17" t="s">
        <v>425</v>
      </c>
      <c r="CI149" s="17">
        <v>0</v>
      </c>
      <c r="CJ149" s="21">
        <v>45839</v>
      </c>
      <c r="CK149" s="21">
        <v>45906</v>
      </c>
      <c r="CL149" s="17" t="s">
        <v>414</v>
      </c>
      <c r="CM149" s="21">
        <v>1</v>
      </c>
      <c r="CN149" s="21">
        <v>1</v>
      </c>
      <c r="CO149" s="21">
        <v>1</v>
      </c>
      <c r="CP149" s="17" t="b">
        <v>0</v>
      </c>
      <c r="CQ149" s="17" t="b">
        <v>1</v>
      </c>
      <c r="CR149" s="17" t="b">
        <v>0</v>
      </c>
      <c r="CS149">
        <v>7300</v>
      </c>
      <c r="CT149" t="s">
        <v>1911</v>
      </c>
      <c r="CU149">
        <v>5615.38</v>
      </c>
      <c r="CV149">
        <v>1684.62</v>
      </c>
      <c r="CW149" s="22"/>
    </row>
    <row r="150" spans="1:101" x14ac:dyDescent="0.25">
      <c r="A150" s="20">
        <v>643</v>
      </c>
      <c r="B150" s="17" t="s">
        <v>440</v>
      </c>
      <c r="C150" s="17" t="s">
        <v>1410</v>
      </c>
      <c r="D150" s="17" t="s">
        <v>199</v>
      </c>
      <c r="E150" s="17" t="s">
        <v>1411</v>
      </c>
      <c r="F150" s="17" t="s">
        <v>1412</v>
      </c>
      <c r="G150" s="17" t="s">
        <v>414</v>
      </c>
      <c r="H150" s="17" t="s">
        <v>1413</v>
      </c>
      <c r="I150" s="17" t="s">
        <v>414</v>
      </c>
      <c r="J150" s="17" t="s">
        <v>16</v>
      </c>
      <c r="K150" s="17" t="b">
        <v>0</v>
      </c>
      <c r="L150" s="17" t="s">
        <v>1414</v>
      </c>
      <c r="M150" s="21">
        <v>32356</v>
      </c>
      <c r="N150" s="17" t="s">
        <v>414</v>
      </c>
      <c r="O150" s="17" t="s">
        <v>17</v>
      </c>
      <c r="P150" s="17" t="s">
        <v>18</v>
      </c>
      <c r="Q150" s="17">
        <v>8</v>
      </c>
      <c r="R150" s="17" t="s">
        <v>107</v>
      </c>
      <c r="S150" s="17">
        <v>40</v>
      </c>
      <c r="T150" s="17" t="s">
        <v>188</v>
      </c>
      <c r="U150" s="21">
        <v>43208</v>
      </c>
      <c r="V150" s="17" t="s">
        <v>20</v>
      </c>
      <c r="W150" s="21">
        <v>1</v>
      </c>
      <c r="X150" s="17" t="s">
        <v>1415</v>
      </c>
      <c r="Y150" s="17" t="s">
        <v>21</v>
      </c>
      <c r="Z150" s="17">
        <v>585900</v>
      </c>
      <c r="AA150" s="17" t="s">
        <v>200</v>
      </c>
      <c r="AB150" s="17" t="s">
        <v>418</v>
      </c>
      <c r="AC150" s="17">
        <v>114</v>
      </c>
      <c r="AD150" s="21">
        <v>43549</v>
      </c>
      <c r="AE150" s="21">
        <v>45389</v>
      </c>
      <c r="AF150" s="17"/>
      <c r="AG150" s="21">
        <v>45754</v>
      </c>
      <c r="AH150" s="17">
        <v>10852329</v>
      </c>
      <c r="AI150" s="21">
        <v>45931</v>
      </c>
      <c r="AJ150" s="17">
        <v>4115</v>
      </c>
      <c r="AK150" s="17">
        <v>0.29749999999999999</v>
      </c>
      <c r="AL150" s="17">
        <v>1224.21</v>
      </c>
      <c r="AM150" s="17" t="b">
        <v>1</v>
      </c>
      <c r="AN150" s="17" t="b">
        <v>1</v>
      </c>
      <c r="AO150" s="21">
        <v>45398</v>
      </c>
      <c r="AP150" s="21">
        <v>45398</v>
      </c>
      <c r="AQ150" s="17" t="b">
        <v>0</v>
      </c>
      <c r="AR150" s="21">
        <v>45398</v>
      </c>
      <c r="AS150" s="21">
        <v>45398</v>
      </c>
      <c r="AT150" s="21">
        <v>45839</v>
      </c>
      <c r="AU150" s="17" t="b">
        <v>0</v>
      </c>
      <c r="AV150" s="21">
        <v>43299</v>
      </c>
      <c r="AW150" s="17" t="s">
        <v>23</v>
      </c>
      <c r="AX150" s="17" t="s">
        <v>23</v>
      </c>
      <c r="AY150" s="17" t="s">
        <v>414</v>
      </c>
      <c r="AZ150" s="17" t="s">
        <v>450</v>
      </c>
      <c r="BA150" s="21">
        <v>45398</v>
      </c>
      <c r="BB150" s="17">
        <v>14043</v>
      </c>
      <c r="BC150" s="17"/>
      <c r="BD150" s="17" t="b">
        <v>0</v>
      </c>
      <c r="BE150" s="17" t="s">
        <v>2100</v>
      </c>
      <c r="BF150" s="21">
        <v>45398</v>
      </c>
      <c r="BG150" s="21">
        <v>45763</v>
      </c>
      <c r="BH150" s="17"/>
      <c r="BI150" s="21">
        <v>46670</v>
      </c>
      <c r="BJ150" s="17">
        <v>0</v>
      </c>
      <c r="BK150" s="17" t="s">
        <v>423</v>
      </c>
      <c r="BL150" s="17" t="s">
        <v>428</v>
      </c>
      <c r="BM150" s="17" t="b">
        <v>1</v>
      </c>
      <c r="BN150" s="17" t="b">
        <v>0</v>
      </c>
      <c r="BO150" s="17" t="b">
        <v>1</v>
      </c>
      <c r="BP150" s="17" t="b">
        <v>1</v>
      </c>
      <c r="BQ150" s="17" t="b">
        <v>1</v>
      </c>
      <c r="BR150" s="17" t="b">
        <v>1</v>
      </c>
      <c r="BS150" s="17" t="b">
        <v>1</v>
      </c>
      <c r="BT150" s="17" t="b">
        <v>0</v>
      </c>
      <c r="BU150" s="17" t="b">
        <v>0</v>
      </c>
      <c r="BV150" s="17">
        <v>0</v>
      </c>
      <c r="BW150" s="21">
        <v>43238</v>
      </c>
      <c r="BX150" s="17" t="s">
        <v>414</v>
      </c>
      <c r="BY150" s="17" t="s">
        <v>414</v>
      </c>
      <c r="BZ150" s="17">
        <v>0</v>
      </c>
      <c r="CA150" s="21">
        <v>45951</v>
      </c>
      <c r="CB150" s="17" t="s">
        <v>419</v>
      </c>
      <c r="CC150" s="17" t="s">
        <v>2179</v>
      </c>
      <c r="CD150" s="21"/>
      <c r="CE150" s="17"/>
      <c r="CF150" s="17" t="s">
        <v>1416</v>
      </c>
      <c r="CG150" s="17" t="b">
        <v>0</v>
      </c>
      <c r="CH150" s="17" t="s">
        <v>425</v>
      </c>
      <c r="CI150" s="17">
        <v>0</v>
      </c>
      <c r="CJ150" s="21">
        <v>45839</v>
      </c>
      <c r="CK150" s="21">
        <v>45931</v>
      </c>
      <c r="CL150" s="17" t="s">
        <v>414</v>
      </c>
      <c r="CM150" s="21">
        <v>1</v>
      </c>
      <c r="CN150" s="21">
        <v>1</v>
      </c>
      <c r="CO150" s="21">
        <v>1</v>
      </c>
      <c r="CP150" s="17" t="b">
        <v>0</v>
      </c>
      <c r="CQ150" s="17" t="b">
        <v>1</v>
      </c>
      <c r="CR150" s="17" t="b">
        <v>0</v>
      </c>
      <c r="CS150">
        <v>7300</v>
      </c>
      <c r="CT150" t="s">
        <v>1911</v>
      </c>
      <c r="CU150">
        <v>5615.38</v>
      </c>
      <c r="CV150">
        <v>1684.62</v>
      </c>
      <c r="CW150" s="22"/>
    </row>
    <row r="151" spans="1:101" x14ac:dyDescent="0.25">
      <c r="A151" s="20">
        <v>645</v>
      </c>
      <c r="B151" s="17" t="s">
        <v>420</v>
      </c>
      <c r="C151" s="17" t="s">
        <v>426</v>
      </c>
      <c r="D151" s="17" t="s">
        <v>201</v>
      </c>
      <c r="E151" s="17" t="s">
        <v>1417</v>
      </c>
      <c r="F151" s="17" t="s">
        <v>1418</v>
      </c>
      <c r="G151" s="17" t="s">
        <v>1419</v>
      </c>
      <c r="H151" s="17" t="s">
        <v>1420</v>
      </c>
      <c r="I151" s="17" t="s">
        <v>414</v>
      </c>
      <c r="J151" s="17" t="s">
        <v>16</v>
      </c>
      <c r="K151" s="17" t="b">
        <v>0</v>
      </c>
      <c r="L151" s="17" t="s">
        <v>1421</v>
      </c>
      <c r="M151" s="21">
        <v>31617</v>
      </c>
      <c r="N151" s="17" t="s">
        <v>414</v>
      </c>
      <c r="O151" s="17" t="s">
        <v>17</v>
      </c>
      <c r="P151" s="17" t="s">
        <v>18</v>
      </c>
      <c r="Q151" s="17">
        <v>8</v>
      </c>
      <c r="R151" s="17" t="s">
        <v>107</v>
      </c>
      <c r="S151" s="17">
        <v>40</v>
      </c>
      <c r="T151" s="17" t="s">
        <v>188</v>
      </c>
      <c r="U151" s="21">
        <v>43344</v>
      </c>
      <c r="V151" s="17" t="s">
        <v>29</v>
      </c>
      <c r="W151" s="21">
        <v>1</v>
      </c>
      <c r="X151" s="17" t="s">
        <v>661</v>
      </c>
      <c r="Y151" s="17" t="s">
        <v>21</v>
      </c>
      <c r="Z151" s="17">
        <v>203300</v>
      </c>
      <c r="AA151" s="17" t="s">
        <v>188</v>
      </c>
      <c r="AB151" s="17" t="s">
        <v>418</v>
      </c>
      <c r="AC151" s="17">
        <v>123</v>
      </c>
      <c r="AD151" s="21">
        <v>44425</v>
      </c>
      <c r="AE151" s="21">
        <v>45159</v>
      </c>
      <c r="AF151" s="17"/>
      <c r="AG151" s="21">
        <v>45525</v>
      </c>
      <c r="AH151" s="17">
        <v>58378426</v>
      </c>
      <c r="AI151" s="21">
        <v>45931</v>
      </c>
      <c r="AJ151" s="17">
        <v>4115</v>
      </c>
      <c r="AK151" s="17">
        <v>0.29749999999999999</v>
      </c>
      <c r="AL151" s="17">
        <v>1224.21</v>
      </c>
      <c r="AM151" s="17" t="b">
        <v>1</v>
      </c>
      <c r="AN151" s="17" t="b">
        <v>1</v>
      </c>
      <c r="AO151" s="21">
        <v>45398</v>
      </c>
      <c r="AP151" s="21">
        <v>45398</v>
      </c>
      <c r="AQ151" s="17" t="b">
        <v>0</v>
      </c>
      <c r="AR151" s="21">
        <v>45398</v>
      </c>
      <c r="AS151" s="21">
        <v>45398</v>
      </c>
      <c r="AT151" s="21">
        <v>45839</v>
      </c>
      <c r="AU151" s="17" t="b">
        <v>0</v>
      </c>
      <c r="AV151" s="21">
        <v>43435</v>
      </c>
      <c r="AW151" s="17" t="s">
        <v>23</v>
      </c>
      <c r="AX151" s="17" t="s">
        <v>23</v>
      </c>
      <c r="AY151" s="17" t="s">
        <v>414</v>
      </c>
      <c r="AZ151" s="17" t="s">
        <v>450</v>
      </c>
      <c r="BA151" s="21">
        <v>45398</v>
      </c>
      <c r="BB151" s="17">
        <v>0</v>
      </c>
      <c r="BC151" s="17"/>
      <c r="BD151" s="17" t="b">
        <v>0</v>
      </c>
      <c r="BE151" s="17" t="s">
        <v>1996</v>
      </c>
      <c r="BF151" s="21">
        <v>45398</v>
      </c>
      <c r="BG151" s="21">
        <v>45763</v>
      </c>
      <c r="BH151" s="17"/>
      <c r="BI151" s="21">
        <v>44468</v>
      </c>
      <c r="BJ151" s="17">
        <v>0</v>
      </c>
      <c r="BK151" s="17" t="s">
        <v>418</v>
      </c>
      <c r="BL151" s="17" t="s">
        <v>418</v>
      </c>
      <c r="BM151" s="17" t="b">
        <v>1</v>
      </c>
      <c r="BN151" s="17" t="b">
        <v>0</v>
      </c>
      <c r="BO151" s="17" t="b">
        <v>1</v>
      </c>
      <c r="BP151" s="17" t="b">
        <v>1</v>
      </c>
      <c r="BQ151" s="17" t="b">
        <v>1</v>
      </c>
      <c r="BR151" s="17" t="b">
        <v>1</v>
      </c>
      <c r="BS151" s="17" t="b">
        <v>0</v>
      </c>
      <c r="BT151" s="17" t="b">
        <v>1</v>
      </c>
      <c r="BU151" s="17" t="b">
        <v>0</v>
      </c>
      <c r="BV151" s="17">
        <v>0</v>
      </c>
      <c r="BW151" s="21">
        <v>43374</v>
      </c>
      <c r="BX151" s="17" t="s">
        <v>414</v>
      </c>
      <c r="BY151" s="17" t="s">
        <v>414</v>
      </c>
      <c r="BZ151" s="17">
        <v>0</v>
      </c>
      <c r="CA151" s="21">
        <v>45951</v>
      </c>
      <c r="CB151" s="17" t="s">
        <v>419</v>
      </c>
      <c r="CC151" s="17" t="s">
        <v>2180</v>
      </c>
      <c r="CD151" s="21"/>
      <c r="CE151" s="17"/>
      <c r="CF151" s="17" t="s">
        <v>1422</v>
      </c>
      <c r="CG151" s="17" t="b">
        <v>0</v>
      </c>
      <c r="CH151" s="17" t="s">
        <v>425</v>
      </c>
      <c r="CI151" s="17">
        <v>0</v>
      </c>
      <c r="CJ151" s="21">
        <v>45845</v>
      </c>
      <c r="CK151" s="21">
        <v>45931</v>
      </c>
      <c r="CL151" s="17" t="s">
        <v>414</v>
      </c>
      <c r="CM151" s="21">
        <v>1</v>
      </c>
      <c r="CN151" s="21">
        <v>1</v>
      </c>
      <c r="CO151" s="21">
        <v>1</v>
      </c>
      <c r="CP151" s="17" t="b">
        <v>0</v>
      </c>
      <c r="CQ151" s="17" t="b">
        <v>1</v>
      </c>
      <c r="CR151" s="17" t="b">
        <v>0</v>
      </c>
      <c r="CS151">
        <v>7400</v>
      </c>
      <c r="CT151" t="s">
        <v>1917</v>
      </c>
      <c r="CU151">
        <v>5692.31</v>
      </c>
      <c r="CV151">
        <v>1707.69</v>
      </c>
      <c r="CW151" s="22"/>
    </row>
    <row r="152" spans="1:101" x14ac:dyDescent="0.25">
      <c r="A152" s="20">
        <v>646</v>
      </c>
      <c r="B152" s="17" t="s">
        <v>420</v>
      </c>
      <c r="C152" s="17" t="s">
        <v>568</v>
      </c>
      <c r="D152" s="17" t="s">
        <v>202</v>
      </c>
      <c r="E152" s="17" t="s">
        <v>1423</v>
      </c>
      <c r="F152" s="17" t="s">
        <v>1424</v>
      </c>
      <c r="G152" s="17" t="s">
        <v>414</v>
      </c>
      <c r="H152" s="17" t="s">
        <v>566</v>
      </c>
      <c r="I152" s="17" t="s">
        <v>414</v>
      </c>
      <c r="J152" s="17" t="s">
        <v>16</v>
      </c>
      <c r="K152" s="17" t="b">
        <v>0</v>
      </c>
      <c r="L152" s="17" t="s">
        <v>1425</v>
      </c>
      <c r="M152" s="21">
        <v>36617</v>
      </c>
      <c r="N152" s="17" t="s">
        <v>901</v>
      </c>
      <c r="O152" s="17" t="s">
        <v>17</v>
      </c>
      <c r="P152" s="17" t="s">
        <v>18</v>
      </c>
      <c r="Q152" s="17">
        <v>4</v>
      </c>
      <c r="R152" s="17" t="s">
        <v>54</v>
      </c>
      <c r="S152" s="17">
        <v>4</v>
      </c>
      <c r="T152" s="17" t="s">
        <v>577</v>
      </c>
      <c r="U152" s="21">
        <v>43466</v>
      </c>
      <c r="V152" s="17" t="s">
        <v>110</v>
      </c>
      <c r="W152" s="21">
        <v>1.25</v>
      </c>
      <c r="X152" s="17" t="s">
        <v>110</v>
      </c>
      <c r="Y152" s="17" t="s">
        <v>21</v>
      </c>
      <c r="Z152" s="17">
        <v>203100</v>
      </c>
      <c r="AA152" s="17" t="s">
        <v>55</v>
      </c>
      <c r="AB152" s="17" t="s">
        <v>418</v>
      </c>
      <c r="AC152" s="17">
        <v>187</v>
      </c>
      <c r="AD152" s="21">
        <v>45004</v>
      </c>
      <c r="AE152" s="21">
        <v>45403</v>
      </c>
      <c r="AF152" s="17"/>
      <c r="AG152" s="21">
        <v>45768</v>
      </c>
      <c r="AH152" s="17">
        <v>54733155</v>
      </c>
      <c r="AI152" s="21">
        <v>44378</v>
      </c>
      <c r="AJ152" s="17">
        <v>4115</v>
      </c>
      <c r="AK152" s="17">
        <v>0.29749999999999999</v>
      </c>
      <c r="AL152" s="17">
        <v>1224.21</v>
      </c>
      <c r="AM152" s="17" t="b">
        <v>1</v>
      </c>
      <c r="AN152" s="17" t="b">
        <v>1</v>
      </c>
      <c r="AO152" s="21">
        <v>44516</v>
      </c>
      <c r="AP152" s="21">
        <v>44529</v>
      </c>
      <c r="AQ152" s="17" t="b">
        <v>0</v>
      </c>
      <c r="AR152" s="21">
        <v>45477</v>
      </c>
      <c r="AS152" s="21">
        <v>45477</v>
      </c>
      <c r="AT152" s="21">
        <v>44287</v>
      </c>
      <c r="AU152" s="17" t="b">
        <v>0</v>
      </c>
      <c r="AV152" s="21">
        <v>43556</v>
      </c>
      <c r="AW152" s="17" t="s">
        <v>23</v>
      </c>
      <c r="AX152" s="17" t="s">
        <v>41</v>
      </c>
      <c r="AY152" s="17" t="s">
        <v>414</v>
      </c>
      <c r="AZ152" s="17" t="s">
        <v>414</v>
      </c>
      <c r="BA152" s="21">
        <v>45477</v>
      </c>
      <c r="BB152" s="17">
        <v>0</v>
      </c>
      <c r="BC152" s="17"/>
      <c r="BD152" s="17" t="b">
        <v>0</v>
      </c>
      <c r="BE152" s="17" t="s">
        <v>2030</v>
      </c>
      <c r="BF152" s="21">
        <v>45477</v>
      </c>
      <c r="BG152" s="21">
        <v>45842</v>
      </c>
      <c r="BH152" s="17"/>
      <c r="BI152" s="21">
        <v>47281</v>
      </c>
      <c r="BJ152" s="17">
        <v>0</v>
      </c>
      <c r="BK152" s="17" t="s">
        <v>418</v>
      </c>
      <c r="BL152" s="17" t="s">
        <v>459</v>
      </c>
      <c r="BM152" s="17" t="b">
        <v>1</v>
      </c>
      <c r="BN152" s="17" t="b">
        <v>1</v>
      </c>
      <c r="BO152" s="17" t="b">
        <v>1</v>
      </c>
      <c r="BP152" s="17" t="b">
        <v>1</v>
      </c>
      <c r="BQ152" s="17" t="b">
        <v>1</v>
      </c>
      <c r="BR152" s="17" t="b">
        <v>1</v>
      </c>
      <c r="BS152" s="17" t="b">
        <v>1</v>
      </c>
      <c r="BT152" s="17" t="b">
        <v>1</v>
      </c>
      <c r="BU152" s="17" t="b">
        <v>1</v>
      </c>
      <c r="BV152" s="17">
        <v>0</v>
      </c>
      <c r="BW152" s="21">
        <v>43497</v>
      </c>
      <c r="BX152" s="17" t="s">
        <v>414</v>
      </c>
      <c r="BY152" s="17" t="s">
        <v>414</v>
      </c>
      <c r="BZ152" s="17">
        <v>0</v>
      </c>
      <c r="CA152" s="21">
        <v>45951</v>
      </c>
      <c r="CB152" s="17" t="s">
        <v>438</v>
      </c>
      <c r="CC152" s="17" t="s">
        <v>2181</v>
      </c>
      <c r="CD152" s="21"/>
      <c r="CE152" s="17"/>
      <c r="CF152" s="17" t="s">
        <v>1426</v>
      </c>
      <c r="CG152" s="17" t="b">
        <v>0</v>
      </c>
      <c r="CH152" s="17" t="s">
        <v>425</v>
      </c>
      <c r="CI152" s="17">
        <v>0</v>
      </c>
      <c r="CJ152" s="21">
        <v>45846</v>
      </c>
      <c r="CK152" s="21">
        <v>45906</v>
      </c>
      <c r="CL152" s="17" t="s">
        <v>414</v>
      </c>
      <c r="CM152" s="21">
        <v>1</v>
      </c>
      <c r="CN152" s="21">
        <v>1</v>
      </c>
      <c r="CO152" s="21">
        <v>1</v>
      </c>
      <c r="CP152" s="17" t="b">
        <v>0</v>
      </c>
      <c r="CQ152" s="17" t="b">
        <v>1</v>
      </c>
      <c r="CR152" s="17" t="b">
        <v>0</v>
      </c>
      <c r="CS152">
        <v>7400</v>
      </c>
      <c r="CT152" t="s">
        <v>1917</v>
      </c>
      <c r="CU152">
        <v>5692.31</v>
      </c>
      <c r="CV152">
        <v>1707.69</v>
      </c>
      <c r="CW152" s="22"/>
    </row>
    <row r="153" spans="1:101" x14ac:dyDescent="0.25">
      <c r="A153" s="20">
        <v>647</v>
      </c>
      <c r="B153" s="17" t="s">
        <v>862</v>
      </c>
      <c r="C153" s="17" t="s">
        <v>1351</v>
      </c>
      <c r="D153" s="17" t="s">
        <v>203</v>
      </c>
      <c r="E153" s="17" t="s">
        <v>1427</v>
      </c>
      <c r="F153" s="17" t="s">
        <v>1428</v>
      </c>
      <c r="G153" s="17" t="s">
        <v>414</v>
      </c>
      <c r="H153" s="17" t="s">
        <v>1429</v>
      </c>
      <c r="I153" s="17" t="s">
        <v>414</v>
      </c>
      <c r="J153" s="17" t="s">
        <v>16</v>
      </c>
      <c r="K153" s="17" t="b">
        <v>0</v>
      </c>
      <c r="L153" s="17" t="s">
        <v>1430</v>
      </c>
      <c r="M153" s="21">
        <v>32221</v>
      </c>
      <c r="N153" s="17" t="s">
        <v>414</v>
      </c>
      <c r="O153" s="17" t="s">
        <v>17</v>
      </c>
      <c r="P153" s="17" t="s">
        <v>18</v>
      </c>
      <c r="Q153" s="17">
        <v>3</v>
      </c>
      <c r="R153" s="17" t="s">
        <v>156</v>
      </c>
      <c r="S153" s="17">
        <v>37</v>
      </c>
      <c r="T153" s="17" t="s">
        <v>1314</v>
      </c>
      <c r="U153" s="21">
        <v>42585</v>
      </c>
      <c r="V153" s="17" t="s">
        <v>20</v>
      </c>
      <c r="W153" s="21">
        <v>1.2916666666666665</v>
      </c>
      <c r="X153" s="17" t="s">
        <v>1285</v>
      </c>
      <c r="Y153" s="17" t="s">
        <v>21</v>
      </c>
      <c r="Z153" s="17">
        <v>34050</v>
      </c>
      <c r="AA153" s="17" t="s">
        <v>180</v>
      </c>
      <c r="AB153" s="17" t="s">
        <v>418</v>
      </c>
      <c r="AC153" s="17">
        <v>45</v>
      </c>
      <c r="AD153" s="21">
        <v>43465</v>
      </c>
      <c r="AE153" s="21">
        <v>45389</v>
      </c>
      <c r="AF153" s="17"/>
      <c r="AG153" s="21">
        <v>45754</v>
      </c>
      <c r="AH153" s="17">
        <v>12781395</v>
      </c>
      <c r="AI153" s="21">
        <v>42677</v>
      </c>
      <c r="AJ153" s="17">
        <v>4110</v>
      </c>
      <c r="AK153" s="17">
        <v>0.29749999999999999</v>
      </c>
      <c r="AL153" s="17">
        <v>1222.73</v>
      </c>
      <c r="AM153" s="17" t="b">
        <v>1</v>
      </c>
      <c r="AN153" s="17" t="b">
        <v>1</v>
      </c>
      <c r="AO153" s="21">
        <v>45692</v>
      </c>
      <c r="AP153" s="21">
        <v>45692</v>
      </c>
      <c r="AQ153" s="17" t="b">
        <v>0</v>
      </c>
      <c r="AR153" s="21">
        <v>45692</v>
      </c>
      <c r="AS153" s="21">
        <v>45692</v>
      </c>
      <c r="AT153" s="21">
        <v>42585</v>
      </c>
      <c r="AU153" s="17" t="b">
        <v>0</v>
      </c>
      <c r="AV153" s="21">
        <v>42677</v>
      </c>
      <c r="AW153" s="17" t="s">
        <v>23</v>
      </c>
      <c r="AX153" s="17" t="s">
        <v>23</v>
      </c>
      <c r="AY153" s="17" t="s">
        <v>414</v>
      </c>
      <c r="AZ153" s="17" t="s">
        <v>450</v>
      </c>
      <c r="BA153" s="21">
        <v>45692</v>
      </c>
      <c r="BB153" s="17">
        <v>0</v>
      </c>
      <c r="BC153" s="17"/>
      <c r="BD153" s="17" t="b">
        <v>0</v>
      </c>
      <c r="BE153" s="17" t="s">
        <v>2182</v>
      </c>
      <c r="BF153" s="21">
        <v>45692</v>
      </c>
      <c r="BG153" s="21">
        <v>46057</v>
      </c>
      <c r="BH153" s="17"/>
      <c r="BI153" s="21">
        <v>46950</v>
      </c>
      <c r="BJ153" s="17">
        <v>0</v>
      </c>
      <c r="BK153" s="17" t="s">
        <v>443</v>
      </c>
      <c r="BL153" s="17" t="s">
        <v>418</v>
      </c>
      <c r="BM153" s="17" t="b">
        <v>1</v>
      </c>
      <c r="BN153" s="17" t="b">
        <v>1</v>
      </c>
      <c r="BO153" s="17" t="b">
        <v>1</v>
      </c>
      <c r="BP153" s="17" t="b">
        <v>0</v>
      </c>
      <c r="BQ153" s="17" t="b">
        <v>0</v>
      </c>
      <c r="BR153" s="17" t="b">
        <v>1</v>
      </c>
      <c r="BS153" s="17" t="b">
        <v>0</v>
      </c>
      <c r="BT153" s="17" t="b">
        <v>1</v>
      </c>
      <c r="BU153" s="17" t="b">
        <v>0</v>
      </c>
      <c r="BV153" s="17">
        <v>0</v>
      </c>
      <c r="BW153" s="21">
        <v>42616</v>
      </c>
      <c r="BX153" s="17" t="s">
        <v>414</v>
      </c>
      <c r="BY153" s="17" t="s">
        <v>414</v>
      </c>
      <c r="BZ153" s="17">
        <v>0</v>
      </c>
      <c r="CA153" s="21">
        <v>45951</v>
      </c>
      <c r="CB153" s="17" t="s">
        <v>438</v>
      </c>
      <c r="CC153" s="17" t="s">
        <v>2183</v>
      </c>
      <c r="CD153" s="21"/>
      <c r="CE153" s="17"/>
      <c r="CF153" s="17" t="s">
        <v>1431</v>
      </c>
      <c r="CG153" s="17" t="b">
        <v>0</v>
      </c>
      <c r="CH153" s="17" t="s">
        <v>425</v>
      </c>
      <c r="CI153" s="17">
        <v>0</v>
      </c>
      <c r="CJ153" s="21">
        <v>45840</v>
      </c>
      <c r="CK153" s="21">
        <v>1</v>
      </c>
      <c r="CL153" s="17" t="s">
        <v>414</v>
      </c>
      <c r="CM153" s="21">
        <v>1</v>
      </c>
      <c r="CN153" s="21">
        <v>1</v>
      </c>
      <c r="CO153" s="21">
        <v>1</v>
      </c>
      <c r="CP153" s="17" t="b">
        <v>0</v>
      </c>
      <c r="CQ153" s="17" t="b">
        <v>1</v>
      </c>
      <c r="CR153" s="17" t="b">
        <v>0</v>
      </c>
      <c r="CS153">
        <v>7500</v>
      </c>
      <c r="CT153" t="s">
        <v>1916</v>
      </c>
      <c r="CU153">
        <v>5769.23</v>
      </c>
      <c r="CV153">
        <v>1730.77</v>
      </c>
      <c r="CW153" s="22"/>
    </row>
    <row r="154" spans="1:101" x14ac:dyDescent="0.25">
      <c r="A154" s="20">
        <v>657</v>
      </c>
      <c r="B154" s="17" t="s">
        <v>530</v>
      </c>
      <c r="C154" s="17" t="s">
        <v>807</v>
      </c>
      <c r="D154" s="17" t="s">
        <v>204</v>
      </c>
      <c r="E154" s="17" t="s">
        <v>1434</v>
      </c>
      <c r="F154" s="17" t="s">
        <v>1435</v>
      </c>
      <c r="G154" s="17" t="s">
        <v>414</v>
      </c>
      <c r="H154" s="17" t="s">
        <v>1436</v>
      </c>
      <c r="I154" s="17" t="s">
        <v>414</v>
      </c>
      <c r="J154" s="17" t="s">
        <v>16</v>
      </c>
      <c r="K154" s="17" t="b">
        <v>0</v>
      </c>
      <c r="L154" s="17" t="s">
        <v>1437</v>
      </c>
      <c r="M154" s="21">
        <v>31420</v>
      </c>
      <c r="N154" s="17" t="s">
        <v>414</v>
      </c>
      <c r="O154" s="17" t="s">
        <v>17</v>
      </c>
      <c r="P154" s="17" t="s">
        <v>18</v>
      </c>
      <c r="Q154" s="17">
        <v>3</v>
      </c>
      <c r="R154" s="17" t="s">
        <v>156</v>
      </c>
      <c r="S154" s="17">
        <v>37</v>
      </c>
      <c r="T154" s="17" t="s">
        <v>1314</v>
      </c>
      <c r="U154" s="21">
        <v>43586</v>
      </c>
      <c r="V154" s="17" t="s">
        <v>58</v>
      </c>
      <c r="W154" s="21">
        <v>1.2430555555555554</v>
      </c>
      <c r="X154" s="17" t="s">
        <v>1438</v>
      </c>
      <c r="Y154" s="17" t="s">
        <v>21</v>
      </c>
      <c r="Z154" s="17">
        <v>34240</v>
      </c>
      <c r="AA154" s="17" t="s">
        <v>205</v>
      </c>
      <c r="AB154" s="17" t="s">
        <v>443</v>
      </c>
      <c r="AC154" s="17">
        <v>0</v>
      </c>
      <c r="AD154" s="21">
        <v>1</v>
      </c>
      <c r="AE154" s="21">
        <v>2</v>
      </c>
      <c r="AF154" s="17"/>
      <c r="AG154" s="21">
        <v>368</v>
      </c>
      <c r="AH154" s="17">
        <v>59868789</v>
      </c>
      <c r="AI154" s="21">
        <v>43678</v>
      </c>
      <c r="AJ154" s="17">
        <v>4110</v>
      </c>
      <c r="AK154" s="17">
        <v>0.29749999999999999</v>
      </c>
      <c r="AL154" s="17">
        <v>1222.73</v>
      </c>
      <c r="AM154" s="17" t="b">
        <v>1</v>
      </c>
      <c r="AN154" s="17" t="b">
        <v>1</v>
      </c>
      <c r="AO154" s="21">
        <v>45477</v>
      </c>
      <c r="AP154" s="21">
        <v>45477</v>
      </c>
      <c r="AQ154" s="17" t="b">
        <v>0</v>
      </c>
      <c r="AR154" s="21">
        <v>45477</v>
      </c>
      <c r="AS154" s="21">
        <v>45477</v>
      </c>
      <c r="AT154" s="21">
        <v>43586</v>
      </c>
      <c r="AU154" s="17" t="b">
        <v>0</v>
      </c>
      <c r="AV154" s="21">
        <v>43678</v>
      </c>
      <c r="AW154" s="17" t="s">
        <v>41</v>
      </c>
      <c r="AX154" s="17" t="s">
        <v>23</v>
      </c>
      <c r="AY154" s="17" t="s">
        <v>414</v>
      </c>
      <c r="AZ154" s="17" t="s">
        <v>414</v>
      </c>
      <c r="BA154" s="21">
        <v>45477</v>
      </c>
      <c r="BB154" s="17">
        <v>0</v>
      </c>
      <c r="BC154" s="17"/>
      <c r="BD154" s="17" t="b">
        <v>0</v>
      </c>
      <c r="BE154" s="17" t="s">
        <v>2184</v>
      </c>
      <c r="BF154" s="21">
        <v>45477</v>
      </c>
      <c r="BG154" s="21">
        <v>45842</v>
      </c>
      <c r="BH154" s="17"/>
      <c r="BI154" s="21">
        <v>47736</v>
      </c>
      <c r="BJ154" s="17">
        <v>0</v>
      </c>
      <c r="BK154" s="17" t="s">
        <v>418</v>
      </c>
      <c r="BL154" s="17" t="s">
        <v>418</v>
      </c>
      <c r="BM154" s="17" t="b">
        <v>1</v>
      </c>
      <c r="BN154" s="17" t="b">
        <v>1</v>
      </c>
      <c r="BO154" s="17" t="b">
        <v>1</v>
      </c>
      <c r="BP154" s="17" t="b">
        <v>0</v>
      </c>
      <c r="BQ154" s="17" t="b">
        <v>0</v>
      </c>
      <c r="BR154" s="17" t="b">
        <v>1</v>
      </c>
      <c r="BS154" s="17" t="b">
        <v>1</v>
      </c>
      <c r="BT154" s="17" t="b">
        <v>0</v>
      </c>
      <c r="BU154" s="17" t="b">
        <v>1</v>
      </c>
      <c r="BV154" s="17">
        <v>0</v>
      </c>
      <c r="BW154" s="21">
        <v>43617</v>
      </c>
      <c r="BX154" s="17" t="s">
        <v>414</v>
      </c>
      <c r="BY154" s="17" t="s">
        <v>414</v>
      </c>
      <c r="BZ154" s="17">
        <v>0</v>
      </c>
      <c r="CA154" s="21">
        <v>45951</v>
      </c>
      <c r="CB154" s="17" t="s">
        <v>438</v>
      </c>
      <c r="CC154" s="17" t="s">
        <v>2185</v>
      </c>
      <c r="CD154" s="21">
        <v>45831</v>
      </c>
      <c r="CE154" s="17" t="s">
        <v>415</v>
      </c>
      <c r="CF154" s="17" t="s">
        <v>1439</v>
      </c>
      <c r="CG154" s="17" t="b">
        <v>0</v>
      </c>
      <c r="CH154" s="17" t="s">
        <v>425</v>
      </c>
      <c r="CI154" s="17">
        <v>0</v>
      </c>
      <c r="CJ154" s="21">
        <v>45846</v>
      </c>
      <c r="CK154" s="21">
        <v>45906</v>
      </c>
      <c r="CL154" s="17" t="s">
        <v>414</v>
      </c>
      <c r="CM154" s="21">
        <v>1</v>
      </c>
      <c r="CN154" s="21">
        <v>1</v>
      </c>
      <c r="CO154" s="21">
        <v>1</v>
      </c>
      <c r="CP154" s="17" t="b">
        <v>0</v>
      </c>
      <c r="CQ154" s="17" t="b">
        <v>1</v>
      </c>
      <c r="CR154" s="17" t="b">
        <v>0</v>
      </c>
      <c r="CS154">
        <v>7500</v>
      </c>
      <c r="CT154" t="s">
        <v>1916</v>
      </c>
      <c r="CU154">
        <v>5769.23</v>
      </c>
      <c r="CV154">
        <v>1730.77</v>
      </c>
      <c r="CW154" s="22"/>
    </row>
    <row r="155" spans="1:101" x14ac:dyDescent="0.25">
      <c r="A155" s="20">
        <v>658</v>
      </c>
      <c r="B155" s="17" t="s">
        <v>420</v>
      </c>
      <c r="C155" s="17" t="s">
        <v>707</v>
      </c>
      <c r="D155" s="17" t="s">
        <v>206</v>
      </c>
      <c r="E155" s="17" t="s">
        <v>1440</v>
      </c>
      <c r="F155" s="17" t="s">
        <v>1441</v>
      </c>
      <c r="G155" s="17" t="s">
        <v>414</v>
      </c>
      <c r="H155" s="17" t="s">
        <v>421</v>
      </c>
      <c r="I155" s="17" t="s">
        <v>414</v>
      </c>
      <c r="J155" s="17" t="s">
        <v>16</v>
      </c>
      <c r="K155" s="17" t="b">
        <v>0</v>
      </c>
      <c r="L155" s="17" t="s">
        <v>1442</v>
      </c>
      <c r="M155" s="21">
        <v>36583</v>
      </c>
      <c r="N155" s="17" t="s">
        <v>414</v>
      </c>
      <c r="O155" s="17" t="s">
        <v>17</v>
      </c>
      <c r="P155" s="17" t="s">
        <v>18</v>
      </c>
      <c r="Q155" s="17">
        <v>1</v>
      </c>
      <c r="R155" s="17" t="s">
        <v>19</v>
      </c>
      <c r="S155" s="17">
        <v>9</v>
      </c>
      <c r="T155" s="17" t="s">
        <v>434</v>
      </c>
      <c r="U155" s="21">
        <v>43586</v>
      </c>
      <c r="V155" s="17" t="s">
        <v>58</v>
      </c>
      <c r="W155" s="21">
        <v>1.0763888888888888</v>
      </c>
      <c r="X155" s="17" t="s">
        <v>58</v>
      </c>
      <c r="Y155" s="17" t="s">
        <v>21</v>
      </c>
      <c r="Z155" s="17">
        <v>949900</v>
      </c>
      <c r="AA155" s="17" t="s">
        <v>22</v>
      </c>
      <c r="AB155" s="17" t="s">
        <v>418</v>
      </c>
      <c r="AC155" s="17">
        <v>235</v>
      </c>
      <c r="AD155" s="21">
        <v>45189</v>
      </c>
      <c r="AE155" s="21">
        <v>45189</v>
      </c>
      <c r="AF155" s="17"/>
      <c r="AG155" s="21">
        <v>45555</v>
      </c>
      <c r="AH155" s="17">
        <v>63702749</v>
      </c>
      <c r="AI155" s="21">
        <v>43678</v>
      </c>
      <c r="AJ155" s="17">
        <v>4115</v>
      </c>
      <c r="AK155" s="17">
        <v>0.29749999999999999</v>
      </c>
      <c r="AL155" s="17">
        <v>1224.21</v>
      </c>
      <c r="AM155" s="17" t="b">
        <v>0</v>
      </c>
      <c r="AN155" s="17" t="b">
        <v>1</v>
      </c>
      <c r="AO155" s="21">
        <v>45638</v>
      </c>
      <c r="AP155" s="21">
        <v>45638</v>
      </c>
      <c r="AQ155" s="17" t="b">
        <v>0</v>
      </c>
      <c r="AR155" s="21">
        <v>45638</v>
      </c>
      <c r="AS155" s="21">
        <v>45638</v>
      </c>
      <c r="AT155" s="21">
        <v>43586</v>
      </c>
      <c r="AU155" s="17" t="b">
        <v>0</v>
      </c>
      <c r="AV155" s="21">
        <v>43678</v>
      </c>
      <c r="AW155" s="17" t="s">
        <v>41</v>
      </c>
      <c r="AX155" s="17" t="s">
        <v>23</v>
      </c>
      <c r="AY155" s="17" t="s">
        <v>414</v>
      </c>
      <c r="AZ155" s="17" t="s">
        <v>414</v>
      </c>
      <c r="BA155" s="21">
        <v>45638</v>
      </c>
      <c r="BB155" s="17">
        <v>0</v>
      </c>
      <c r="BC155" s="17"/>
      <c r="BD155" s="17" t="b">
        <v>0</v>
      </c>
      <c r="BE155" s="17" t="s">
        <v>2184</v>
      </c>
      <c r="BF155" s="21">
        <v>45638</v>
      </c>
      <c r="BG155" s="21">
        <v>46003</v>
      </c>
      <c r="BH155" s="17"/>
      <c r="BI155" s="21">
        <v>45352</v>
      </c>
      <c r="BJ155" s="17">
        <v>0</v>
      </c>
      <c r="BK155" s="17" t="s">
        <v>418</v>
      </c>
      <c r="BL155" s="17" t="s">
        <v>418</v>
      </c>
      <c r="BM155" s="17" t="b">
        <v>1</v>
      </c>
      <c r="BN155" s="17" t="b">
        <v>1</v>
      </c>
      <c r="BO155" s="17" t="b">
        <v>1</v>
      </c>
      <c r="BP155" s="17" t="b">
        <v>1</v>
      </c>
      <c r="BQ155" s="17" t="b">
        <v>0</v>
      </c>
      <c r="BR155" s="17" t="b">
        <v>1</v>
      </c>
      <c r="BS155" s="17" t="b">
        <v>1</v>
      </c>
      <c r="BT155" s="17" t="b">
        <v>1</v>
      </c>
      <c r="BU155" s="17" t="b">
        <v>1</v>
      </c>
      <c r="BV155" s="17">
        <v>0</v>
      </c>
      <c r="BW155" s="21">
        <v>43617</v>
      </c>
      <c r="BX155" s="17" t="s">
        <v>414</v>
      </c>
      <c r="BY155" s="17" t="s">
        <v>414</v>
      </c>
      <c r="BZ155" s="17">
        <v>0</v>
      </c>
      <c r="CA155" s="21">
        <v>45951</v>
      </c>
      <c r="CB155" s="17" t="s">
        <v>438</v>
      </c>
      <c r="CC155" s="17" t="s">
        <v>2186</v>
      </c>
      <c r="CD155" s="21"/>
      <c r="CE155" s="17"/>
      <c r="CF155" s="17" t="s">
        <v>1443</v>
      </c>
      <c r="CG155" s="17" t="b">
        <v>0</v>
      </c>
      <c r="CH155" s="17" t="s">
        <v>425</v>
      </c>
      <c r="CI155" s="17">
        <v>0</v>
      </c>
      <c r="CJ155" s="21">
        <v>45844</v>
      </c>
      <c r="CK155" s="21">
        <v>45906</v>
      </c>
      <c r="CL155" s="17" t="s">
        <v>414</v>
      </c>
      <c r="CM155" s="21">
        <v>1</v>
      </c>
      <c r="CN155" s="21">
        <v>1</v>
      </c>
      <c r="CO155" s="21">
        <v>1</v>
      </c>
      <c r="CP155" s="17" t="b">
        <v>0</v>
      </c>
      <c r="CQ155" s="17" t="b">
        <v>1</v>
      </c>
      <c r="CR155" s="17" t="b">
        <v>0</v>
      </c>
      <c r="CS155">
        <v>7300</v>
      </c>
      <c r="CT155" t="s">
        <v>1911</v>
      </c>
      <c r="CU155">
        <v>5615.38</v>
      </c>
      <c r="CV155">
        <v>1684.62</v>
      </c>
      <c r="CW155" s="22"/>
    </row>
    <row r="156" spans="1:101" x14ac:dyDescent="0.25">
      <c r="A156" s="20">
        <v>663</v>
      </c>
      <c r="B156" s="17" t="s">
        <v>1444</v>
      </c>
      <c r="C156" s="17" t="s">
        <v>830</v>
      </c>
      <c r="D156" s="17" t="s">
        <v>207</v>
      </c>
      <c r="E156" s="17" t="s">
        <v>1445</v>
      </c>
      <c r="F156" s="17" t="s">
        <v>1446</v>
      </c>
      <c r="G156" s="17" t="s">
        <v>414</v>
      </c>
      <c r="H156" s="17" t="s">
        <v>1447</v>
      </c>
      <c r="I156" s="17" t="s">
        <v>414</v>
      </c>
      <c r="J156" s="17" t="s">
        <v>16</v>
      </c>
      <c r="K156" s="17" t="b">
        <v>0</v>
      </c>
      <c r="L156" s="17" t="s">
        <v>1448</v>
      </c>
      <c r="M156" s="21">
        <v>33376</v>
      </c>
      <c r="N156" s="17" t="s">
        <v>901</v>
      </c>
      <c r="O156" s="17" t="s">
        <v>17</v>
      </c>
      <c r="P156" s="17" t="s">
        <v>18</v>
      </c>
      <c r="Q156" s="17">
        <v>1</v>
      </c>
      <c r="R156" s="17" t="s">
        <v>19</v>
      </c>
      <c r="S156" s="17">
        <v>8</v>
      </c>
      <c r="T156" s="17" t="s">
        <v>416</v>
      </c>
      <c r="U156" s="21">
        <v>43983</v>
      </c>
      <c r="V156" s="17" t="s">
        <v>58</v>
      </c>
      <c r="W156" s="21">
        <v>1.2708333333333335</v>
      </c>
      <c r="X156" s="17" t="s">
        <v>1449</v>
      </c>
      <c r="Y156" s="17" t="s">
        <v>21</v>
      </c>
      <c r="Z156" s="17">
        <v>0</v>
      </c>
      <c r="AA156" s="17" t="s">
        <v>414</v>
      </c>
      <c r="AB156" s="17" t="s">
        <v>443</v>
      </c>
      <c r="AC156" s="17">
        <v>0</v>
      </c>
      <c r="AD156" s="21">
        <v>1</v>
      </c>
      <c r="AE156" s="21">
        <v>2</v>
      </c>
      <c r="AF156" s="17"/>
      <c r="AG156" s="21">
        <v>368</v>
      </c>
      <c r="AH156" s="17">
        <v>63787293</v>
      </c>
      <c r="AI156" s="21">
        <v>44013</v>
      </c>
      <c r="AJ156" s="17">
        <v>4110</v>
      </c>
      <c r="AK156" s="17">
        <v>0.29749999999999999</v>
      </c>
      <c r="AL156" s="17">
        <v>1222.73</v>
      </c>
      <c r="AM156" s="17" t="b">
        <v>1</v>
      </c>
      <c r="AN156" s="17" t="b">
        <v>1</v>
      </c>
      <c r="AO156" s="21">
        <v>45449</v>
      </c>
      <c r="AP156" s="21">
        <v>45449</v>
      </c>
      <c r="AQ156" s="17" t="b">
        <v>0</v>
      </c>
      <c r="AR156" s="21">
        <v>45449</v>
      </c>
      <c r="AS156" s="21">
        <v>45449</v>
      </c>
      <c r="AT156" s="21">
        <v>43922</v>
      </c>
      <c r="AU156" s="17" t="b">
        <v>0</v>
      </c>
      <c r="AV156" s="21">
        <v>44075</v>
      </c>
      <c r="AW156" s="17" t="s">
        <v>23</v>
      </c>
      <c r="AX156" s="17" t="s">
        <v>41</v>
      </c>
      <c r="AY156" s="17" t="s">
        <v>414</v>
      </c>
      <c r="AZ156" s="17" t="s">
        <v>414</v>
      </c>
      <c r="BA156" s="21">
        <v>45449</v>
      </c>
      <c r="BB156" s="17">
        <v>0</v>
      </c>
      <c r="BC156" s="17"/>
      <c r="BD156" s="17" t="b">
        <v>0</v>
      </c>
      <c r="BE156" s="17" t="s">
        <v>2032</v>
      </c>
      <c r="BF156" s="21">
        <v>45449</v>
      </c>
      <c r="BG156" s="21">
        <v>45814</v>
      </c>
      <c r="BH156" s="17"/>
      <c r="BI156" s="21">
        <v>47112</v>
      </c>
      <c r="BJ156" s="17">
        <v>0</v>
      </c>
      <c r="BK156" s="17" t="s">
        <v>418</v>
      </c>
      <c r="BL156" s="17" t="s">
        <v>418</v>
      </c>
      <c r="BM156" s="17" t="b">
        <v>1</v>
      </c>
      <c r="BN156" s="17" t="b">
        <v>1</v>
      </c>
      <c r="BO156" s="17" t="b">
        <v>1</v>
      </c>
      <c r="BP156" s="17" t="b">
        <v>0</v>
      </c>
      <c r="BQ156" s="17" t="b">
        <v>1</v>
      </c>
      <c r="BR156" s="17" t="b">
        <v>1</v>
      </c>
      <c r="BS156" s="17" t="b">
        <v>1</v>
      </c>
      <c r="BT156" s="17" t="b">
        <v>1</v>
      </c>
      <c r="BU156" s="17" t="b">
        <v>0</v>
      </c>
      <c r="BV156" s="17">
        <v>0</v>
      </c>
      <c r="BW156" s="21">
        <v>44013</v>
      </c>
      <c r="BX156" s="17" t="s">
        <v>414</v>
      </c>
      <c r="BY156" s="17" t="s">
        <v>414</v>
      </c>
      <c r="BZ156" s="17">
        <v>0</v>
      </c>
      <c r="CA156" s="21">
        <v>45951</v>
      </c>
      <c r="CB156" s="17" t="s">
        <v>438</v>
      </c>
      <c r="CC156" s="17" t="s">
        <v>2187</v>
      </c>
      <c r="CD156" s="21"/>
      <c r="CE156" s="17"/>
      <c r="CF156" s="17" t="s">
        <v>1450</v>
      </c>
      <c r="CG156" s="17" t="b">
        <v>0</v>
      </c>
      <c r="CH156" s="17" t="s">
        <v>425</v>
      </c>
      <c r="CI156" s="17">
        <v>0</v>
      </c>
      <c r="CJ156" s="21">
        <v>45852</v>
      </c>
      <c r="CK156" s="21">
        <v>1</v>
      </c>
      <c r="CL156" s="17" t="s">
        <v>414</v>
      </c>
      <c r="CM156" s="21">
        <v>1</v>
      </c>
      <c r="CN156" s="21">
        <v>1</v>
      </c>
      <c r="CO156" s="21">
        <v>1</v>
      </c>
      <c r="CP156" s="17" t="b">
        <v>0</v>
      </c>
      <c r="CQ156" s="17" t="b">
        <v>1</v>
      </c>
      <c r="CR156" s="17" t="b">
        <v>0</v>
      </c>
      <c r="CS156">
        <v>7500</v>
      </c>
      <c r="CT156" t="s">
        <v>1916</v>
      </c>
      <c r="CU156">
        <v>5769.23</v>
      </c>
      <c r="CV156">
        <v>1730.77</v>
      </c>
      <c r="CW156" s="22"/>
    </row>
    <row r="157" spans="1:101" x14ac:dyDescent="0.25">
      <c r="A157" s="20">
        <v>664</v>
      </c>
      <c r="B157" s="17" t="s">
        <v>766</v>
      </c>
      <c r="C157" s="17" t="s">
        <v>426</v>
      </c>
      <c r="D157" s="17" t="s">
        <v>208</v>
      </c>
      <c r="E157" s="17" t="s">
        <v>1451</v>
      </c>
      <c r="F157" s="17" t="s">
        <v>1452</v>
      </c>
      <c r="G157" s="17" t="s">
        <v>414</v>
      </c>
      <c r="H157" s="17" t="s">
        <v>1453</v>
      </c>
      <c r="I157" s="17" t="s">
        <v>414</v>
      </c>
      <c r="J157" s="17" t="s">
        <v>16</v>
      </c>
      <c r="K157" s="17" t="b">
        <v>0</v>
      </c>
      <c r="L157" s="17" t="s">
        <v>1454</v>
      </c>
      <c r="M157" s="21">
        <v>33023</v>
      </c>
      <c r="N157" s="17" t="s">
        <v>666</v>
      </c>
      <c r="O157" s="17" t="s">
        <v>17</v>
      </c>
      <c r="P157" s="17" t="s">
        <v>18</v>
      </c>
      <c r="Q157" s="17">
        <v>1</v>
      </c>
      <c r="R157" s="17" t="s">
        <v>19</v>
      </c>
      <c r="S157" s="17">
        <v>9</v>
      </c>
      <c r="T157" s="17" t="s">
        <v>434</v>
      </c>
      <c r="U157" s="21">
        <v>43983</v>
      </c>
      <c r="V157" s="17" t="s">
        <v>58</v>
      </c>
      <c r="W157" s="21">
        <v>1.7708333333333335</v>
      </c>
      <c r="X157" s="17" t="s">
        <v>1001</v>
      </c>
      <c r="Y157" s="17" t="s">
        <v>45</v>
      </c>
      <c r="Z157" s="17">
        <v>0</v>
      </c>
      <c r="AA157" s="17" t="s">
        <v>414</v>
      </c>
      <c r="AB157" s="17" t="s">
        <v>418</v>
      </c>
      <c r="AC157" s="17">
        <v>144</v>
      </c>
      <c r="AD157" s="21">
        <v>44574</v>
      </c>
      <c r="AE157" s="21">
        <v>45383</v>
      </c>
      <c r="AF157" s="17"/>
      <c r="AG157" s="21">
        <v>45748</v>
      </c>
      <c r="AH157" s="17">
        <v>62479567</v>
      </c>
      <c r="AI157" s="21">
        <v>44013</v>
      </c>
      <c r="AJ157" s="17">
        <v>4115</v>
      </c>
      <c r="AK157" s="17">
        <v>0.29749999999999999</v>
      </c>
      <c r="AL157" s="17">
        <v>1224.21</v>
      </c>
      <c r="AM157" s="17" t="b">
        <v>1</v>
      </c>
      <c r="AN157" s="17" t="b">
        <v>1</v>
      </c>
      <c r="AO157" s="21">
        <v>45490</v>
      </c>
      <c r="AP157" s="21">
        <v>45490</v>
      </c>
      <c r="AQ157" s="17" t="b">
        <v>0</v>
      </c>
      <c r="AR157" s="21">
        <v>45490</v>
      </c>
      <c r="AS157" s="21">
        <v>45490</v>
      </c>
      <c r="AT157" s="21">
        <v>43922</v>
      </c>
      <c r="AU157" s="17" t="b">
        <v>0</v>
      </c>
      <c r="AV157" s="21">
        <v>44075</v>
      </c>
      <c r="AW157" s="17" t="s">
        <v>41</v>
      </c>
      <c r="AX157" s="17" t="s">
        <v>23</v>
      </c>
      <c r="AY157" s="17" t="s">
        <v>41</v>
      </c>
      <c r="AZ157" s="17" t="s">
        <v>414</v>
      </c>
      <c r="BA157" s="21">
        <v>45490</v>
      </c>
      <c r="BB157" s="17">
        <v>0</v>
      </c>
      <c r="BC157" s="17"/>
      <c r="BD157" s="17" t="b">
        <v>0</v>
      </c>
      <c r="BE157" s="17" t="s">
        <v>2032</v>
      </c>
      <c r="BF157" s="21">
        <v>45490</v>
      </c>
      <c r="BG157" s="21">
        <v>45855</v>
      </c>
      <c r="BH157" s="17"/>
      <c r="BI157" s="21">
        <v>47281</v>
      </c>
      <c r="BJ157" s="17">
        <v>0</v>
      </c>
      <c r="BK157" s="17" t="s">
        <v>418</v>
      </c>
      <c r="BL157" s="17" t="s">
        <v>418</v>
      </c>
      <c r="BM157" s="17" t="b">
        <v>1</v>
      </c>
      <c r="BN157" s="17" t="b">
        <v>1</v>
      </c>
      <c r="BO157" s="17" t="b">
        <v>1</v>
      </c>
      <c r="BP157" s="17" t="b">
        <v>1</v>
      </c>
      <c r="BQ157" s="17" t="b">
        <v>0</v>
      </c>
      <c r="BR157" s="17" t="b">
        <v>1</v>
      </c>
      <c r="BS157" s="17" t="b">
        <v>1</v>
      </c>
      <c r="BT157" s="17" t="b">
        <v>0</v>
      </c>
      <c r="BU157" s="17" t="b">
        <v>1</v>
      </c>
      <c r="BV157" s="17">
        <v>0</v>
      </c>
      <c r="BW157" s="21">
        <v>44013</v>
      </c>
      <c r="BX157" s="17" t="s">
        <v>414</v>
      </c>
      <c r="BY157" s="17" t="s">
        <v>414</v>
      </c>
      <c r="BZ157" s="17">
        <v>0</v>
      </c>
      <c r="CA157" s="21">
        <v>45951</v>
      </c>
      <c r="CB157" s="17" t="s">
        <v>438</v>
      </c>
      <c r="CC157" s="17" t="s">
        <v>2188</v>
      </c>
      <c r="CD157" s="21"/>
      <c r="CE157" s="17"/>
      <c r="CF157" s="17" t="s">
        <v>1455</v>
      </c>
      <c r="CG157" s="17" t="b">
        <v>0</v>
      </c>
      <c r="CH157" s="17" t="s">
        <v>425</v>
      </c>
      <c r="CI157" s="17">
        <v>0</v>
      </c>
      <c r="CJ157" s="21">
        <v>45840</v>
      </c>
      <c r="CK157" s="21">
        <v>1</v>
      </c>
      <c r="CL157" s="17" t="s">
        <v>414</v>
      </c>
      <c r="CM157" s="21">
        <v>1</v>
      </c>
      <c r="CN157" s="21">
        <v>1</v>
      </c>
      <c r="CO157" s="21">
        <v>1</v>
      </c>
      <c r="CP157" s="17" t="b">
        <v>0</v>
      </c>
      <c r="CQ157" s="17" t="b">
        <v>1</v>
      </c>
      <c r="CR157" s="17" t="b">
        <v>0</v>
      </c>
      <c r="CS157">
        <v>7500</v>
      </c>
      <c r="CT157" t="s">
        <v>1916</v>
      </c>
      <c r="CU157">
        <v>5769.23</v>
      </c>
      <c r="CV157">
        <v>1730.77</v>
      </c>
      <c r="CW157" s="22"/>
    </row>
    <row r="158" spans="1:101" x14ac:dyDescent="0.25">
      <c r="A158" s="20">
        <v>666</v>
      </c>
      <c r="B158" s="17" t="s">
        <v>426</v>
      </c>
      <c r="C158" s="17" t="s">
        <v>549</v>
      </c>
      <c r="D158" s="17" t="s">
        <v>209</v>
      </c>
      <c r="E158" s="17" t="s">
        <v>1456</v>
      </c>
      <c r="F158" s="17" t="s">
        <v>1457</v>
      </c>
      <c r="G158" s="17" t="s">
        <v>414</v>
      </c>
      <c r="H158" s="17" t="s">
        <v>930</v>
      </c>
      <c r="I158" s="17" t="s">
        <v>414</v>
      </c>
      <c r="J158" s="17" t="s">
        <v>16</v>
      </c>
      <c r="K158" s="17" t="b">
        <v>0</v>
      </c>
      <c r="L158" s="17" t="s">
        <v>1458</v>
      </c>
      <c r="M158" s="21">
        <v>33642</v>
      </c>
      <c r="N158" s="17" t="s">
        <v>1432</v>
      </c>
      <c r="O158" s="17" t="s">
        <v>17</v>
      </c>
      <c r="P158" s="17" t="s">
        <v>18</v>
      </c>
      <c r="Q158" s="17">
        <v>1</v>
      </c>
      <c r="R158" s="17" t="s">
        <v>19</v>
      </c>
      <c r="S158" s="17">
        <v>8</v>
      </c>
      <c r="T158" s="17" t="s">
        <v>416</v>
      </c>
      <c r="U158" s="21">
        <v>43647</v>
      </c>
      <c r="V158" s="17" t="s">
        <v>116</v>
      </c>
      <c r="W158" s="21">
        <v>1.7708333333333335</v>
      </c>
      <c r="X158" s="17" t="s">
        <v>877</v>
      </c>
      <c r="Y158" s="17" t="s">
        <v>45</v>
      </c>
      <c r="Z158" s="17">
        <v>834000</v>
      </c>
      <c r="AA158" s="17" t="s">
        <v>69</v>
      </c>
      <c r="AB158" s="17" t="s">
        <v>443</v>
      </c>
      <c r="AC158" s="17">
        <v>0</v>
      </c>
      <c r="AD158" s="21">
        <v>1</v>
      </c>
      <c r="AE158" s="21">
        <v>2</v>
      </c>
      <c r="AF158" s="17"/>
      <c r="AG158" s="21">
        <v>368</v>
      </c>
      <c r="AH158" s="17">
        <v>51021712</v>
      </c>
      <c r="AI158" s="21">
        <v>44562</v>
      </c>
      <c r="AJ158" s="17">
        <v>4110</v>
      </c>
      <c r="AK158" s="17">
        <v>0.29749999999999999</v>
      </c>
      <c r="AL158" s="17">
        <v>1222.73</v>
      </c>
      <c r="AM158" s="17" t="b">
        <v>1</v>
      </c>
      <c r="AN158" s="17" t="b">
        <v>1</v>
      </c>
      <c r="AO158" s="21">
        <v>44641</v>
      </c>
      <c r="AP158" s="21">
        <v>44643</v>
      </c>
      <c r="AQ158" s="17" t="b">
        <v>0</v>
      </c>
      <c r="AR158" s="21">
        <v>45449</v>
      </c>
      <c r="AS158" s="21">
        <v>45449</v>
      </c>
      <c r="AT158" s="21">
        <v>44470</v>
      </c>
      <c r="AU158" s="17" t="b">
        <v>0</v>
      </c>
      <c r="AV158" s="21">
        <v>43739</v>
      </c>
      <c r="AW158" s="17" t="s">
        <v>41</v>
      </c>
      <c r="AX158" s="17" t="s">
        <v>23</v>
      </c>
      <c r="AY158" s="17" t="s">
        <v>414</v>
      </c>
      <c r="AZ158" s="17" t="s">
        <v>414</v>
      </c>
      <c r="BA158" s="21">
        <v>45449</v>
      </c>
      <c r="BB158" s="17">
        <v>9025</v>
      </c>
      <c r="BC158" s="17"/>
      <c r="BD158" s="17" t="b">
        <v>0</v>
      </c>
      <c r="BE158" s="17" t="s">
        <v>1945</v>
      </c>
      <c r="BF158" s="21">
        <v>45449</v>
      </c>
      <c r="BG158" s="21">
        <v>45814</v>
      </c>
      <c r="BH158" s="17"/>
      <c r="BI158" s="21">
        <v>46352</v>
      </c>
      <c r="BJ158" s="17">
        <v>0</v>
      </c>
      <c r="BK158" s="17" t="s">
        <v>418</v>
      </c>
      <c r="BL158" s="17" t="s">
        <v>418</v>
      </c>
      <c r="BM158" s="17" t="b">
        <v>1</v>
      </c>
      <c r="BN158" s="17" t="b">
        <v>1</v>
      </c>
      <c r="BO158" s="17" t="b">
        <v>1</v>
      </c>
      <c r="BP158" s="17" t="b">
        <v>0</v>
      </c>
      <c r="BQ158" s="17" t="b">
        <v>1</v>
      </c>
      <c r="BR158" s="17" t="b">
        <v>0</v>
      </c>
      <c r="BS158" s="17" t="b">
        <v>1</v>
      </c>
      <c r="BT158" s="17" t="b">
        <v>1</v>
      </c>
      <c r="BU158" s="17" t="b">
        <v>1</v>
      </c>
      <c r="BV158" s="17">
        <v>0</v>
      </c>
      <c r="BW158" s="21">
        <v>43678</v>
      </c>
      <c r="BX158" s="17" t="s">
        <v>414</v>
      </c>
      <c r="BY158" s="17" t="s">
        <v>414</v>
      </c>
      <c r="BZ158" s="17">
        <v>0</v>
      </c>
      <c r="CA158" s="21">
        <v>45951</v>
      </c>
      <c r="CB158" s="17" t="s">
        <v>438</v>
      </c>
      <c r="CC158" s="17" t="s">
        <v>2189</v>
      </c>
      <c r="CD158" s="21"/>
      <c r="CE158" s="17"/>
      <c r="CF158" s="17" t="s">
        <v>1459</v>
      </c>
      <c r="CG158" s="17" t="b">
        <v>0</v>
      </c>
      <c r="CH158" s="17" t="s">
        <v>425</v>
      </c>
      <c r="CI158" s="17">
        <v>0</v>
      </c>
      <c r="CJ158" s="21">
        <v>45887</v>
      </c>
      <c r="CK158" s="21">
        <v>45906</v>
      </c>
      <c r="CL158" s="17" t="s">
        <v>414</v>
      </c>
      <c r="CM158" s="21">
        <v>1</v>
      </c>
      <c r="CN158" s="21">
        <v>1</v>
      </c>
      <c r="CO158" s="21">
        <v>1</v>
      </c>
      <c r="CP158" s="17" t="b">
        <v>0</v>
      </c>
      <c r="CQ158" s="17" t="b">
        <v>1</v>
      </c>
      <c r="CR158" s="17" t="b">
        <v>0</v>
      </c>
      <c r="CS158">
        <v>7500</v>
      </c>
      <c r="CT158" t="s">
        <v>1916</v>
      </c>
      <c r="CU158">
        <v>5769.23</v>
      </c>
      <c r="CV158">
        <v>1730.77</v>
      </c>
      <c r="CW158" s="22"/>
    </row>
    <row r="159" spans="1:101" x14ac:dyDescent="0.25">
      <c r="A159" s="20">
        <v>668</v>
      </c>
      <c r="B159" s="17" t="s">
        <v>426</v>
      </c>
      <c r="C159" s="17" t="s">
        <v>530</v>
      </c>
      <c r="D159" s="17" t="s">
        <v>210</v>
      </c>
      <c r="E159" s="17" t="s">
        <v>1460</v>
      </c>
      <c r="F159" s="17" t="s">
        <v>1461</v>
      </c>
      <c r="G159" s="17" t="s">
        <v>414</v>
      </c>
      <c r="H159" s="17" t="s">
        <v>1462</v>
      </c>
      <c r="I159" s="17" t="s">
        <v>414</v>
      </c>
      <c r="J159" s="17" t="s">
        <v>16</v>
      </c>
      <c r="K159" s="17" t="b">
        <v>0</v>
      </c>
      <c r="L159" s="17" t="s">
        <v>1463</v>
      </c>
      <c r="M159" s="21">
        <v>32957</v>
      </c>
      <c r="N159" s="17" t="s">
        <v>901</v>
      </c>
      <c r="O159" s="17" t="s">
        <v>17</v>
      </c>
      <c r="P159" s="17" t="s">
        <v>18</v>
      </c>
      <c r="Q159" s="17">
        <v>1</v>
      </c>
      <c r="R159" s="17" t="s">
        <v>19</v>
      </c>
      <c r="S159" s="17">
        <v>8</v>
      </c>
      <c r="T159" s="17" t="s">
        <v>416</v>
      </c>
      <c r="U159" s="21">
        <v>43647</v>
      </c>
      <c r="V159" s="17" t="s">
        <v>114</v>
      </c>
      <c r="W159" s="21">
        <v>1.4166666666666665</v>
      </c>
      <c r="X159" s="17" t="s">
        <v>916</v>
      </c>
      <c r="Y159" s="17" t="s">
        <v>21</v>
      </c>
      <c r="Z159" s="17">
        <v>0</v>
      </c>
      <c r="AA159" s="17" t="s">
        <v>414</v>
      </c>
      <c r="AB159" s="17" t="s">
        <v>418</v>
      </c>
      <c r="AC159" s="17">
        <v>184</v>
      </c>
      <c r="AD159" s="21">
        <v>44913</v>
      </c>
      <c r="AE159" s="21">
        <v>45277</v>
      </c>
      <c r="AF159" s="17"/>
      <c r="AG159" s="21">
        <v>45643</v>
      </c>
      <c r="AH159" s="17">
        <v>67461223</v>
      </c>
      <c r="AI159" s="21">
        <v>44033</v>
      </c>
      <c r="AJ159" s="17">
        <v>4110</v>
      </c>
      <c r="AK159" s="17">
        <v>0.29749999999999999</v>
      </c>
      <c r="AL159" s="17">
        <v>1222.73</v>
      </c>
      <c r="AM159" s="17" t="b">
        <v>1</v>
      </c>
      <c r="AN159" s="17" t="b">
        <v>1</v>
      </c>
      <c r="AO159" s="21">
        <v>45449</v>
      </c>
      <c r="AP159" s="21">
        <v>45449</v>
      </c>
      <c r="AQ159" s="17" t="b">
        <v>0</v>
      </c>
      <c r="AR159" s="21">
        <v>45449</v>
      </c>
      <c r="AS159" s="21">
        <v>45449</v>
      </c>
      <c r="AT159" s="21">
        <v>43942</v>
      </c>
      <c r="AU159" s="17" t="b">
        <v>0</v>
      </c>
      <c r="AV159" s="21">
        <v>43739</v>
      </c>
      <c r="AW159" s="17" t="s">
        <v>23</v>
      </c>
      <c r="AX159" s="17" t="s">
        <v>41</v>
      </c>
      <c r="AY159" s="17" t="s">
        <v>23</v>
      </c>
      <c r="AZ159" s="17" t="s">
        <v>414</v>
      </c>
      <c r="BA159" s="21">
        <v>45449</v>
      </c>
      <c r="BB159" s="17">
        <v>0</v>
      </c>
      <c r="BC159" s="17"/>
      <c r="BD159" s="17" t="b">
        <v>0</v>
      </c>
      <c r="BE159" s="17" t="s">
        <v>1945</v>
      </c>
      <c r="BF159" s="21">
        <v>45449</v>
      </c>
      <c r="BG159" s="21">
        <v>45814</v>
      </c>
      <c r="BH159" s="17"/>
      <c r="BI159" s="21">
        <v>47491</v>
      </c>
      <c r="BJ159" s="17">
        <v>0</v>
      </c>
      <c r="BK159" s="17" t="s">
        <v>418</v>
      </c>
      <c r="BL159" s="17" t="s">
        <v>418</v>
      </c>
      <c r="BM159" s="17" t="b">
        <v>1</v>
      </c>
      <c r="BN159" s="17" t="b">
        <v>0</v>
      </c>
      <c r="BO159" s="17" t="b">
        <v>1</v>
      </c>
      <c r="BP159" s="17" t="b">
        <v>1</v>
      </c>
      <c r="BQ159" s="17" t="b">
        <v>1</v>
      </c>
      <c r="BR159" s="17" t="b">
        <v>1</v>
      </c>
      <c r="BS159" s="17" t="b">
        <v>1</v>
      </c>
      <c r="BT159" s="17" t="b">
        <v>1</v>
      </c>
      <c r="BU159" s="17" t="b">
        <v>0</v>
      </c>
      <c r="BV159" s="17">
        <v>0</v>
      </c>
      <c r="BW159" s="21">
        <v>43678</v>
      </c>
      <c r="BX159" s="17" t="s">
        <v>414</v>
      </c>
      <c r="BY159" s="17" t="s">
        <v>414</v>
      </c>
      <c r="BZ159" s="17">
        <v>0</v>
      </c>
      <c r="CA159" s="21">
        <v>45951</v>
      </c>
      <c r="CB159" s="17" t="s">
        <v>438</v>
      </c>
      <c r="CC159" s="17" t="s">
        <v>2190</v>
      </c>
      <c r="CD159" s="21"/>
      <c r="CE159" s="17"/>
      <c r="CF159" s="17" t="s">
        <v>1464</v>
      </c>
      <c r="CG159" s="17" t="b">
        <v>0</v>
      </c>
      <c r="CH159" s="17" t="s">
        <v>425</v>
      </c>
      <c r="CI159" s="17">
        <v>0</v>
      </c>
      <c r="CJ159" s="21">
        <v>45840</v>
      </c>
      <c r="CK159" s="21">
        <v>45817</v>
      </c>
      <c r="CL159" s="17" t="s">
        <v>414</v>
      </c>
      <c r="CM159" s="21">
        <v>1</v>
      </c>
      <c r="CN159" s="21">
        <v>1</v>
      </c>
      <c r="CO159" s="21">
        <v>1</v>
      </c>
      <c r="CP159" s="17" t="b">
        <v>0</v>
      </c>
      <c r="CQ159" s="17" t="b">
        <v>1</v>
      </c>
      <c r="CR159" s="17" t="b">
        <v>0</v>
      </c>
      <c r="CS159">
        <v>7500</v>
      </c>
      <c r="CT159" t="s">
        <v>1916</v>
      </c>
      <c r="CU159">
        <v>5769.23</v>
      </c>
      <c r="CV159">
        <v>1730.77</v>
      </c>
      <c r="CW159" s="22"/>
    </row>
    <row r="160" spans="1:101" x14ac:dyDescent="0.25">
      <c r="A160" s="20">
        <v>672</v>
      </c>
      <c r="B160" s="17" t="s">
        <v>420</v>
      </c>
      <c r="C160" s="17" t="s">
        <v>830</v>
      </c>
      <c r="D160" s="17" t="s">
        <v>211</v>
      </c>
      <c r="E160" s="17" t="s">
        <v>1465</v>
      </c>
      <c r="F160" s="17" t="s">
        <v>1466</v>
      </c>
      <c r="G160" s="17" t="s">
        <v>414</v>
      </c>
      <c r="H160" s="17" t="s">
        <v>1467</v>
      </c>
      <c r="I160" s="17" t="s">
        <v>414</v>
      </c>
      <c r="J160" s="17" t="s">
        <v>16</v>
      </c>
      <c r="K160" s="17" t="b">
        <v>0</v>
      </c>
      <c r="L160" s="17" t="s">
        <v>1468</v>
      </c>
      <c r="M160" s="21">
        <v>33862</v>
      </c>
      <c r="N160" s="17" t="s">
        <v>901</v>
      </c>
      <c r="O160" s="17" t="s">
        <v>17</v>
      </c>
      <c r="P160" s="17" t="s">
        <v>18</v>
      </c>
      <c r="Q160" s="17">
        <v>1</v>
      </c>
      <c r="R160" s="17" t="s">
        <v>19</v>
      </c>
      <c r="S160" s="17">
        <v>9</v>
      </c>
      <c r="T160" s="17" t="s">
        <v>434</v>
      </c>
      <c r="U160" s="21">
        <v>43647</v>
      </c>
      <c r="V160" s="17" t="s">
        <v>114</v>
      </c>
      <c r="W160" s="21">
        <v>1.2673611111111112</v>
      </c>
      <c r="X160" s="17" t="s">
        <v>1469</v>
      </c>
      <c r="Y160" s="17" t="s">
        <v>45</v>
      </c>
      <c r="Z160" s="17">
        <v>0</v>
      </c>
      <c r="AA160" s="17" t="s">
        <v>414</v>
      </c>
      <c r="AB160" s="17" t="s">
        <v>418</v>
      </c>
      <c r="AC160" s="17">
        <v>143</v>
      </c>
      <c r="AD160" s="21">
        <v>44574</v>
      </c>
      <c r="AE160" s="21">
        <v>45389</v>
      </c>
      <c r="AF160" s="17"/>
      <c r="AG160" s="21">
        <v>45754</v>
      </c>
      <c r="AH160" s="17">
        <v>65645930</v>
      </c>
      <c r="AI160" s="21">
        <v>44013</v>
      </c>
      <c r="AJ160" s="17">
        <v>4115</v>
      </c>
      <c r="AK160" s="17">
        <v>0.29749999999999999</v>
      </c>
      <c r="AL160" s="17">
        <v>1224.21</v>
      </c>
      <c r="AM160" s="17" t="b">
        <v>1</v>
      </c>
      <c r="AN160" s="17" t="b">
        <v>1</v>
      </c>
      <c r="AO160" s="21">
        <v>45449</v>
      </c>
      <c r="AP160" s="21">
        <v>45449</v>
      </c>
      <c r="AQ160" s="17" t="b">
        <v>0</v>
      </c>
      <c r="AR160" s="21">
        <v>45449</v>
      </c>
      <c r="AS160" s="21">
        <v>45449</v>
      </c>
      <c r="AT160" s="21">
        <v>43922</v>
      </c>
      <c r="AU160" s="17" t="b">
        <v>0</v>
      </c>
      <c r="AV160" s="21">
        <v>43739</v>
      </c>
      <c r="AW160" s="17" t="s">
        <v>23</v>
      </c>
      <c r="AX160" s="17" t="s">
        <v>41</v>
      </c>
      <c r="AY160" s="17" t="s">
        <v>23</v>
      </c>
      <c r="AZ160" s="17" t="s">
        <v>414</v>
      </c>
      <c r="BA160" s="21">
        <v>45449</v>
      </c>
      <c r="BB160" s="17">
        <v>0</v>
      </c>
      <c r="BC160" s="17"/>
      <c r="BD160" s="17" t="b">
        <v>0</v>
      </c>
      <c r="BE160" s="17" t="s">
        <v>1945</v>
      </c>
      <c r="BF160" s="21">
        <v>45449</v>
      </c>
      <c r="BG160" s="21">
        <v>45814</v>
      </c>
      <c r="BH160" s="17"/>
      <c r="BI160" s="21">
        <v>47111</v>
      </c>
      <c r="BJ160" s="17">
        <v>0</v>
      </c>
      <c r="BK160" s="17" t="s">
        <v>418</v>
      </c>
      <c r="BL160" s="17" t="s">
        <v>418</v>
      </c>
      <c r="BM160" s="17" t="b">
        <v>1</v>
      </c>
      <c r="BN160" s="17" t="b">
        <v>0</v>
      </c>
      <c r="BO160" s="17" t="b">
        <v>1</v>
      </c>
      <c r="BP160" s="17" t="b">
        <v>1</v>
      </c>
      <c r="BQ160" s="17" t="b">
        <v>1</v>
      </c>
      <c r="BR160" s="17" t="b">
        <v>1</v>
      </c>
      <c r="BS160" s="17" t="b">
        <v>1</v>
      </c>
      <c r="BT160" s="17" t="b">
        <v>0</v>
      </c>
      <c r="BU160" s="17" t="b">
        <v>0</v>
      </c>
      <c r="BV160" s="17">
        <v>0</v>
      </c>
      <c r="BW160" s="21">
        <v>43678</v>
      </c>
      <c r="BX160" s="17" t="s">
        <v>414</v>
      </c>
      <c r="BY160" s="17" t="s">
        <v>414</v>
      </c>
      <c r="BZ160" s="17">
        <v>0</v>
      </c>
      <c r="CA160" s="21">
        <v>45951</v>
      </c>
      <c r="CB160" s="17" t="s">
        <v>438</v>
      </c>
      <c r="CC160" s="17" t="s">
        <v>2191</v>
      </c>
      <c r="CD160" s="21"/>
      <c r="CE160" s="17"/>
      <c r="CF160" s="17" t="s">
        <v>1470</v>
      </c>
      <c r="CG160" s="17" t="b">
        <v>0</v>
      </c>
      <c r="CH160" s="17" t="s">
        <v>425</v>
      </c>
      <c r="CI160" s="17">
        <v>0</v>
      </c>
      <c r="CJ160" s="21">
        <v>45843</v>
      </c>
      <c r="CK160" s="21">
        <v>45906</v>
      </c>
      <c r="CL160" s="17" t="s">
        <v>414</v>
      </c>
      <c r="CM160" s="21">
        <v>1</v>
      </c>
      <c r="CN160" s="21">
        <v>1</v>
      </c>
      <c r="CO160" s="21">
        <v>1</v>
      </c>
      <c r="CP160" s="17" t="b">
        <v>0</v>
      </c>
      <c r="CQ160" s="17" t="b">
        <v>1</v>
      </c>
      <c r="CR160" s="17" t="b">
        <v>0</v>
      </c>
      <c r="CS160">
        <v>7300</v>
      </c>
      <c r="CT160" t="s">
        <v>1911</v>
      </c>
      <c r="CU160">
        <v>5615.38</v>
      </c>
      <c r="CV160">
        <v>1684.62</v>
      </c>
      <c r="CW160" s="22"/>
    </row>
    <row r="161" spans="1:101" x14ac:dyDescent="0.25">
      <c r="A161" s="20">
        <v>677</v>
      </c>
      <c r="B161" s="17" t="s">
        <v>862</v>
      </c>
      <c r="C161" s="17" t="s">
        <v>426</v>
      </c>
      <c r="D161" s="17" t="s">
        <v>212</v>
      </c>
      <c r="E161" s="17" t="s">
        <v>1471</v>
      </c>
      <c r="F161" s="17" t="s">
        <v>1472</v>
      </c>
      <c r="G161" s="17" t="s">
        <v>414</v>
      </c>
      <c r="H161" s="17" t="s">
        <v>899</v>
      </c>
      <c r="I161" s="17" t="s">
        <v>414</v>
      </c>
      <c r="J161" s="17" t="s">
        <v>16</v>
      </c>
      <c r="K161" s="17" t="b">
        <v>0</v>
      </c>
      <c r="L161" s="17" t="s">
        <v>1473</v>
      </c>
      <c r="M161" s="21">
        <v>34193</v>
      </c>
      <c r="N161" s="17" t="s">
        <v>901</v>
      </c>
      <c r="O161" s="17" t="s">
        <v>17</v>
      </c>
      <c r="P161" s="17" t="s">
        <v>18</v>
      </c>
      <c r="Q161" s="17">
        <v>1</v>
      </c>
      <c r="R161" s="17" t="s">
        <v>19</v>
      </c>
      <c r="S161" s="17">
        <v>8</v>
      </c>
      <c r="T161" s="17" t="s">
        <v>416</v>
      </c>
      <c r="U161" s="21">
        <v>43661</v>
      </c>
      <c r="V161" s="17" t="s">
        <v>58</v>
      </c>
      <c r="W161" s="21">
        <v>1.1076388888888888</v>
      </c>
      <c r="X161" s="17" t="s">
        <v>979</v>
      </c>
      <c r="Y161" s="17" t="s">
        <v>21</v>
      </c>
      <c r="Z161" s="17">
        <v>0</v>
      </c>
      <c r="AA161" s="17" t="s">
        <v>414</v>
      </c>
      <c r="AB161" s="17" t="s">
        <v>418</v>
      </c>
      <c r="AC161" s="17">
        <v>245</v>
      </c>
      <c r="AD161" s="21">
        <v>45245</v>
      </c>
      <c r="AE161" s="21">
        <v>45245</v>
      </c>
      <c r="AF161" s="17"/>
      <c r="AG161" s="21">
        <v>45611</v>
      </c>
      <c r="AH161" s="17">
        <v>72989932</v>
      </c>
      <c r="AI161" s="21">
        <v>44013</v>
      </c>
      <c r="AJ161" s="17">
        <v>4110</v>
      </c>
      <c r="AK161" s="17">
        <v>0.29749999999999999</v>
      </c>
      <c r="AL161" s="17">
        <v>1222.73</v>
      </c>
      <c r="AM161" s="17" t="b">
        <v>1</v>
      </c>
      <c r="AN161" s="17" t="b">
        <v>1</v>
      </c>
      <c r="AO161" s="21">
        <v>45490</v>
      </c>
      <c r="AP161" s="21">
        <v>45490</v>
      </c>
      <c r="AQ161" s="17" t="b">
        <v>0</v>
      </c>
      <c r="AR161" s="21">
        <v>45490</v>
      </c>
      <c r="AS161" s="21">
        <v>45490</v>
      </c>
      <c r="AT161" s="21">
        <v>43922</v>
      </c>
      <c r="AU161" s="17" t="b">
        <v>0</v>
      </c>
      <c r="AV161" s="21">
        <v>43753</v>
      </c>
      <c r="AW161" s="17" t="s">
        <v>41</v>
      </c>
      <c r="AX161" s="17" t="s">
        <v>23</v>
      </c>
      <c r="AY161" s="17" t="s">
        <v>41</v>
      </c>
      <c r="AZ161" s="17" t="s">
        <v>414</v>
      </c>
      <c r="BA161" s="21">
        <v>45490</v>
      </c>
      <c r="BB161" s="17">
        <v>0</v>
      </c>
      <c r="BC161" s="17"/>
      <c r="BD161" s="17" t="b">
        <v>0</v>
      </c>
      <c r="BE161" s="17" t="s">
        <v>2192</v>
      </c>
      <c r="BF161" s="21">
        <v>45490</v>
      </c>
      <c r="BG161" s="21">
        <v>45855</v>
      </c>
      <c r="BH161" s="17"/>
      <c r="BI161" s="21">
        <v>45566</v>
      </c>
      <c r="BJ161" s="17">
        <v>0</v>
      </c>
      <c r="BK161" s="17" t="s">
        <v>418</v>
      </c>
      <c r="BL161" s="17" t="s">
        <v>418</v>
      </c>
      <c r="BM161" s="17" t="b">
        <v>1</v>
      </c>
      <c r="BN161" s="17" t="b">
        <v>0</v>
      </c>
      <c r="BO161" s="17" t="b">
        <v>1</v>
      </c>
      <c r="BP161" s="17" t="b">
        <v>1</v>
      </c>
      <c r="BQ161" s="17" t="b">
        <v>0</v>
      </c>
      <c r="BR161" s="17" t="b">
        <v>1</v>
      </c>
      <c r="BS161" s="17" t="b">
        <v>1</v>
      </c>
      <c r="BT161" s="17" t="b">
        <v>0</v>
      </c>
      <c r="BU161" s="17" t="b">
        <v>0</v>
      </c>
      <c r="BV161" s="17">
        <v>0</v>
      </c>
      <c r="BW161" s="21">
        <v>43692</v>
      </c>
      <c r="BX161" s="17" t="s">
        <v>414</v>
      </c>
      <c r="BY161" s="17" t="s">
        <v>414</v>
      </c>
      <c r="BZ161" s="17">
        <v>0</v>
      </c>
      <c r="CA161" s="21">
        <v>45951</v>
      </c>
      <c r="CB161" s="17" t="s">
        <v>438</v>
      </c>
      <c r="CC161" s="17" t="s">
        <v>2193</v>
      </c>
      <c r="CD161" s="21"/>
      <c r="CE161" s="17"/>
      <c r="CF161" s="17" t="s">
        <v>1474</v>
      </c>
      <c r="CG161" s="17" t="b">
        <v>0</v>
      </c>
      <c r="CH161" s="17" t="s">
        <v>425</v>
      </c>
      <c r="CI161" s="17">
        <v>0</v>
      </c>
      <c r="CJ161" s="21">
        <v>45852</v>
      </c>
      <c r="CK161" s="21">
        <v>45906</v>
      </c>
      <c r="CL161" s="17" t="s">
        <v>414</v>
      </c>
      <c r="CM161" s="21">
        <v>1</v>
      </c>
      <c r="CN161" s="21">
        <v>1</v>
      </c>
      <c r="CO161" s="21">
        <v>1</v>
      </c>
      <c r="CP161" s="17" t="b">
        <v>0</v>
      </c>
      <c r="CQ161" s="17" t="b">
        <v>1</v>
      </c>
      <c r="CR161" s="17" t="b">
        <v>0</v>
      </c>
      <c r="CS161">
        <v>7500</v>
      </c>
      <c r="CT161" t="s">
        <v>1916</v>
      </c>
      <c r="CU161">
        <v>5769.23</v>
      </c>
      <c r="CV161">
        <v>1730.77</v>
      </c>
      <c r="CW161" s="22"/>
    </row>
    <row r="162" spans="1:101" x14ac:dyDescent="0.25">
      <c r="A162" s="20">
        <v>682</v>
      </c>
      <c r="B162" s="17" t="s">
        <v>420</v>
      </c>
      <c r="C162" s="17" t="s">
        <v>1476</v>
      </c>
      <c r="D162" s="17" t="s">
        <v>213</v>
      </c>
      <c r="E162" s="17" t="s">
        <v>1477</v>
      </c>
      <c r="F162" s="17" t="s">
        <v>1478</v>
      </c>
      <c r="G162" s="17" t="s">
        <v>414</v>
      </c>
      <c r="H162" s="17" t="s">
        <v>917</v>
      </c>
      <c r="I162" s="17" t="s">
        <v>414</v>
      </c>
      <c r="J162" s="17" t="s">
        <v>16</v>
      </c>
      <c r="K162" s="17" t="b">
        <v>0</v>
      </c>
      <c r="L162" s="17" t="s">
        <v>1479</v>
      </c>
      <c r="M162" s="21">
        <v>35788</v>
      </c>
      <c r="N162" s="17" t="s">
        <v>666</v>
      </c>
      <c r="O162" s="17" t="s">
        <v>17</v>
      </c>
      <c r="P162" s="17" t="s">
        <v>18</v>
      </c>
      <c r="Q162" s="17">
        <v>1</v>
      </c>
      <c r="R162" s="17" t="s">
        <v>19</v>
      </c>
      <c r="S162" s="17">
        <v>9</v>
      </c>
      <c r="T162" s="17" t="s">
        <v>434</v>
      </c>
      <c r="U162" s="21">
        <v>43983</v>
      </c>
      <c r="V162" s="17" t="s">
        <v>58</v>
      </c>
      <c r="W162" s="21">
        <v>1.09375</v>
      </c>
      <c r="X162" s="17" t="s">
        <v>1480</v>
      </c>
      <c r="Y162" s="17" t="s">
        <v>21</v>
      </c>
      <c r="Z162" s="17">
        <v>0</v>
      </c>
      <c r="AA162" s="17" t="s">
        <v>414</v>
      </c>
      <c r="AB162" s="17" t="s">
        <v>418</v>
      </c>
      <c r="AC162" s="17">
        <v>141</v>
      </c>
      <c r="AD162" s="21">
        <v>44574</v>
      </c>
      <c r="AE162" s="21">
        <v>45389</v>
      </c>
      <c r="AF162" s="17"/>
      <c r="AG162" s="21">
        <v>45754</v>
      </c>
      <c r="AH162" s="17">
        <v>74040660</v>
      </c>
      <c r="AI162" s="21">
        <v>44013</v>
      </c>
      <c r="AJ162" s="17">
        <v>4110</v>
      </c>
      <c r="AK162" s="17">
        <v>0.29749999999999999</v>
      </c>
      <c r="AL162" s="17">
        <v>1222.73</v>
      </c>
      <c r="AM162" s="17" t="b">
        <v>1</v>
      </c>
      <c r="AN162" s="17" t="b">
        <v>1</v>
      </c>
      <c r="AO162" s="21">
        <v>45638</v>
      </c>
      <c r="AP162" s="21">
        <v>45638</v>
      </c>
      <c r="AQ162" s="17" t="b">
        <v>0</v>
      </c>
      <c r="AR162" s="21">
        <v>45638</v>
      </c>
      <c r="AS162" s="21">
        <v>45638</v>
      </c>
      <c r="AT162" s="21">
        <v>43922</v>
      </c>
      <c r="AU162" s="17" t="b">
        <v>0</v>
      </c>
      <c r="AV162" s="21">
        <v>44075</v>
      </c>
      <c r="AW162" s="17" t="s">
        <v>41</v>
      </c>
      <c r="AX162" s="17" t="s">
        <v>23</v>
      </c>
      <c r="AY162" s="17" t="s">
        <v>41</v>
      </c>
      <c r="AZ162" s="17" t="s">
        <v>414</v>
      </c>
      <c r="BA162" s="21">
        <v>45638</v>
      </c>
      <c r="BB162" s="17">
        <v>0</v>
      </c>
      <c r="BC162" s="17"/>
      <c r="BD162" s="17" t="b">
        <v>0</v>
      </c>
      <c r="BE162" s="17" t="s">
        <v>2032</v>
      </c>
      <c r="BF162" s="21">
        <v>45638</v>
      </c>
      <c r="BG162" s="21">
        <v>46003</v>
      </c>
      <c r="BH162" s="17"/>
      <c r="BI162" s="21">
        <v>47219</v>
      </c>
      <c r="BJ162" s="17">
        <v>0</v>
      </c>
      <c r="BK162" s="17" t="s">
        <v>418</v>
      </c>
      <c r="BL162" s="17" t="s">
        <v>418</v>
      </c>
      <c r="BM162" s="17" t="b">
        <v>1</v>
      </c>
      <c r="BN162" s="17" t="b">
        <v>1</v>
      </c>
      <c r="BO162" s="17" t="b">
        <v>1</v>
      </c>
      <c r="BP162" s="17" t="b">
        <v>1</v>
      </c>
      <c r="BQ162" s="17" t="b">
        <v>1</v>
      </c>
      <c r="BR162" s="17" t="b">
        <v>1</v>
      </c>
      <c r="BS162" s="17" t="b">
        <v>1</v>
      </c>
      <c r="BT162" s="17" t="b">
        <v>0</v>
      </c>
      <c r="BU162" s="17" t="b">
        <v>0</v>
      </c>
      <c r="BV162" s="17">
        <v>0</v>
      </c>
      <c r="BW162" s="21">
        <v>44013</v>
      </c>
      <c r="BX162" s="17" t="s">
        <v>414</v>
      </c>
      <c r="BY162" s="17" t="s">
        <v>414</v>
      </c>
      <c r="BZ162" s="17">
        <v>0</v>
      </c>
      <c r="CA162" s="21">
        <v>45951</v>
      </c>
      <c r="CB162" s="17" t="s">
        <v>438</v>
      </c>
      <c r="CC162" s="17" t="s">
        <v>2194</v>
      </c>
      <c r="CD162" s="21">
        <v>45797</v>
      </c>
      <c r="CE162" s="17" t="s">
        <v>415</v>
      </c>
      <c r="CF162" s="17" t="s">
        <v>1481</v>
      </c>
      <c r="CG162" s="17" t="b">
        <v>0</v>
      </c>
      <c r="CH162" s="17" t="s">
        <v>425</v>
      </c>
      <c r="CI162" s="17">
        <v>0</v>
      </c>
      <c r="CJ162" s="21">
        <v>45845</v>
      </c>
      <c r="CK162" s="21">
        <v>45906</v>
      </c>
      <c r="CL162" s="17" t="s">
        <v>414</v>
      </c>
      <c r="CM162" s="21">
        <v>1</v>
      </c>
      <c r="CN162" s="21">
        <v>1</v>
      </c>
      <c r="CO162" s="21">
        <v>1</v>
      </c>
      <c r="CP162" s="17" t="b">
        <v>0</v>
      </c>
      <c r="CQ162" s="17" t="b">
        <v>1</v>
      </c>
      <c r="CR162" s="17" t="b">
        <v>0</v>
      </c>
      <c r="CS162">
        <v>7400</v>
      </c>
      <c r="CT162" t="s">
        <v>1917</v>
      </c>
      <c r="CU162">
        <v>5692.31</v>
      </c>
      <c r="CV162">
        <v>1707.69</v>
      </c>
      <c r="CW162" s="22"/>
    </row>
    <row r="163" spans="1:101" x14ac:dyDescent="0.25">
      <c r="A163" s="20">
        <v>684</v>
      </c>
      <c r="B163" s="17" t="s">
        <v>420</v>
      </c>
      <c r="C163" s="17" t="s">
        <v>426</v>
      </c>
      <c r="D163" s="17" t="s">
        <v>216</v>
      </c>
      <c r="E163" s="17" t="s">
        <v>1482</v>
      </c>
      <c r="F163" s="17" t="s">
        <v>1483</v>
      </c>
      <c r="G163" s="17" t="s">
        <v>414</v>
      </c>
      <c r="H163" s="17" t="s">
        <v>934</v>
      </c>
      <c r="I163" s="17" t="s">
        <v>414</v>
      </c>
      <c r="J163" s="17" t="s">
        <v>16</v>
      </c>
      <c r="K163" s="17" t="b">
        <v>0</v>
      </c>
      <c r="L163" s="17" t="s">
        <v>1484</v>
      </c>
      <c r="M163" s="21">
        <v>36438</v>
      </c>
      <c r="N163" s="17" t="s">
        <v>414</v>
      </c>
      <c r="O163" s="17" t="s">
        <v>17</v>
      </c>
      <c r="P163" s="17" t="s">
        <v>18</v>
      </c>
      <c r="Q163" s="17">
        <v>1</v>
      </c>
      <c r="R163" s="17" t="s">
        <v>19</v>
      </c>
      <c r="S163" s="17">
        <v>9</v>
      </c>
      <c r="T163" s="17" t="s">
        <v>434</v>
      </c>
      <c r="U163" s="21">
        <v>43662</v>
      </c>
      <c r="V163" s="17" t="s">
        <v>114</v>
      </c>
      <c r="W163" s="21">
        <v>1.2569444444444446</v>
      </c>
      <c r="X163" s="17" t="s">
        <v>1485</v>
      </c>
      <c r="Y163" s="17" t="s">
        <v>21</v>
      </c>
      <c r="Z163" s="17">
        <v>949900</v>
      </c>
      <c r="AA163" s="17" t="s">
        <v>22</v>
      </c>
      <c r="AB163" s="17" t="s">
        <v>443</v>
      </c>
      <c r="AC163" s="17">
        <v>0</v>
      </c>
      <c r="AD163" s="21">
        <v>1</v>
      </c>
      <c r="AE163" s="21">
        <v>2</v>
      </c>
      <c r="AF163" s="17"/>
      <c r="AG163" s="21">
        <v>368</v>
      </c>
      <c r="AH163" s="17">
        <v>66162774</v>
      </c>
      <c r="AI163" s="21">
        <v>43831</v>
      </c>
      <c r="AJ163" s="17">
        <v>4115</v>
      </c>
      <c r="AK163" s="17">
        <v>0.29749999999999999</v>
      </c>
      <c r="AL163" s="17">
        <v>1224.21</v>
      </c>
      <c r="AM163" s="17" t="b">
        <v>1</v>
      </c>
      <c r="AN163" s="17" t="b">
        <v>1</v>
      </c>
      <c r="AO163" s="21">
        <v>45449</v>
      </c>
      <c r="AP163" s="21">
        <v>45449</v>
      </c>
      <c r="AQ163" s="17" t="b">
        <v>0</v>
      </c>
      <c r="AR163" s="21">
        <v>45449</v>
      </c>
      <c r="AS163" s="21">
        <v>45449</v>
      </c>
      <c r="AT163" s="21">
        <v>43739</v>
      </c>
      <c r="AU163" s="17" t="b">
        <v>0</v>
      </c>
      <c r="AV163" s="21">
        <v>43754</v>
      </c>
      <c r="AW163" s="17" t="s">
        <v>23</v>
      </c>
      <c r="AX163" s="17" t="s">
        <v>41</v>
      </c>
      <c r="AY163" s="17" t="s">
        <v>414</v>
      </c>
      <c r="AZ163" s="17" t="s">
        <v>414</v>
      </c>
      <c r="BA163" s="21">
        <v>45449</v>
      </c>
      <c r="BB163" s="17">
        <v>0</v>
      </c>
      <c r="BC163" s="17"/>
      <c r="BD163" s="17" t="b">
        <v>0</v>
      </c>
      <c r="BE163" s="17" t="s">
        <v>2195</v>
      </c>
      <c r="BF163" s="21">
        <v>45449</v>
      </c>
      <c r="BG163" s="21">
        <v>45814</v>
      </c>
      <c r="BH163" s="17"/>
      <c r="BI163" s="21">
        <v>47556</v>
      </c>
      <c r="BJ163" s="17">
        <v>0</v>
      </c>
      <c r="BK163" s="17" t="s">
        <v>418</v>
      </c>
      <c r="BL163" s="17" t="s">
        <v>459</v>
      </c>
      <c r="BM163" s="17" t="b">
        <v>1</v>
      </c>
      <c r="BN163" s="17" t="b">
        <v>1</v>
      </c>
      <c r="BO163" s="17" t="b">
        <v>1</v>
      </c>
      <c r="BP163" s="17" t="b">
        <v>0</v>
      </c>
      <c r="BQ163" s="17" t="b">
        <v>0</v>
      </c>
      <c r="BR163" s="17" t="b">
        <v>1</v>
      </c>
      <c r="BS163" s="17" t="b">
        <v>1</v>
      </c>
      <c r="BT163" s="17" t="b">
        <v>1</v>
      </c>
      <c r="BU163" s="17" t="b">
        <v>0</v>
      </c>
      <c r="BV163" s="17">
        <v>0</v>
      </c>
      <c r="BW163" s="21">
        <v>43693</v>
      </c>
      <c r="BX163" s="17" t="s">
        <v>414</v>
      </c>
      <c r="BY163" s="17" t="s">
        <v>414</v>
      </c>
      <c r="BZ163" s="17">
        <v>0</v>
      </c>
      <c r="CA163" s="21">
        <v>45951</v>
      </c>
      <c r="CB163" s="17" t="s">
        <v>438</v>
      </c>
      <c r="CC163" s="17" t="s">
        <v>2196</v>
      </c>
      <c r="CD163" s="21"/>
      <c r="CE163" s="17"/>
      <c r="CF163" s="17" t="s">
        <v>1486</v>
      </c>
      <c r="CG163" s="17" t="b">
        <v>0</v>
      </c>
      <c r="CH163" s="17" t="s">
        <v>425</v>
      </c>
      <c r="CI163" s="17">
        <v>0</v>
      </c>
      <c r="CJ163" s="21">
        <v>45853</v>
      </c>
      <c r="CK163" s="21">
        <v>45906</v>
      </c>
      <c r="CL163" s="17" t="s">
        <v>414</v>
      </c>
      <c r="CM163" s="21">
        <v>1</v>
      </c>
      <c r="CN163" s="21">
        <v>1</v>
      </c>
      <c r="CO163" s="21">
        <v>1</v>
      </c>
      <c r="CP163" s="17" t="b">
        <v>0</v>
      </c>
      <c r="CQ163" s="17" t="b">
        <v>1</v>
      </c>
      <c r="CR163" s="17" t="b">
        <v>0</v>
      </c>
      <c r="CS163">
        <v>7300</v>
      </c>
      <c r="CT163" t="s">
        <v>1911</v>
      </c>
      <c r="CU163">
        <v>5615.38</v>
      </c>
      <c r="CV163">
        <v>1684.62</v>
      </c>
      <c r="CW163" s="22"/>
    </row>
    <row r="164" spans="1:101" x14ac:dyDescent="0.25">
      <c r="A164" s="20">
        <v>685</v>
      </c>
      <c r="B164" s="17" t="s">
        <v>426</v>
      </c>
      <c r="C164" s="17" t="s">
        <v>427</v>
      </c>
      <c r="D164" s="17" t="s">
        <v>217</v>
      </c>
      <c r="E164" s="17" t="s">
        <v>1487</v>
      </c>
      <c r="F164" s="17" t="s">
        <v>1488</v>
      </c>
      <c r="G164" s="17" t="s">
        <v>414</v>
      </c>
      <c r="H164" s="17" t="s">
        <v>934</v>
      </c>
      <c r="I164" s="17" t="s">
        <v>414</v>
      </c>
      <c r="J164" s="17" t="s">
        <v>16</v>
      </c>
      <c r="K164" s="17" t="b">
        <v>0</v>
      </c>
      <c r="L164" s="17" t="s">
        <v>1489</v>
      </c>
      <c r="M164" s="21">
        <v>32417</v>
      </c>
      <c r="N164" s="17" t="s">
        <v>901</v>
      </c>
      <c r="O164" s="17" t="s">
        <v>17</v>
      </c>
      <c r="P164" s="17" t="s">
        <v>18</v>
      </c>
      <c r="Q164" s="17">
        <v>1</v>
      </c>
      <c r="R164" s="17" t="s">
        <v>19</v>
      </c>
      <c r="S164" s="17">
        <v>21</v>
      </c>
      <c r="T164" s="17" t="s">
        <v>46</v>
      </c>
      <c r="U164" s="21">
        <v>43682</v>
      </c>
      <c r="V164" s="17" t="s">
        <v>114</v>
      </c>
      <c r="W164" s="21">
        <v>1.25</v>
      </c>
      <c r="X164" s="17" t="s">
        <v>1490</v>
      </c>
      <c r="Y164" s="17" t="s">
        <v>21</v>
      </c>
      <c r="Z164" s="17">
        <v>34220</v>
      </c>
      <c r="AA164" s="17" t="s">
        <v>46</v>
      </c>
      <c r="AB164" s="17" t="s">
        <v>418</v>
      </c>
      <c r="AC164" s="17">
        <v>246</v>
      </c>
      <c r="AD164" s="21">
        <v>45245</v>
      </c>
      <c r="AE164" s="21">
        <v>45245</v>
      </c>
      <c r="AF164" s="17"/>
      <c r="AG164" s="21">
        <v>45611</v>
      </c>
      <c r="AH164" s="17">
        <v>277578</v>
      </c>
      <c r="AI164" s="21">
        <v>44033</v>
      </c>
      <c r="AJ164" s="17">
        <v>4100</v>
      </c>
      <c r="AK164" s="17">
        <v>0.29749999999999999</v>
      </c>
      <c r="AL164" s="17">
        <v>1219.75</v>
      </c>
      <c r="AM164" s="17" t="b">
        <v>1</v>
      </c>
      <c r="AN164" s="17" t="b">
        <v>1</v>
      </c>
      <c r="AO164" s="21">
        <v>45449</v>
      </c>
      <c r="AP164" s="21">
        <v>45449</v>
      </c>
      <c r="AQ164" s="17" t="b">
        <v>0</v>
      </c>
      <c r="AR164" s="21">
        <v>45449</v>
      </c>
      <c r="AS164" s="21">
        <v>45449</v>
      </c>
      <c r="AT164" s="21">
        <v>43942</v>
      </c>
      <c r="AU164" s="17" t="b">
        <v>0</v>
      </c>
      <c r="AV164" s="21">
        <v>43774</v>
      </c>
      <c r="AW164" s="17" t="s">
        <v>23</v>
      </c>
      <c r="AX164" s="17" t="s">
        <v>41</v>
      </c>
      <c r="AY164" s="17" t="s">
        <v>23</v>
      </c>
      <c r="AZ164" s="17" t="s">
        <v>414</v>
      </c>
      <c r="BA164" s="21">
        <v>45449</v>
      </c>
      <c r="BB164" s="17">
        <v>0</v>
      </c>
      <c r="BC164" s="17"/>
      <c r="BD164" s="17" t="b">
        <v>0</v>
      </c>
      <c r="BE164" s="17" t="s">
        <v>2197</v>
      </c>
      <c r="BF164" s="21">
        <v>45449</v>
      </c>
      <c r="BG164" s="21">
        <v>45814</v>
      </c>
      <c r="BH164" s="17"/>
      <c r="BI164" s="21">
        <v>47725</v>
      </c>
      <c r="BJ164" s="17">
        <v>0</v>
      </c>
      <c r="BK164" s="17" t="s">
        <v>418</v>
      </c>
      <c r="BL164" s="17" t="s">
        <v>418</v>
      </c>
      <c r="BM164" s="17" t="b">
        <v>1</v>
      </c>
      <c r="BN164" s="17" t="b">
        <v>1</v>
      </c>
      <c r="BO164" s="17" t="b">
        <v>1</v>
      </c>
      <c r="BP164" s="17" t="b">
        <v>1</v>
      </c>
      <c r="BQ164" s="17" t="b">
        <v>1</v>
      </c>
      <c r="BR164" s="17" t="b">
        <v>1</v>
      </c>
      <c r="BS164" s="17" t="b">
        <v>1</v>
      </c>
      <c r="BT164" s="17" t="b">
        <v>1</v>
      </c>
      <c r="BU164" s="17" t="b">
        <v>0</v>
      </c>
      <c r="BV164" s="17">
        <v>0</v>
      </c>
      <c r="BW164" s="21">
        <v>43713</v>
      </c>
      <c r="BX164" s="17" t="s">
        <v>414</v>
      </c>
      <c r="BY164" s="17" t="s">
        <v>414</v>
      </c>
      <c r="BZ164" s="17">
        <v>0</v>
      </c>
      <c r="CA164" s="21">
        <v>45951</v>
      </c>
      <c r="CB164" s="17" t="s">
        <v>438</v>
      </c>
      <c r="CC164" s="17" t="s">
        <v>2198</v>
      </c>
      <c r="CD164" s="21"/>
      <c r="CE164" s="17"/>
      <c r="CF164" s="17" t="s">
        <v>1491</v>
      </c>
      <c r="CG164" s="17" t="b">
        <v>0</v>
      </c>
      <c r="CH164" s="17" t="s">
        <v>425</v>
      </c>
      <c r="CI164" s="17">
        <v>0</v>
      </c>
      <c r="CJ164" s="21">
        <v>45843</v>
      </c>
      <c r="CK164" s="21">
        <v>45906</v>
      </c>
      <c r="CL164" s="17" t="s">
        <v>414</v>
      </c>
      <c r="CM164" s="21">
        <v>1</v>
      </c>
      <c r="CN164" s="21">
        <v>1</v>
      </c>
      <c r="CO164" s="21">
        <v>1</v>
      </c>
      <c r="CP164" s="17" t="b">
        <v>0</v>
      </c>
      <c r="CQ164" s="17" t="b">
        <v>1</v>
      </c>
      <c r="CR164" s="17" t="b">
        <v>0</v>
      </c>
      <c r="CS164">
        <v>7500</v>
      </c>
      <c r="CT164" t="s">
        <v>1916</v>
      </c>
      <c r="CU164">
        <v>5769.23</v>
      </c>
      <c r="CV164">
        <v>1730.77</v>
      </c>
      <c r="CW164" s="22"/>
    </row>
    <row r="165" spans="1:101" x14ac:dyDescent="0.25">
      <c r="A165" s="20">
        <v>687</v>
      </c>
      <c r="B165" s="17" t="s">
        <v>791</v>
      </c>
      <c r="C165" s="17" t="s">
        <v>1492</v>
      </c>
      <c r="D165" s="17" t="s">
        <v>218</v>
      </c>
      <c r="E165" s="17" t="s">
        <v>1493</v>
      </c>
      <c r="F165" s="17" t="s">
        <v>1494</v>
      </c>
      <c r="G165" s="17" t="s">
        <v>414</v>
      </c>
      <c r="H165" s="17" t="s">
        <v>1453</v>
      </c>
      <c r="I165" s="17" t="s">
        <v>414</v>
      </c>
      <c r="J165" s="17" t="s">
        <v>16</v>
      </c>
      <c r="K165" s="17" t="b">
        <v>0</v>
      </c>
      <c r="L165" s="17" t="s">
        <v>1495</v>
      </c>
      <c r="M165" s="21">
        <v>35229</v>
      </c>
      <c r="N165" s="17" t="s">
        <v>666</v>
      </c>
      <c r="O165" s="17" t="s">
        <v>17</v>
      </c>
      <c r="P165" s="17" t="s">
        <v>18</v>
      </c>
      <c r="Q165" s="17">
        <v>1</v>
      </c>
      <c r="R165" s="17" t="s">
        <v>19</v>
      </c>
      <c r="S165" s="17">
        <v>9</v>
      </c>
      <c r="T165" s="17" t="s">
        <v>434</v>
      </c>
      <c r="U165" s="21">
        <v>43668</v>
      </c>
      <c r="V165" s="17" t="s">
        <v>58</v>
      </c>
      <c r="W165" s="21">
        <v>1.09375</v>
      </c>
      <c r="X165" s="17" t="s">
        <v>915</v>
      </c>
      <c r="Y165" s="17" t="s">
        <v>21</v>
      </c>
      <c r="Z165" s="17">
        <v>949700</v>
      </c>
      <c r="AA165" s="17" t="s">
        <v>51</v>
      </c>
      <c r="AB165" s="17" t="s">
        <v>443</v>
      </c>
      <c r="AC165" s="17">
        <v>0</v>
      </c>
      <c r="AD165" s="21">
        <v>1</v>
      </c>
      <c r="AE165" s="21">
        <v>2</v>
      </c>
      <c r="AF165" s="17"/>
      <c r="AG165" s="21">
        <v>368</v>
      </c>
      <c r="AH165" s="17">
        <v>75309667</v>
      </c>
      <c r="AI165" s="21">
        <v>44075</v>
      </c>
      <c r="AJ165" s="17">
        <v>2300</v>
      </c>
      <c r="AK165" s="17">
        <v>0.29749999999999999</v>
      </c>
      <c r="AL165" s="17">
        <v>684.25</v>
      </c>
      <c r="AM165" s="17" t="b">
        <v>1</v>
      </c>
      <c r="AN165" s="17" t="b">
        <v>1</v>
      </c>
      <c r="AO165" s="21">
        <v>44178</v>
      </c>
      <c r="AP165" s="21">
        <v>44192</v>
      </c>
      <c r="AQ165" s="17" t="b">
        <v>0</v>
      </c>
      <c r="AR165" s="21">
        <v>45490</v>
      </c>
      <c r="AS165" s="21">
        <v>45490</v>
      </c>
      <c r="AT165" s="21">
        <v>43983</v>
      </c>
      <c r="AU165" s="17" t="b">
        <v>0</v>
      </c>
      <c r="AV165" s="21">
        <v>43760</v>
      </c>
      <c r="AW165" s="17" t="s">
        <v>41</v>
      </c>
      <c r="AX165" s="17" t="s">
        <v>23</v>
      </c>
      <c r="AY165" s="17" t="s">
        <v>41</v>
      </c>
      <c r="AZ165" s="17" t="s">
        <v>414</v>
      </c>
      <c r="BA165" s="21">
        <v>45490</v>
      </c>
      <c r="BB165" s="17">
        <v>0</v>
      </c>
      <c r="BC165" s="17"/>
      <c r="BD165" s="17" t="b">
        <v>0</v>
      </c>
      <c r="BE165" s="17" t="s">
        <v>2199</v>
      </c>
      <c r="BF165" s="21">
        <v>45490</v>
      </c>
      <c r="BG165" s="21">
        <v>45855</v>
      </c>
      <c r="BH165" s="17"/>
      <c r="BI165" s="21">
        <v>46271</v>
      </c>
      <c r="BJ165" s="17">
        <v>0</v>
      </c>
      <c r="BK165" s="17" t="s">
        <v>418</v>
      </c>
      <c r="BL165" s="17" t="s">
        <v>418</v>
      </c>
      <c r="BM165" s="17" t="b">
        <v>1</v>
      </c>
      <c r="BN165" s="17" t="b">
        <v>0</v>
      </c>
      <c r="BO165" s="17" t="b">
        <v>1</v>
      </c>
      <c r="BP165" s="17" t="b">
        <v>1</v>
      </c>
      <c r="BQ165" s="17" t="b">
        <v>1</v>
      </c>
      <c r="BR165" s="17" t="b">
        <v>1</v>
      </c>
      <c r="BS165" s="17" t="b">
        <v>1</v>
      </c>
      <c r="BT165" s="17" t="b">
        <v>1</v>
      </c>
      <c r="BU165" s="17" t="b">
        <v>0</v>
      </c>
      <c r="BV165" s="17">
        <v>0</v>
      </c>
      <c r="BW165" s="21">
        <v>43699</v>
      </c>
      <c r="BX165" s="17" t="s">
        <v>414</v>
      </c>
      <c r="BY165" s="17" t="s">
        <v>414</v>
      </c>
      <c r="BZ165" s="17">
        <v>0</v>
      </c>
      <c r="CA165" s="21">
        <v>45951</v>
      </c>
      <c r="CB165" s="17" t="s">
        <v>438</v>
      </c>
      <c r="CC165" s="17" t="s">
        <v>2200</v>
      </c>
      <c r="CD165" s="21"/>
      <c r="CE165" s="17"/>
      <c r="CF165" s="17" t="s">
        <v>1496</v>
      </c>
      <c r="CG165" s="17" t="b">
        <v>0</v>
      </c>
      <c r="CH165" s="17" t="s">
        <v>425</v>
      </c>
      <c r="CI165" s="17">
        <v>0</v>
      </c>
      <c r="CJ165" s="21">
        <v>45843</v>
      </c>
      <c r="CK165" s="21">
        <v>45906</v>
      </c>
      <c r="CL165" s="17" t="s">
        <v>414</v>
      </c>
      <c r="CM165" s="21">
        <v>1</v>
      </c>
      <c r="CN165" s="21">
        <v>1</v>
      </c>
      <c r="CO165" s="21">
        <v>1</v>
      </c>
      <c r="CP165" s="17" t="b">
        <v>0</v>
      </c>
      <c r="CQ165" s="17" t="b">
        <v>1</v>
      </c>
      <c r="CR165" s="17" t="b">
        <v>0</v>
      </c>
      <c r="CS165">
        <v>7300</v>
      </c>
      <c r="CT165" t="s">
        <v>1911</v>
      </c>
      <c r="CU165">
        <v>5615.38</v>
      </c>
      <c r="CV165">
        <v>1684.62</v>
      </c>
      <c r="CW165" s="22"/>
    </row>
    <row r="166" spans="1:101" x14ac:dyDescent="0.25">
      <c r="A166" s="20">
        <v>690</v>
      </c>
      <c r="B166" s="17" t="s">
        <v>420</v>
      </c>
      <c r="C166" s="17" t="s">
        <v>426</v>
      </c>
      <c r="D166" s="17" t="s">
        <v>220</v>
      </c>
      <c r="E166" s="17" t="s">
        <v>1498</v>
      </c>
      <c r="F166" s="17" t="s">
        <v>1499</v>
      </c>
      <c r="G166" s="17" t="s">
        <v>414</v>
      </c>
      <c r="H166" s="17" t="s">
        <v>926</v>
      </c>
      <c r="I166" s="17" t="s">
        <v>414</v>
      </c>
      <c r="J166" s="17" t="s">
        <v>16</v>
      </c>
      <c r="K166" s="17" t="b">
        <v>0</v>
      </c>
      <c r="L166" s="17" t="s">
        <v>1500</v>
      </c>
      <c r="M166" s="21">
        <v>34012</v>
      </c>
      <c r="N166" s="17" t="s">
        <v>666</v>
      </c>
      <c r="O166" s="17" t="s">
        <v>17</v>
      </c>
      <c r="P166" s="17" t="s">
        <v>18</v>
      </c>
      <c r="Q166" s="17">
        <v>1</v>
      </c>
      <c r="R166" s="17" t="s">
        <v>19</v>
      </c>
      <c r="S166" s="17">
        <v>1</v>
      </c>
      <c r="T166" s="17" t="s">
        <v>422</v>
      </c>
      <c r="U166" s="21">
        <v>43682</v>
      </c>
      <c r="V166" s="17" t="s">
        <v>58</v>
      </c>
      <c r="W166" s="21">
        <v>1.0902777777777777</v>
      </c>
      <c r="X166" s="17" t="s">
        <v>927</v>
      </c>
      <c r="Y166" s="17" t="s">
        <v>21</v>
      </c>
      <c r="Z166" s="17">
        <v>949700</v>
      </c>
      <c r="AA166" s="17" t="s">
        <v>51</v>
      </c>
      <c r="AB166" s="17" t="s">
        <v>443</v>
      </c>
      <c r="AC166" s="17">
        <v>0</v>
      </c>
      <c r="AD166" s="21">
        <v>1</v>
      </c>
      <c r="AE166" s="21">
        <v>2</v>
      </c>
      <c r="AF166" s="17"/>
      <c r="AG166" s="21">
        <v>368</v>
      </c>
      <c r="AH166" s="17">
        <v>71950145</v>
      </c>
      <c r="AI166" s="21">
        <v>44075</v>
      </c>
      <c r="AJ166" s="17">
        <v>4115</v>
      </c>
      <c r="AK166" s="17">
        <v>0.29749999999999999</v>
      </c>
      <c r="AL166" s="17">
        <v>1224.21</v>
      </c>
      <c r="AM166" s="17" t="b">
        <v>1</v>
      </c>
      <c r="AN166" s="17" t="b">
        <v>1</v>
      </c>
      <c r="AO166" s="21">
        <v>44198</v>
      </c>
      <c r="AP166" s="21">
        <v>44219</v>
      </c>
      <c r="AQ166" s="17" t="b">
        <v>0</v>
      </c>
      <c r="AR166" s="21">
        <v>45490</v>
      </c>
      <c r="AS166" s="21">
        <v>45490</v>
      </c>
      <c r="AT166" s="21">
        <v>43983</v>
      </c>
      <c r="AU166" s="17" t="b">
        <v>0</v>
      </c>
      <c r="AV166" s="21">
        <v>43774</v>
      </c>
      <c r="AW166" s="17" t="s">
        <v>41</v>
      </c>
      <c r="AX166" s="17" t="s">
        <v>23</v>
      </c>
      <c r="AY166" s="17" t="s">
        <v>41</v>
      </c>
      <c r="AZ166" s="17" t="s">
        <v>414</v>
      </c>
      <c r="BA166" s="21">
        <v>45490</v>
      </c>
      <c r="BB166" s="17">
        <v>0</v>
      </c>
      <c r="BC166" s="17"/>
      <c r="BD166" s="17" t="b">
        <v>0</v>
      </c>
      <c r="BE166" s="17" t="s">
        <v>2197</v>
      </c>
      <c r="BF166" s="21">
        <v>45490</v>
      </c>
      <c r="BG166" s="21">
        <v>45855</v>
      </c>
      <c r="BH166" s="17"/>
      <c r="BI166" s="21">
        <v>45424</v>
      </c>
      <c r="BJ166" s="17">
        <v>0</v>
      </c>
      <c r="BK166" s="17" t="s">
        <v>741</v>
      </c>
      <c r="BL166" s="17" t="s">
        <v>418</v>
      </c>
      <c r="BM166" s="17" t="b">
        <v>1</v>
      </c>
      <c r="BN166" s="17" t="b">
        <v>0</v>
      </c>
      <c r="BO166" s="17" t="b">
        <v>1</v>
      </c>
      <c r="BP166" s="17" t="b">
        <v>1</v>
      </c>
      <c r="BQ166" s="17" t="b">
        <v>1</v>
      </c>
      <c r="BR166" s="17" t="b">
        <v>0</v>
      </c>
      <c r="BS166" s="17" t="b">
        <v>1</v>
      </c>
      <c r="BT166" s="17" t="b">
        <v>1</v>
      </c>
      <c r="BU166" s="17" t="b">
        <v>0</v>
      </c>
      <c r="BV166" s="17">
        <v>0</v>
      </c>
      <c r="BW166" s="21">
        <v>43713</v>
      </c>
      <c r="BX166" s="17" t="s">
        <v>414</v>
      </c>
      <c r="BY166" s="17" t="s">
        <v>414</v>
      </c>
      <c r="BZ166" s="17">
        <v>0</v>
      </c>
      <c r="CA166" s="21">
        <v>45951</v>
      </c>
      <c r="CB166" s="17" t="s">
        <v>438</v>
      </c>
      <c r="CC166" s="17" t="s">
        <v>2201</v>
      </c>
      <c r="CD166" s="21"/>
      <c r="CE166" s="17"/>
      <c r="CF166" s="17" t="s">
        <v>1501</v>
      </c>
      <c r="CG166" s="17" t="b">
        <v>0</v>
      </c>
      <c r="CH166" s="17" t="s">
        <v>425</v>
      </c>
      <c r="CI166" s="17">
        <v>0</v>
      </c>
      <c r="CJ166" s="21">
        <v>45843</v>
      </c>
      <c r="CK166" s="21">
        <v>1</v>
      </c>
      <c r="CL166" s="17" t="s">
        <v>414</v>
      </c>
      <c r="CM166" s="21">
        <v>1</v>
      </c>
      <c r="CN166" s="21">
        <v>1</v>
      </c>
      <c r="CO166" s="21">
        <v>1</v>
      </c>
      <c r="CP166" s="17" t="b">
        <v>0</v>
      </c>
      <c r="CQ166" s="17" t="b">
        <v>1</v>
      </c>
      <c r="CR166" s="17" t="b">
        <v>0</v>
      </c>
      <c r="CS166">
        <v>7100</v>
      </c>
      <c r="CT166" t="s">
        <v>1913</v>
      </c>
      <c r="CU166">
        <v>5461.54</v>
      </c>
      <c r="CV166">
        <v>1638.46</v>
      </c>
      <c r="CW166" s="22"/>
    </row>
    <row r="167" spans="1:101" x14ac:dyDescent="0.25">
      <c r="A167" s="20">
        <v>692</v>
      </c>
      <c r="B167" s="17" t="s">
        <v>426</v>
      </c>
      <c r="C167" s="17" t="s">
        <v>1502</v>
      </c>
      <c r="D167" s="17" t="s">
        <v>221</v>
      </c>
      <c r="E167" s="17" t="s">
        <v>1503</v>
      </c>
      <c r="F167" s="17" t="s">
        <v>1504</v>
      </c>
      <c r="G167" s="17" t="s">
        <v>414</v>
      </c>
      <c r="H167" s="17" t="s">
        <v>970</v>
      </c>
      <c r="I167" s="17" t="s">
        <v>414</v>
      </c>
      <c r="J167" s="17" t="s">
        <v>16</v>
      </c>
      <c r="K167" s="17" t="b">
        <v>0</v>
      </c>
      <c r="L167" s="17" t="s">
        <v>1505</v>
      </c>
      <c r="M167" s="21">
        <v>33440</v>
      </c>
      <c r="N167" s="17" t="s">
        <v>901</v>
      </c>
      <c r="O167" s="17" t="s">
        <v>17</v>
      </c>
      <c r="P167" s="17" t="s">
        <v>18</v>
      </c>
      <c r="Q167" s="17">
        <v>1</v>
      </c>
      <c r="R167" s="17" t="s">
        <v>19</v>
      </c>
      <c r="S167" s="17">
        <v>8</v>
      </c>
      <c r="T167" s="17" t="s">
        <v>416</v>
      </c>
      <c r="U167" s="21">
        <v>43684</v>
      </c>
      <c r="V167" s="17" t="s">
        <v>114</v>
      </c>
      <c r="W167" s="21">
        <v>1.2604166666666665</v>
      </c>
      <c r="X167" s="17" t="s">
        <v>989</v>
      </c>
      <c r="Y167" s="17" t="s">
        <v>21</v>
      </c>
      <c r="Z167" s="17">
        <v>834000</v>
      </c>
      <c r="AA167" s="17" t="s">
        <v>69</v>
      </c>
      <c r="AB167" s="17" t="s">
        <v>418</v>
      </c>
      <c r="AC167" s="17">
        <v>157</v>
      </c>
      <c r="AD167" s="21">
        <v>44705</v>
      </c>
      <c r="AE167" s="21">
        <v>45077</v>
      </c>
      <c r="AF167" s="17"/>
      <c r="AG167" s="21">
        <v>45443</v>
      </c>
      <c r="AH167" s="17">
        <v>64435840</v>
      </c>
      <c r="AI167" s="21">
        <v>44531</v>
      </c>
      <c r="AJ167" s="17">
        <v>4110</v>
      </c>
      <c r="AK167" s="17">
        <v>0.29749999999999999</v>
      </c>
      <c r="AL167" s="17">
        <v>1222.73</v>
      </c>
      <c r="AM167" s="17" t="b">
        <v>1</v>
      </c>
      <c r="AN167" s="17" t="b">
        <v>1</v>
      </c>
      <c r="AO167" s="21">
        <v>44550</v>
      </c>
      <c r="AP167" s="21">
        <v>44556</v>
      </c>
      <c r="AQ167" s="17" t="b">
        <v>0</v>
      </c>
      <c r="AR167" s="21">
        <v>45449</v>
      </c>
      <c r="AS167" s="21">
        <v>45449</v>
      </c>
      <c r="AT167" s="21">
        <v>44440</v>
      </c>
      <c r="AU167" s="17" t="b">
        <v>0</v>
      </c>
      <c r="AV167" s="21">
        <v>43776</v>
      </c>
      <c r="AW167" s="17" t="s">
        <v>23</v>
      </c>
      <c r="AX167" s="17" t="s">
        <v>41</v>
      </c>
      <c r="AY167" s="17" t="s">
        <v>23</v>
      </c>
      <c r="AZ167" s="17" t="s">
        <v>414</v>
      </c>
      <c r="BA167" s="21">
        <v>45449</v>
      </c>
      <c r="BB167" s="17">
        <v>0</v>
      </c>
      <c r="BC167" s="17"/>
      <c r="BD167" s="17" t="b">
        <v>0</v>
      </c>
      <c r="BE167" s="17" t="s">
        <v>2202</v>
      </c>
      <c r="BF167" s="21">
        <v>45449</v>
      </c>
      <c r="BG167" s="21">
        <v>45814</v>
      </c>
      <c r="BH167" s="17"/>
      <c r="BI167" s="21">
        <v>47089</v>
      </c>
      <c r="BJ167" s="17">
        <v>0</v>
      </c>
      <c r="BK167" s="17" t="s">
        <v>418</v>
      </c>
      <c r="BL167" s="17" t="s">
        <v>418</v>
      </c>
      <c r="BM167" s="17" t="b">
        <v>1</v>
      </c>
      <c r="BN167" s="17" t="b">
        <v>0</v>
      </c>
      <c r="BO167" s="17" t="b">
        <v>1</v>
      </c>
      <c r="BP167" s="17" t="b">
        <v>1</v>
      </c>
      <c r="BQ167" s="17" t="b">
        <v>1</v>
      </c>
      <c r="BR167" s="17" t="b">
        <v>1</v>
      </c>
      <c r="BS167" s="17" t="b">
        <v>1</v>
      </c>
      <c r="BT167" s="17" t="b">
        <v>1</v>
      </c>
      <c r="BU167" s="17" t="b">
        <v>1</v>
      </c>
      <c r="BV167" s="17">
        <v>0</v>
      </c>
      <c r="BW167" s="21">
        <v>43715</v>
      </c>
      <c r="BX167" s="17" t="s">
        <v>414</v>
      </c>
      <c r="BY167" s="17" t="s">
        <v>414</v>
      </c>
      <c r="BZ167" s="17">
        <v>0</v>
      </c>
      <c r="CA167" s="21">
        <v>45951</v>
      </c>
      <c r="CB167" s="17" t="s">
        <v>438</v>
      </c>
      <c r="CC167" s="17" t="s">
        <v>2203</v>
      </c>
      <c r="CD167" s="21"/>
      <c r="CE167" s="17"/>
      <c r="CF167" s="17" t="s">
        <v>1506</v>
      </c>
      <c r="CG167" s="17" t="b">
        <v>0</v>
      </c>
      <c r="CH167" s="17" t="s">
        <v>425</v>
      </c>
      <c r="CI167" s="17">
        <v>0</v>
      </c>
      <c r="CJ167" s="21">
        <v>45840</v>
      </c>
      <c r="CK167" s="21">
        <v>45906</v>
      </c>
      <c r="CL167" s="17" t="s">
        <v>414</v>
      </c>
      <c r="CM167" s="21">
        <v>1</v>
      </c>
      <c r="CN167" s="21">
        <v>1</v>
      </c>
      <c r="CO167" s="21">
        <v>1</v>
      </c>
      <c r="CP167" s="17" t="b">
        <v>0</v>
      </c>
      <c r="CQ167" s="17" t="b">
        <v>1</v>
      </c>
      <c r="CR167" s="17" t="b">
        <v>0</v>
      </c>
      <c r="CS167">
        <v>7500</v>
      </c>
      <c r="CT167" t="s">
        <v>1916</v>
      </c>
      <c r="CU167">
        <v>5769.23</v>
      </c>
      <c r="CV167">
        <v>1730.77</v>
      </c>
      <c r="CW167" s="22"/>
    </row>
    <row r="168" spans="1:101" x14ac:dyDescent="0.25">
      <c r="A168" s="20">
        <v>702</v>
      </c>
      <c r="B168" s="17" t="s">
        <v>426</v>
      </c>
      <c r="C168" s="17" t="s">
        <v>837</v>
      </c>
      <c r="D168" s="17" t="s">
        <v>222</v>
      </c>
      <c r="E168" s="17" t="s">
        <v>1507</v>
      </c>
      <c r="F168" s="17" t="s">
        <v>1508</v>
      </c>
      <c r="G168" s="17" t="s">
        <v>414</v>
      </c>
      <c r="H168" s="17" t="s">
        <v>840</v>
      </c>
      <c r="I168" s="17" t="s">
        <v>414</v>
      </c>
      <c r="J168" s="17" t="s">
        <v>16</v>
      </c>
      <c r="K168" s="17" t="b">
        <v>0</v>
      </c>
      <c r="L168" s="17" t="s">
        <v>1509</v>
      </c>
      <c r="M168" s="21">
        <v>32548</v>
      </c>
      <c r="N168" s="17" t="s">
        <v>414</v>
      </c>
      <c r="O168" s="17" t="s">
        <v>17</v>
      </c>
      <c r="P168" s="17" t="s">
        <v>18</v>
      </c>
      <c r="Q168" s="17">
        <v>1</v>
      </c>
      <c r="R168" s="17" t="s">
        <v>19</v>
      </c>
      <c r="S168" s="17">
        <v>8</v>
      </c>
      <c r="T168" s="17" t="s">
        <v>416</v>
      </c>
      <c r="U168" s="21">
        <v>43120</v>
      </c>
      <c r="V168" s="17" t="s">
        <v>20</v>
      </c>
      <c r="W168" s="21">
        <v>1.2847222222222223</v>
      </c>
      <c r="X168" s="17" t="s">
        <v>1510</v>
      </c>
      <c r="Y168" s="17" t="s">
        <v>21</v>
      </c>
      <c r="Z168" s="17">
        <v>949900</v>
      </c>
      <c r="AA168" s="17" t="s">
        <v>22</v>
      </c>
      <c r="AB168" s="17" t="s">
        <v>418</v>
      </c>
      <c r="AC168" s="17">
        <v>196</v>
      </c>
      <c r="AD168" s="21">
        <v>45004</v>
      </c>
      <c r="AE168" s="21">
        <v>45389</v>
      </c>
      <c r="AF168" s="17"/>
      <c r="AG168" s="21">
        <v>45754</v>
      </c>
      <c r="AH168" s="17">
        <v>34340285</v>
      </c>
      <c r="AI168" s="21">
        <v>43831</v>
      </c>
      <c r="AJ168" s="17">
        <v>4110</v>
      </c>
      <c r="AK168" s="17">
        <v>0.29749999999999999</v>
      </c>
      <c r="AL168" s="17">
        <v>1222.73</v>
      </c>
      <c r="AM168" s="17" t="b">
        <v>1</v>
      </c>
      <c r="AN168" s="17" t="b">
        <v>1</v>
      </c>
      <c r="AO168" s="21">
        <v>45638</v>
      </c>
      <c r="AP168" s="21">
        <v>45638</v>
      </c>
      <c r="AQ168" s="17" t="b">
        <v>0</v>
      </c>
      <c r="AR168" s="21">
        <v>45638</v>
      </c>
      <c r="AS168" s="21">
        <v>45638</v>
      </c>
      <c r="AT168" s="21">
        <v>43739</v>
      </c>
      <c r="AU168" s="17" t="b">
        <v>0</v>
      </c>
      <c r="AV168" s="21">
        <v>43210</v>
      </c>
      <c r="AW168" s="17" t="s">
        <v>41</v>
      </c>
      <c r="AX168" s="17" t="s">
        <v>23</v>
      </c>
      <c r="AY168" s="17" t="s">
        <v>414</v>
      </c>
      <c r="AZ168" s="17" t="s">
        <v>414</v>
      </c>
      <c r="BA168" s="21">
        <v>45638</v>
      </c>
      <c r="BB168" s="17">
        <v>0</v>
      </c>
      <c r="BC168" s="17"/>
      <c r="BD168" s="17" t="b">
        <v>0</v>
      </c>
      <c r="BE168" s="17" t="s">
        <v>2204</v>
      </c>
      <c r="BF168" s="21">
        <v>45638</v>
      </c>
      <c r="BG168" s="21">
        <v>46003</v>
      </c>
      <c r="BH168" s="17"/>
      <c r="BI168" s="21">
        <v>47970</v>
      </c>
      <c r="BJ168" s="17">
        <v>0</v>
      </c>
      <c r="BK168" s="17" t="s">
        <v>418</v>
      </c>
      <c r="BL168" s="17" t="s">
        <v>418</v>
      </c>
      <c r="BM168" s="17" t="b">
        <v>1</v>
      </c>
      <c r="BN168" s="17" t="b">
        <v>0</v>
      </c>
      <c r="BO168" s="17" t="b">
        <v>1</v>
      </c>
      <c r="BP168" s="17" t="b">
        <v>1</v>
      </c>
      <c r="BQ168" s="17" t="b">
        <v>0</v>
      </c>
      <c r="BR168" s="17" t="b">
        <v>1</v>
      </c>
      <c r="BS168" s="17" t="b">
        <v>0</v>
      </c>
      <c r="BT168" s="17" t="b">
        <v>0</v>
      </c>
      <c r="BU168" s="17" t="b">
        <v>0</v>
      </c>
      <c r="BV168" s="17">
        <v>0</v>
      </c>
      <c r="BW168" s="21">
        <v>43151</v>
      </c>
      <c r="BX168" s="17" t="s">
        <v>414</v>
      </c>
      <c r="BY168" s="17" t="s">
        <v>414</v>
      </c>
      <c r="BZ168" s="17">
        <v>0</v>
      </c>
      <c r="CA168" s="21">
        <v>45951</v>
      </c>
      <c r="CB168" s="17" t="s">
        <v>438</v>
      </c>
      <c r="CC168" s="17" t="s">
        <v>2205</v>
      </c>
      <c r="CD168" s="21"/>
      <c r="CE168" s="17"/>
      <c r="CF168" s="17" t="s">
        <v>1511</v>
      </c>
      <c r="CG168" s="17" t="b">
        <v>0</v>
      </c>
      <c r="CH168" s="17" t="s">
        <v>610</v>
      </c>
      <c r="CI168" s="17">
        <v>0</v>
      </c>
      <c r="CJ168" s="21">
        <v>45843</v>
      </c>
      <c r="CK168" s="21">
        <v>45906</v>
      </c>
      <c r="CL168" s="17" t="s">
        <v>414</v>
      </c>
      <c r="CM168" s="21">
        <v>1</v>
      </c>
      <c r="CN168" s="21">
        <v>1</v>
      </c>
      <c r="CO168" s="21">
        <v>1</v>
      </c>
      <c r="CP168" s="17" t="b">
        <v>0</v>
      </c>
      <c r="CQ168" s="17" t="b">
        <v>1</v>
      </c>
      <c r="CR168" s="17" t="b">
        <v>0</v>
      </c>
      <c r="CS168">
        <v>7500</v>
      </c>
      <c r="CT168" t="s">
        <v>1916</v>
      </c>
      <c r="CU168">
        <v>5769.23</v>
      </c>
      <c r="CV168">
        <v>1730.77</v>
      </c>
      <c r="CW168" s="22"/>
    </row>
    <row r="169" spans="1:101" x14ac:dyDescent="0.25">
      <c r="A169" s="20">
        <v>708</v>
      </c>
      <c r="B169" s="17" t="s">
        <v>426</v>
      </c>
      <c r="C169" s="17" t="s">
        <v>426</v>
      </c>
      <c r="D169" s="17" t="s">
        <v>1512</v>
      </c>
      <c r="E169" s="17" t="s">
        <v>1513</v>
      </c>
      <c r="F169" s="17" t="s">
        <v>1514</v>
      </c>
      <c r="G169" s="17" t="s">
        <v>414</v>
      </c>
      <c r="H169" s="17" t="s">
        <v>1515</v>
      </c>
      <c r="I169" s="17" t="s">
        <v>414</v>
      </c>
      <c r="J169" s="17" t="s">
        <v>96</v>
      </c>
      <c r="K169" s="17" t="b">
        <v>0</v>
      </c>
      <c r="L169" s="17" t="s">
        <v>1516</v>
      </c>
      <c r="M169" s="21">
        <v>45477</v>
      </c>
      <c r="N169" s="17" t="s">
        <v>414</v>
      </c>
      <c r="O169" s="17" t="s">
        <v>17</v>
      </c>
      <c r="P169" s="17" t="s">
        <v>18</v>
      </c>
      <c r="Q169" s="17">
        <v>7</v>
      </c>
      <c r="R169" s="17" t="s">
        <v>163</v>
      </c>
      <c r="S169" s="17">
        <v>32</v>
      </c>
      <c r="T169" s="17" t="s">
        <v>1126</v>
      </c>
      <c r="U169" s="21">
        <v>43802</v>
      </c>
      <c r="V169" s="17" t="s">
        <v>829</v>
      </c>
      <c r="W169" s="21">
        <v>1.28125</v>
      </c>
      <c r="X169" s="17" t="s">
        <v>1517</v>
      </c>
      <c r="Y169" s="17" t="s">
        <v>21</v>
      </c>
      <c r="Z169" s="17">
        <v>0</v>
      </c>
      <c r="AA169" s="17" t="s">
        <v>414</v>
      </c>
      <c r="AB169" s="17" t="s">
        <v>443</v>
      </c>
      <c r="AC169" s="17">
        <v>0</v>
      </c>
      <c r="AD169" s="21">
        <v>1</v>
      </c>
      <c r="AE169" s="21">
        <v>2</v>
      </c>
      <c r="AF169" s="17"/>
      <c r="AG169" s="21">
        <v>368</v>
      </c>
      <c r="AH169" s="17">
        <v>0</v>
      </c>
      <c r="AI169" s="21">
        <v>1</v>
      </c>
      <c r="AJ169" s="17">
        <v>0</v>
      </c>
      <c r="AK169" s="17">
        <v>0.29749999999999999</v>
      </c>
      <c r="AL169" s="17">
        <v>0</v>
      </c>
      <c r="AM169" s="17" t="b">
        <v>0</v>
      </c>
      <c r="AN169" s="17" t="b">
        <v>0</v>
      </c>
      <c r="AO169" s="21">
        <v>45477</v>
      </c>
      <c r="AP169" s="21">
        <v>45477</v>
      </c>
      <c r="AQ169" s="17" t="b">
        <v>0</v>
      </c>
      <c r="AR169" s="21">
        <v>45477</v>
      </c>
      <c r="AS169" s="21">
        <v>45477</v>
      </c>
      <c r="AT169" s="21">
        <v>-90</v>
      </c>
      <c r="AU169" s="17" t="b">
        <v>0</v>
      </c>
      <c r="AV169" s="21">
        <v>43893</v>
      </c>
      <c r="AW169" s="17" t="s">
        <v>23</v>
      </c>
      <c r="AX169" s="17" t="s">
        <v>41</v>
      </c>
      <c r="AY169" s="17" t="s">
        <v>414</v>
      </c>
      <c r="AZ169" s="17" t="s">
        <v>414</v>
      </c>
      <c r="BA169" s="21">
        <v>45477</v>
      </c>
      <c r="BB169" s="17">
        <v>0</v>
      </c>
      <c r="BC169" s="17"/>
      <c r="BD169" s="17" t="b">
        <v>0</v>
      </c>
      <c r="BE169" s="17" t="s">
        <v>2206</v>
      </c>
      <c r="BF169" s="21">
        <v>45477</v>
      </c>
      <c r="BG169" s="21">
        <v>45842</v>
      </c>
      <c r="BH169" s="17"/>
      <c r="BI169" s="21">
        <v>45477</v>
      </c>
      <c r="BJ169" s="17">
        <v>0</v>
      </c>
      <c r="BK169" s="17" t="s">
        <v>443</v>
      </c>
      <c r="BL169" s="17" t="s">
        <v>443</v>
      </c>
      <c r="BM169" s="17" t="b">
        <v>0</v>
      </c>
      <c r="BN169" s="17" t="b">
        <v>0</v>
      </c>
      <c r="BO169" s="17" t="b">
        <v>0</v>
      </c>
      <c r="BP169" s="17" t="b">
        <v>0</v>
      </c>
      <c r="BQ169" s="17" t="b">
        <v>0</v>
      </c>
      <c r="BR169" s="17" t="b">
        <v>0</v>
      </c>
      <c r="BS169" s="17" t="b">
        <v>0</v>
      </c>
      <c r="BT169" s="17" t="b">
        <v>0</v>
      </c>
      <c r="BU169" s="17" t="b">
        <v>0</v>
      </c>
      <c r="BV169" s="17">
        <v>0</v>
      </c>
      <c r="BW169" s="21">
        <v>43833</v>
      </c>
      <c r="BX169" s="17" t="s">
        <v>414</v>
      </c>
      <c r="BY169" s="17" t="s">
        <v>414</v>
      </c>
      <c r="BZ169" s="17">
        <v>0</v>
      </c>
      <c r="CA169" s="21">
        <v>45825</v>
      </c>
      <c r="CB169" s="17" t="s">
        <v>438</v>
      </c>
      <c r="CC169" s="17" t="s">
        <v>2207</v>
      </c>
      <c r="CD169" s="21"/>
      <c r="CE169" s="17"/>
      <c r="CF169" s="17" t="s">
        <v>414</v>
      </c>
      <c r="CG169" s="17" t="b">
        <v>0</v>
      </c>
      <c r="CH169" s="17" t="s">
        <v>414</v>
      </c>
      <c r="CI169" s="17"/>
      <c r="CJ169" s="21"/>
      <c r="CK169" s="21"/>
      <c r="CL169" s="17"/>
      <c r="CM169" s="21"/>
      <c r="CN169" s="21"/>
      <c r="CO169" s="21"/>
      <c r="CP169" s="17"/>
      <c r="CQ169" s="17"/>
      <c r="CR169" s="17"/>
      <c r="CW169" s="22"/>
    </row>
    <row r="170" spans="1:101" x14ac:dyDescent="0.25">
      <c r="A170" s="20">
        <v>715</v>
      </c>
      <c r="B170" s="17" t="s">
        <v>514</v>
      </c>
      <c r="C170" s="17" t="s">
        <v>506</v>
      </c>
      <c r="D170" s="17" t="s">
        <v>223</v>
      </c>
      <c r="E170" s="17" t="s">
        <v>1519</v>
      </c>
      <c r="F170" s="17" t="s">
        <v>1520</v>
      </c>
      <c r="G170" s="17" t="s">
        <v>414</v>
      </c>
      <c r="H170" s="17" t="s">
        <v>1521</v>
      </c>
      <c r="I170" s="17" t="s">
        <v>414</v>
      </c>
      <c r="J170" s="17" t="s">
        <v>16</v>
      </c>
      <c r="K170" s="17" t="b">
        <v>0</v>
      </c>
      <c r="L170" s="17" t="s">
        <v>1522</v>
      </c>
      <c r="M170" s="21">
        <v>33612</v>
      </c>
      <c r="N170" s="17" t="s">
        <v>1523</v>
      </c>
      <c r="O170" s="17" t="s">
        <v>17</v>
      </c>
      <c r="P170" s="17" t="s">
        <v>18</v>
      </c>
      <c r="Q170" s="17">
        <v>1</v>
      </c>
      <c r="R170" s="17" t="s">
        <v>19</v>
      </c>
      <c r="S170" s="17">
        <v>9</v>
      </c>
      <c r="T170" s="17" t="s">
        <v>434</v>
      </c>
      <c r="U170" s="21">
        <v>43466</v>
      </c>
      <c r="V170" s="17" t="s">
        <v>61</v>
      </c>
      <c r="W170" s="21">
        <v>1.28125</v>
      </c>
      <c r="X170" s="17" t="s">
        <v>417</v>
      </c>
      <c r="Y170" s="17" t="s">
        <v>21</v>
      </c>
      <c r="Z170" s="17">
        <v>0</v>
      </c>
      <c r="AA170" s="17" t="s">
        <v>414</v>
      </c>
      <c r="AB170" s="17" t="s">
        <v>443</v>
      </c>
      <c r="AC170" s="17">
        <v>0</v>
      </c>
      <c r="AD170" s="21">
        <v>1</v>
      </c>
      <c r="AE170" s="21">
        <v>2</v>
      </c>
      <c r="AF170" s="17"/>
      <c r="AG170" s="21">
        <v>368</v>
      </c>
      <c r="AH170" s="17">
        <v>74079132</v>
      </c>
      <c r="AI170" s="21">
        <v>44228</v>
      </c>
      <c r="AJ170" s="17">
        <v>4115</v>
      </c>
      <c r="AK170" s="17">
        <v>0.29749999999999999</v>
      </c>
      <c r="AL170" s="17">
        <v>1224.21</v>
      </c>
      <c r="AM170" s="17" t="b">
        <v>1</v>
      </c>
      <c r="AN170" s="17" t="b">
        <v>1</v>
      </c>
      <c r="AO170" s="21">
        <v>44333</v>
      </c>
      <c r="AP170" s="21">
        <v>44347</v>
      </c>
      <c r="AQ170" s="17" t="b">
        <v>0</v>
      </c>
      <c r="AR170" s="21">
        <v>45477</v>
      </c>
      <c r="AS170" s="21">
        <v>45477</v>
      </c>
      <c r="AT170" s="21">
        <v>44136</v>
      </c>
      <c r="AU170" s="17" t="b">
        <v>0</v>
      </c>
      <c r="AV170" s="21">
        <v>43556</v>
      </c>
      <c r="AW170" s="17" t="s">
        <v>41</v>
      </c>
      <c r="AX170" s="17" t="s">
        <v>23</v>
      </c>
      <c r="AY170" s="17" t="s">
        <v>414</v>
      </c>
      <c r="AZ170" s="17" t="s">
        <v>414</v>
      </c>
      <c r="BA170" s="21">
        <v>45477</v>
      </c>
      <c r="BB170" s="17">
        <v>0</v>
      </c>
      <c r="BC170" s="17"/>
      <c r="BD170" s="17" t="b">
        <v>0</v>
      </c>
      <c r="BE170" s="17" t="s">
        <v>2030</v>
      </c>
      <c r="BF170" s="21">
        <v>45477</v>
      </c>
      <c r="BG170" s="21">
        <v>45842</v>
      </c>
      <c r="BH170" s="17"/>
      <c r="BI170" s="21">
        <v>45480</v>
      </c>
      <c r="BJ170" s="17">
        <v>0</v>
      </c>
      <c r="BK170" s="17" t="s">
        <v>418</v>
      </c>
      <c r="BL170" s="17" t="s">
        <v>459</v>
      </c>
      <c r="BM170" s="17" t="b">
        <v>1</v>
      </c>
      <c r="BN170" s="17" t="b">
        <v>1</v>
      </c>
      <c r="BO170" s="17" t="b">
        <v>1</v>
      </c>
      <c r="BP170" s="17" t="b">
        <v>1</v>
      </c>
      <c r="BQ170" s="17" t="b">
        <v>1</v>
      </c>
      <c r="BR170" s="17" t="b">
        <v>0</v>
      </c>
      <c r="BS170" s="17" t="b">
        <v>1</v>
      </c>
      <c r="BT170" s="17" t="b">
        <v>1</v>
      </c>
      <c r="BU170" s="17" t="b">
        <v>1</v>
      </c>
      <c r="BV170" s="17">
        <v>0</v>
      </c>
      <c r="BW170" s="21">
        <v>43497</v>
      </c>
      <c r="BX170" s="17" t="s">
        <v>414</v>
      </c>
      <c r="BY170" s="17" t="s">
        <v>414</v>
      </c>
      <c r="BZ170" s="17">
        <v>0</v>
      </c>
      <c r="CA170" s="21">
        <v>45951</v>
      </c>
      <c r="CB170" s="17" t="s">
        <v>438</v>
      </c>
      <c r="CC170" s="17" t="s">
        <v>1927</v>
      </c>
      <c r="CD170" s="21"/>
      <c r="CE170" s="17"/>
      <c r="CF170" s="17" t="s">
        <v>1524</v>
      </c>
      <c r="CG170" s="17" t="b">
        <v>0</v>
      </c>
      <c r="CH170" s="17" t="s">
        <v>1525</v>
      </c>
      <c r="CI170" s="17">
        <v>0</v>
      </c>
      <c r="CJ170" s="21">
        <v>45844</v>
      </c>
      <c r="CK170" s="21">
        <v>1</v>
      </c>
      <c r="CL170" s="17" t="s">
        <v>414</v>
      </c>
      <c r="CM170" s="21">
        <v>1</v>
      </c>
      <c r="CN170" s="21">
        <v>1</v>
      </c>
      <c r="CO170" s="21">
        <v>1</v>
      </c>
      <c r="CP170" s="17" t="b">
        <v>0</v>
      </c>
      <c r="CQ170" s="17" t="b">
        <v>1</v>
      </c>
      <c r="CR170" s="17" t="b">
        <v>0</v>
      </c>
      <c r="CS170">
        <v>7300</v>
      </c>
      <c r="CT170" t="s">
        <v>1911</v>
      </c>
      <c r="CU170">
        <v>5615.38</v>
      </c>
      <c r="CV170">
        <v>1684.62</v>
      </c>
      <c r="CW170" s="22"/>
    </row>
    <row r="171" spans="1:101" x14ac:dyDescent="0.25">
      <c r="A171" s="20">
        <v>717</v>
      </c>
      <c r="B171" s="17" t="s">
        <v>587</v>
      </c>
      <c r="C171" s="17" t="s">
        <v>1222</v>
      </c>
      <c r="D171" s="17" t="s">
        <v>224</v>
      </c>
      <c r="E171" s="17" t="s">
        <v>1527</v>
      </c>
      <c r="F171" s="17" t="s">
        <v>1528</v>
      </c>
      <c r="G171" s="17" t="s">
        <v>414</v>
      </c>
      <c r="H171" s="17" t="s">
        <v>1308</v>
      </c>
      <c r="I171" s="17" t="s">
        <v>414</v>
      </c>
      <c r="J171" s="17" t="s">
        <v>16</v>
      </c>
      <c r="K171" s="17" t="b">
        <v>0</v>
      </c>
      <c r="L171" s="17" t="s">
        <v>1529</v>
      </c>
      <c r="M171" s="21">
        <v>33509</v>
      </c>
      <c r="N171" s="17" t="s">
        <v>414</v>
      </c>
      <c r="O171" s="17" t="s">
        <v>17</v>
      </c>
      <c r="P171" s="17" t="s">
        <v>18</v>
      </c>
      <c r="Q171" s="17">
        <v>1</v>
      </c>
      <c r="R171" s="17" t="s">
        <v>19</v>
      </c>
      <c r="S171" s="17">
        <v>9</v>
      </c>
      <c r="T171" s="17" t="s">
        <v>434</v>
      </c>
      <c r="U171" s="21">
        <v>43624</v>
      </c>
      <c r="V171" s="17" t="s">
        <v>61</v>
      </c>
      <c r="W171" s="21">
        <v>1.7833333333333332</v>
      </c>
      <c r="X171" s="17" t="s">
        <v>1530</v>
      </c>
      <c r="Y171" s="17" t="s">
        <v>21</v>
      </c>
      <c r="Z171" s="17">
        <v>949900</v>
      </c>
      <c r="AA171" s="17" t="s">
        <v>22</v>
      </c>
      <c r="AB171" s="17" t="s">
        <v>443</v>
      </c>
      <c r="AC171" s="17">
        <v>0</v>
      </c>
      <c r="AD171" s="21">
        <v>1</v>
      </c>
      <c r="AE171" s="21">
        <v>2</v>
      </c>
      <c r="AF171" s="17"/>
      <c r="AG171" s="21">
        <v>368</v>
      </c>
      <c r="AH171" s="17">
        <v>77289386</v>
      </c>
      <c r="AI171" s="21">
        <v>43678</v>
      </c>
      <c r="AJ171" s="17">
        <v>4115</v>
      </c>
      <c r="AK171" s="17">
        <v>0.29749999999999999</v>
      </c>
      <c r="AL171" s="17">
        <v>1224.21</v>
      </c>
      <c r="AM171" s="17" t="b">
        <v>1</v>
      </c>
      <c r="AN171" s="17" t="b">
        <v>1</v>
      </c>
      <c r="AO171" s="21">
        <v>45477</v>
      </c>
      <c r="AP171" s="21">
        <v>45477</v>
      </c>
      <c r="AQ171" s="17" t="b">
        <v>0</v>
      </c>
      <c r="AR171" s="21">
        <v>45477</v>
      </c>
      <c r="AS171" s="21">
        <v>45477</v>
      </c>
      <c r="AT171" s="21">
        <v>43586</v>
      </c>
      <c r="AU171" s="17" t="b">
        <v>0</v>
      </c>
      <c r="AV171" s="21">
        <v>43716</v>
      </c>
      <c r="AW171" s="17" t="s">
        <v>23</v>
      </c>
      <c r="AX171" s="17" t="s">
        <v>41</v>
      </c>
      <c r="AY171" s="17" t="s">
        <v>23</v>
      </c>
      <c r="AZ171" s="17" t="s">
        <v>414</v>
      </c>
      <c r="BA171" s="21">
        <v>45477</v>
      </c>
      <c r="BB171" s="17">
        <v>0</v>
      </c>
      <c r="BC171" s="17"/>
      <c r="BD171" s="17" t="b">
        <v>0</v>
      </c>
      <c r="BE171" s="17" t="s">
        <v>2208</v>
      </c>
      <c r="BF171" s="21">
        <v>45477</v>
      </c>
      <c r="BG171" s="21">
        <v>45842</v>
      </c>
      <c r="BH171" s="17"/>
      <c r="BI171" s="21">
        <v>48099</v>
      </c>
      <c r="BJ171" s="17">
        <v>0</v>
      </c>
      <c r="BK171" s="17" t="s">
        <v>418</v>
      </c>
      <c r="BL171" s="17" t="s">
        <v>418</v>
      </c>
      <c r="BM171" s="17" t="b">
        <v>1</v>
      </c>
      <c r="BN171" s="17" t="b">
        <v>0</v>
      </c>
      <c r="BO171" s="17" t="b">
        <v>1</v>
      </c>
      <c r="BP171" s="17" t="b">
        <v>1</v>
      </c>
      <c r="BQ171" s="17" t="b">
        <v>0</v>
      </c>
      <c r="BR171" s="17" t="b">
        <v>1</v>
      </c>
      <c r="BS171" s="17" t="b">
        <v>1</v>
      </c>
      <c r="BT171" s="17" t="b">
        <v>1</v>
      </c>
      <c r="BU171" s="17" t="b">
        <v>1</v>
      </c>
      <c r="BV171" s="17">
        <v>0</v>
      </c>
      <c r="BW171" s="21">
        <v>43654</v>
      </c>
      <c r="BX171" s="17" t="s">
        <v>414</v>
      </c>
      <c r="BY171" s="17" t="s">
        <v>414</v>
      </c>
      <c r="BZ171" s="17">
        <v>0</v>
      </c>
      <c r="CA171" s="21">
        <v>45951</v>
      </c>
      <c r="CB171" s="17" t="s">
        <v>438</v>
      </c>
      <c r="CC171" s="17" t="s">
        <v>2209</v>
      </c>
      <c r="CD171" s="21"/>
      <c r="CE171" s="17"/>
      <c r="CF171" s="17" t="s">
        <v>1531</v>
      </c>
      <c r="CG171" s="17" t="b">
        <v>0</v>
      </c>
      <c r="CH171" s="17" t="s">
        <v>610</v>
      </c>
      <c r="CI171" s="17">
        <v>0</v>
      </c>
      <c r="CJ171" s="21">
        <v>45852</v>
      </c>
      <c r="CK171" s="21">
        <v>45906</v>
      </c>
      <c r="CL171" s="17" t="s">
        <v>414</v>
      </c>
      <c r="CM171" s="21">
        <v>1</v>
      </c>
      <c r="CN171" s="21">
        <v>1</v>
      </c>
      <c r="CO171" s="21">
        <v>1</v>
      </c>
      <c r="CP171" s="17" t="b">
        <v>0</v>
      </c>
      <c r="CQ171" s="17" t="b">
        <v>1</v>
      </c>
      <c r="CR171" s="17" t="b">
        <v>0</v>
      </c>
      <c r="CS171">
        <v>7300</v>
      </c>
      <c r="CT171" t="s">
        <v>1911</v>
      </c>
      <c r="CU171">
        <v>5615.38</v>
      </c>
      <c r="CV171">
        <v>1684.62</v>
      </c>
      <c r="CW171" s="22"/>
    </row>
    <row r="172" spans="1:101" x14ac:dyDescent="0.25">
      <c r="A172" s="20">
        <v>724</v>
      </c>
      <c r="B172" s="17" t="s">
        <v>1532</v>
      </c>
      <c r="C172" s="17" t="s">
        <v>1475</v>
      </c>
      <c r="D172" s="17" t="s">
        <v>225</v>
      </c>
      <c r="E172" s="17" t="s">
        <v>1533</v>
      </c>
      <c r="F172" s="17" t="s">
        <v>1534</v>
      </c>
      <c r="G172" s="17" t="s">
        <v>414</v>
      </c>
      <c r="H172" s="17" t="s">
        <v>421</v>
      </c>
      <c r="I172" s="17" t="s">
        <v>414</v>
      </c>
      <c r="J172" s="17" t="s">
        <v>16</v>
      </c>
      <c r="K172" s="17" t="b">
        <v>0</v>
      </c>
      <c r="L172" s="17" t="s">
        <v>1535</v>
      </c>
      <c r="M172" s="21">
        <v>32655</v>
      </c>
      <c r="N172" s="17" t="s">
        <v>414</v>
      </c>
      <c r="O172" s="17" t="s">
        <v>17</v>
      </c>
      <c r="P172" s="17" t="s">
        <v>18</v>
      </c>
      <c r="Q172" s="17">
        <v>1</v>
      </c>
      <c r="R172" s="17" t="s">
        <v>19</v>
      </c>
      <c r="S172" s="17">
        <v>9</v>
      </c>
      <c r="T172" s="17" t="s">
        <v>434</v>
      </c>
      <c r="U172" s="21">
        <v>43161</v>
      </c>
      <c r="V172" s="17" t="s">
        <v>58</v>
      </c>
      <c r="W172" s="21">
        <v>1.0763888888888888</v>
      </c>
      <c r="X172" s="17" t="s">
        <v>58</v>
      </c>
      <c r="Y172" s="17" t="s">
        <v>21</v>
      </c>
      <c r="Z172" s="17">
        <v>949900</v>
      </c>
      <c r="AA172" s="17" t="s">
        <v>22</v>
      </c>
      <c r="AB172" s="17" t="s">
        <v>418</v>
      </c>
      <c r="AC172" s="17">
        <v>73</v>
      </c>
      <c r="AD172" s="21">
        <v>43488</v>
      </c>
      <c r="AE172" s="21">
        <v>45077</v>
      </c>
      <c r="AF172" s="17"/>
      <c r="AG172" s="21">
        <v>45443</v>
      </c>
      <c r="AH172" s="17">
        <v>58590944</v>
      </c>
      <c r="AI172" s="21">
        <v>43222</v>
      </c>
      <c r="AJ172" s="17">
        <v>4115</v>
      </c>
      <c r="AK172" s="17">
        <v>0.29749999999999999</v>
      </c>
      <c r="AL172" s="17">
        <v>1224.21</v>
      </c>
      <c r="AM172" s="17" t="b">
        <v>1</v>
      </c>
      <c r="AN172" s="17" t="b">
        <v>1</v>
      </c>
      <c r="AO172" s="21">
        <v>45472</v>
      </c>
      <c r="AP172" s="21">
        <v>45472</v>
      </c>
      <c r="AQ172" s="17" t="b">
        <v>0</v>
      </c>
      <c r="AR172" s="21">
        <v>45472</v>
      </c>
      <c r="AS172" s="21">
        <v>45472</v>
      </c>
      <c r="AT172" s="21">
        <v>43133</v>
      </c>
      <c r="AU172" s="17" t="b">
        <v>0</v>
      </c>
      <c r="AV172" s="21">
        <v>43253</v>
      </c>
      <c r="AW172" s="17" t="s">
        <v>23</v>
      </c>
      <c r="AX172" s="17" t="s">
        <v>41</v>
      </c>
      <c r="AY172" s="17" t="s">
        <v>23</v>
      </c>
      <c r="AZ172" s="17" t="s">
        <v>414</v>
      </c>
      <c r="BA172" s="21">
        <v>45472</v>
      </c>
      <c r="BB172" s="17">
        <v>0</v>
      </c>
      <c r="BC172" s="17"/>
      <c r="BD172" s="17" t="b">
        <v>0</v>
      </c>
      <c r="BE172" s="17" t="s">
        <v>1949</v>
      </c>
      <c r="BF172" s="21">
        <v>45472</v>
      </c>
      <c r="BG172" s="21">
        <v>45837</v>
      </c>
      <c r="BH172" s="17"/>
      <c r="BI172" s="21">
        <v>44411</v>
      </c>
      <c r="BJ172" s="17">
        <v>0</v>
      </c>
      <c r="BK172" s="17" t="s">
        <v>418</v>
      </c>
      <c r="BL172" s="17" t="s">
        <v>418</v>
      </c>
      <c r="BM172" s="17" t="b">
        <v>1</v>
      </c>
      <c r="BN172" s="17" t="b">
        <v>1</v>
      </c>
      <c r="BO172" s="17" t="b">
        <v>1</v>
      </c>
      <c r="BP172" s="17" t="b">
        <v>1</v>
      </c>
      <c r="BQ172" s="17" t="b">
        <v>1</v>
      </c>
      <c r="BR172" s="17" t="b">
        <v>1</v>
      </c>
      <c r="BS172" s="17" t="b">
        <v>1</v>
      </c>
      <c r="BT172" s="17" t="b">
        <v>1</v>
      </c>
      <c r="BU172" s="17" t="b">
        <v>0</v>
      </c>
      <c r="BV172" s="17">
        <v>0</v>
      </c>
      <c r="BW172" s="21">
        <v>43192</v>
      </c>
      <c r="BX172" s="17" t="s">
        <v>414</v>
      </c>
      <c r="BY172" s="17" t="s">
        <v>414</v>
      </c>
      <c r="BZ172" s="17">
        <v>0</v>
      </c>
      <c r="CA172" s="21">
        <v>45951</v>
      </c>
      <c r="CB172" s="17" t="s">
        <v>438</v>
      </c>
      <c r="CC172" s="17" t="s">
        <v>2210</v>
      </c>
      <c r="CD172" s="21"/>
      <c r="CE172" s="17"/>
      <c r="CF172" s="17" t="s">
        <v>1536</v>
      </c>
      <c r="CG172" s="17" t="b">
        <v>0</v>
      </c>
      <c r="CH172" s="17" t="s">
        <v>425</v>
      </c>
      <c r="CI172" s="17">
        <v>0</v>
      </c>
      <c r="CJ172" s="21">
        <v>45839</v>
      </c>
      <c r="CK172" s="21">
        <v>45906</v>
      </c>
      <c r="CL172" s="17" t="s">
        <v>414</v>
      </c>
      <c r="CM172" s="21">
        <v>1</v>
      </c>
      <c r="CN172" s="21">
        <v>1</v>
      </c>
      <c r="CO172" s="21">
        <v>1</v>
      </c>
      <c r="CP172" s="17" t="b">
        <v>0</v>
      </c>
      <c r="CQ172" s="17" t="b">
        <v>1</v>
      </c>
      <c r="CR172" s="17" t="b">
        <v>0</v>
      </c>
      <c r="CS172">
        <v>7300</v>
      </c>
      <c r="CT172" t="s">
        <v>1911</v>
      </c>
      <c r="CU172">
        <v>5615.38</v>
      </c>
      <c r="CV172">
        <v>1684.62</v>
      </c>
      <c r="CW172" s="22"/>
    </row>
    <row r="173" spans="1:101" x14ac:dyDescent="0.25">
      <c r="A173" s="20">
        <v>725</v>
      </c>
      <c r="B173" s="17" t="s">
        <v>426</v>
      </c>
      <c r="C173" s="17" t="s">
        <v>1526</v>
      </c>
      <c r="D173" s="17" t="s">
        <v>226</v>
      </c>
      <c r="E173" s="17" t="s">
        <v>1537</v>
      </c>
      <c r="F173" s="17" t="s">
        <v>1538</v>
      </c>
      <c r="G173" s="17" t="s">
        <v>414</v>
      </c>
      <c r="H173" s="17" t="s">
        <v>1539</v>
      </c>
      <c r="I173" s="17" t="s">
        <v>414</v>
      </c>
      <c r="J173" s="17" t="s">
        <v>16</v>
      </c>
      <c r="K173" s="17" t="b">
        <v>0</v>
      </c>
      <c r="L173" s="17" t="s">
        <v>1540</v>
      </c>
      <c r="M173" s="21">
        <v>35569</v>
      </c>
      <c r="N173" s="17" t="s">
        <v>1541</v>
      </c>
      <c r="O173" s="17" t="s">
        <v>17</v>
      </c>
      <c r="P173" s="17" t="s">
        <v>18</v>
      </c>
      <c r="Q173" s="17">
        <v>1</v>
      </c>
      <c r="R173" s="17" t="s">
        <v>19</v>
      </c>
      <c r="S173" s="17">
        <v>9</v>
      </c>
      <c r="T173" s="17" t="s">
        <v>434</v>
      </c>
      <c r="U173" s="21">
        <v>43894</v>
      </c>
      <c r="V173" s="17" t="s">
        <v>116</v>
      </c>
      <c r="W173" s="21">
        <v>1.2708333333333335</v>
      </c>
      <c r="X173" s="17" t="s">
        <v>1542</v>
      </c>
      <c r="Y173" s="17" t="s">
        <v>21</v>
      </c>
      <c r="Z173" s="17">
        <v>949700</v>
      </c>
      <c r="AA173" s="17" t="s">
        <v>51</v>
      </c>
      <c r="AB173" s="17" t="s">
        <v>443</v>
      </c>
      <c r="AC173" s="17">
        <v>0</v>
      </c>
      <c r="AD173" s="21">
        <v>1</v>
      </c>
      <c r="AE173" s="21">
        <v>2</v>
      </c>
      <c r="AF173" s="17"/>
      <c r="AG173" s="21">
        <v>368</v>
      </c>
      <c r="AH173" s="17">
        <v>78032999</v>
      </c>
      <c r="AI173" s="21">
        <v>44240</v>
      </c>
      <c r="AJ173" s="17">
        <v>4115</v>
      </c>
      <c r="AK173" s="17">
        <v>0.29749999999999999</v>
      </c>
      <c r="AL173" s="17">
        <v>1224.21</v>
      </c>
      <c r="AM173" s="17" t="b">
        <v>1</v>
      </c>
      <c r="AN173" s="17" t="b">
        <v>1</v>
      </c>
      <c r="AO173" s="21">
        <v>44256</v>
      </c>
      <c r="AP173" s="21">
        <v>44270</v>
      </c>
      <c r="AQ173" s="17" t="b">
        <v>0</v>
      </c>
      <c r="AR173" s="21">
        <v>45477</v>
      </c>
      <c r="AS173" s="21">
        <v>45477</v>
      </c>
      <c r="AT173" s="21">
        <v>44148</v>
      </c>
      <c r="AU173" s="17" t="b">
        <v>0</v>
      </c>
      <c r="AV173" s="21">
        <v>43986</v>
      </c>
      <c r="AW173" s="17" t="s">
        <v>41</v>
      </c>
      <c r="AX173" s="17" t="s">
        <v>23</v>
      </c>
      <c r="AY173" s="17" t="s">
        <v>414</v>
      </c>
      <c r="AZ173" s="17" t="s">
        <v>414</v>
      </c>
      <c r="BA173" s="21">
        <v>45477</v>
      </c>
      <c r="BB173" s="17">
        <v>0</v>
      </c>
      <c r="BC173" s="17"/>
      <c r="BD173" s="17" t="b">
        <v>0</v>
      </c>
      <c r="BE173" s="17" t="s">
        <v>2211</v>
      </c>
      <c r="BF173" s="21">
        <v>45477</v>
      </c>
      <c r="BG173" s="21">
        <v>45842</v>
      </c>
      <c r="BH173" s="17"/>
      <c r="BI173" s="21">
        <v>0</v>
      </c>
      <c r="BJ173" s="17">
        <v>0</v>
      </c>
      <c r="BK173" s="17" t="s">
        <v>418</v>
      </c>
      <c r="BL173" s="17" t="s">
        <v>459</v>
      </c>
      <c r="BM173" s="17" t="b">
        <v>1</v>
      </c>
      <c r="BN173" s="17" t="b">
        <v>0</v>
      </c>
      <c r="BO173" s="17" t="b">
        <v>0</v>
      </c>
      <c r="BP173" s="17" t="b">
        <v>1</v>
      </c>
      <c r="BQ173" s="17" t="b">
        <v>1</v>
      </c>
      <c r="BR173" s="17" t="b">
        <v>1</v>
      </c>
      <c r="BS173" s="17" t="b">
        <v>1</v>
      </c>
      <c r="BT173" s="17" t="b">
        <v>1</v>
      </c>
      <c r="BU173" s="17" t="b">
        <v>1</v>
      </c>
      <c r="BV173" s="17">
        <v>0</v>
      </c>
      <c r="BW173" s="21">
        <v>43925</v>
      </c>
      <c r="BX173" s="17" t="s">
        <v>414</v>
      </c>
      <c r="BY173" s="17" t="s">
        <v>414</v>
      </c>
      <c r="BZ173" s="17">
        <v>0</v>
      </c>
      <c r="CA173" s="21">
        <v>45951</v>
      </c>
      <c r="CB173" s="17" t="s">
        <v>438</v>
      </c>
      <c r="CC173" s="17" t="s">
        <v>2212</v>
      </c>
      <c r="CD173" s="21"/>
      <c r="CE173" s="17"/>
      <c r="CF173" s="17" t="s">
        <v>1543</v>
      </c>
      <c r="CG173" s="17" t="b">
        <v>0</v>
      </c>
      <c r="CH173" s="17" t="s">
        <v>425</v>
      </c>
      <c r="CI173" s="17">
        <v>0</v>
      </c>
      <c r="CJ173" s="21">
        <v>45843</v>
      </c>
      <c r="CK173" s="21">
        <v>45907</v>
      </c>
      <c r="CL173" s="17" t="s">
        <v>414</v>
      </c>
      <c r="CM173" s="21">
        <v>1</v>
      </c>
      <c r="CN173" s="21">
        <v>1</v>
      </c>
      <c r="CO173" s="21">
        <v>1</v>
      </c>
      <c r="CP173" s="17" t="b">
        <v>0</v>
      </c>
      <c r="CQ173" s="17" t="b">
        <v>1</v>
      </c>
      <c r="CR173" s="17" t="b">
        <v>0</v>
      </c>
      <c r="CS173">
        <v>7300</v>
      </c>
      <c r="CT173" t="s">
        <v>1911</v>
      </c>
      <c r="CU173">
        <v>5615.38</v>
      </c>
      <c r="CV173">
        <v>1684.62</v>
      </c>
      <c r="CW173" s="22"/>
    </row>
    <row r="174" spans="1:101" x14ac:dyDescent="0.25">
      <c r="A174" s="20">
        <v>727</v>
      </c>
      <c r="B174" s="17" t="s">
        <v>1544</v>
      </c>
      <c r="C174" s="17" t="s">
        <v>1133</v>
      </c>
      <c r="D174" s="17" t="s">
        <v>1545</v>
      </c>
      <c r="E174" s="17" t="s">
        <v>1546</v>
      </c>
      <c r="F174" s="17" t="s">
        <v>1187</v>
      </c>
      <c r="G174" s="17" t="s">
        <v>414</v>
      </c>
      <c r="H174" s="17" t="s">
        <v>1547</v>
      </c>
      <c r="I174" s="17" t="s">
        <v>414</v>
      </c>
      <c r="J174" s="17" t="s">
        <v>96</v>
      </c>
      <c r="K174" s="17" t="b">
        <v>0</v>
      </c>
      <c r="L174" s="17" t="s">
        <v>414</v>
      </c>
      <c r="M174" s="21">
        <v>1</v>
      </c>
      <c r="N174" s="17" t="s">
        <v>414</v>
      </c>
      <c r="O174" s="17" t="s">
        <v>17</v>
      </c>
      <c r="P174" s="17" t="s">
        <v>18</v>
      </c>
      <c r="Q174" s="17">
        <v>2</v>
      </c>
      <c r="R174" s="17" t="s">
        <v>50</v>
      </c>
      <c r="S174" s="17">
        <v>42</v>
      </c>
      <c r="T174" s="17" t="s">
        <v>643</v>
      </c>
      <c r="U174" s="21">
        <v>43909</v>
      </c>
      <c r="V174" s="17" t="s">
        <v>829</v>
      </c>
      <c r="W174" s="21">
        <v>1.2916666666666665</v>
      </c>
      <c r="X174" s="17" t="s">
        <v>1548</v>
      </c>
      <c r="Y174" s="17" t="s">
        <v>21</v>
      </c>
      <c r="Z174" s="17">
        <v>0</v>
      </c>
      <c r="AA174" s="17" t="s">
        <v>414</v>
      </c>
      <c r="AB174" s="17" t="s">
        <v>443</v>
      </c>
      <c r="AC174" s="17">
        <v>0</v>
      </c>
      <c r="AD174" s="21">
        <v>1</v>
      </c>
      <c r="AE174" s="21">
        <v>2</v>
      </c>
      <c r="AF174" s="17"/>
      <c r="AG174" s="21">
        <v>368</v>
      </c>
      <c r="AH174" s="17">
        <v>0</v>
      </c>
      <c r="AI174" s="21">
        <v>1</v>
      </c>
      <c r="AJ174" s="17">
        <v>0</v>
      </c>
      <c r="AK174" s="17">
        <v>0.29749999999999999</v>
      </c>
      <c r="AL174" s="17">
        <v>0</v>
      </c>
      <c r="AM174" s="17" t="b">
        <v>0</v>
      </c>
      <c r="AN174" s="17" t="b">
        <v>0</v>
      </c>
      <c r="AO174" s="21">
        <v>45449</v>
      </c>
      <c r="AP174" s="21">
        <v>45449</v>
      </c>
      <c r="AQ174" s="17" t="b">
        <v>0</v>
      </c>
      <c r="AR174" s="21">
        <v>1</v>
      </c>
      <c r="AS174" s="21">
        <v>1</v>
      </c>
      <c r="AT174" s="21">
        <v>-90</v>
      </c>
      <c r="AU174" s="17" t="b">
        <v>0</v>
      </c>
      <c r="AV174" s="21">
        <v>44001</v>
      </c>
      <c r="AW174" s="17" t="s">
        <v>41</v>
      </c>
      <c r="AX174" s="17" t="s">
        <v>23</v>
      </c>
      <c r="AY174" s="17" t="s">
        <v>23</v>
      </c>
      <c r="AZ174" s="17" t="s">
        <v>414</v>
      </c>
      <c r="BA174" s="21">
        <v>45449</v>
      </c>
      <c r="BB174" s="17">
        <v>0</v>
      </c>
      <c r="BC174" s="17"/>
      <c r="BD174" s="17" t="b">
        <v>0</v>
      </c>
      <c r="BE174" s="17" t="s">
        <v>2213</v>
      </c>
      <c r="BF174" s="21">
        <v>45449</v>
      </c>
      <c r="BG174" s="21">
        <v>45814</v>
      </c>
      <c r="BH174" s="17"/>
      <c r="BI174" s="21">
        <v>32874</v>
      </c>
      <c r="BJ174" s="17">
        <v>0</v>
      </c>
      <c r="BK174" s="17" t="s">
        <v>414</v>
      </c>
      <c r="BL174" s="17" t="s">
        <v>414</v>
      </c>
      <c r="BM174" s="17" t="b">
        <v>0</v>
      </c>
      <c r="BN174" s="17" t="b">
        <v>0</v>
      </c>
      <c r="BO174" s="17" t="b">
        <v>0</v>
      </c>
      <c r="BP174" s="17" t="b">
        <v>0</v>
      </c>
      <c r="BQ174" s="17" t="b">
        <v>0</v>
      </c>
      <c r="BR174" s="17" t="b">
        <v>0</v>
      </c>
      <c r="BS174" s="17" t="b">
        <v>0</v>
      </c>
      <c r="BT174" s="17" t="b">
        <v>0</v>
      </c>
      <c r="BU174" s="17" t="b">
        <v>0</v>
      </c>
      <c r="BV174" s="17">
        <v>0</v>
      </c>
      <c r="BW174" s="21">
        <v>43940</v>
      </c>
      <c r="BX174" s="17" t="s">
        <v>414</v>
      </c>
      <c r="BY174" s="17" t="s">
        <v>414</v>
      </c>
      <c r="BZ174" s="17">
        <v>0</v>
      </c>
      <c r="CA174" s="21">
        <v>45918</v>
      </c>
      <c r="CB174" s="17" t="s">
        <v>438</v>
      </c>
      <c r="CC174" s="17" t="s">
        <v>2214</v>
      </c>
      <c r="CD174" s="21">
        <v>44451</v>
      </c>
      <c r="CE174" s="17" t="s">
        <v>415</v>
      </c>
      <c r="CF174" s="17" t="s">
        <v>414</v>
      </c>
      <c r="CG174" s="17" t="b">
        <v>0</v>
      </c>
      <c r="CH174" s="17" t="s">
        <v>414</v>
      </c>
      <c r="CI174" s="17">
        <v>0</v>
      </c>
      <c r="CJ174" s="21">
        <v>1</v>
      </c>
      <c r="CK174" s="21">
        <v>1</v>
      </c>
      <c r="CL174" s="17" t="s">
        <v>414</v>
      </c>
      <c r="CM174" s="21">
        <v>1</v>
      </c>
      <c r="CN174" s="21">
        <v>1</v>
      </c>
      <c r="CO174" s="21">
        <v>1</v>
      </c>
      <c r="CP174" s="17" t="b">
        <v>0</v>
      </c>
      <c r="CQ174" s="17" t="b">
        <v>0</v>
      </c>
      <c r="CR174" s="17" t="b">
        <v>0</v>
      </c>
      <c r="CW174" s="22"/>
    </row>
    <row r="175" spans="1:101" x14ac:dyDescent="0.25">
      <c r="A175" s="20">
        <v>734</v>
      </c>
      <c r="B175" s="17" t="s">
        <v>753</v>
      </c>
      <c r="C175" s="17" t="s">
        <v>676</v>
      </c>
      <c r="D175" s="17" t="s">
        <v>227</v>
      </c>
      <c r="E175" s="17" t="s">
        <v>1550</v>
      </c>
      <c r="F175" s="17" t="s">
        <v>1551</v>
      </c>
      <c r="G175" s="17" t="s">
        <v>414</v>
      </c>
      <c r="H175" s="17" t="s">
        <v>1552</v>
      </c>
      <c r="I175" s="17" t="s">
        <v>414</v>
      </c>
      <c r="J175" s="17" t="s">
        <v>16</v>
      </c>
      <c r="K175" s="17" t="b">
        <v>0</v>
      </c>
      <c r="L175" s="17" t="s">
        <v>1553</v>
      </c>
      <c r="M175" s="21">
        <v>35693</v>
      </c>
      <c r="N175" s="17" t="s">
        <v>555</v>
      </c>
      <c r="O175" s="17" t="s">
        <v>17</v>
      </c>
      <c r="P175" s="17" t="s">
        <v>18</v>
      </c>
      <c r="Q175" s="17">
        <v>8</v>
      </c>
      <c r="R175" s="17" t="s">
        <v>107</v>
      </c>
      <c r="S175" s="17">
        <v>40</v>
      </c>
      <c r="T175" s="17" t="s">
        <v>188</v>
      </c>
      <c r="U175" s="21">
        <v>44005</v>
      </c>
      <c r="V175" s="17" t="s">
        <v>29</v>
      </c>
      <c r="W175" s="21">
        <v>1</v>
      </c>
      <c r="X175" s="17" t="s">
        <v>29</v>
      </c>
      <c r="Y175" s="17" t="s">
        <v>21</v>
      </c>
      <c r="Z175" s="17">
        <v>203300</v>
      </c>
      <c r="AA175" s="17" t="s">
        <v>188</v>
      </c>
      <c r="AB175" s="17" t="s">
        <v>418</v>
      </c>
      <c r="AC175" s="17">
        <v>128</v>
      </c>
      <c r="AD175" s="21">
        <v>44425</v>
      </c>
      <c r="AE175" s="21">
        <v>45159</v>
      </c>
      <c r="AF175" s="17"/>
      <c r="AG175" s="21">
        <v>45525</v>
      </c>
      <c r="AH175" s="17">
        <v>78586477</v>
      </c>
      <c r="AI175" s="21">
        <v>44005</v>
      </c>
      <c r="AJ175" s="17">
        <v>4115</v>
      </c>
      <c r="AK175" s="17">
        <v>0.29749999999999999</v>
      </c>
      <c r="AL175" s="17">
        <v>1224.21</v>
      </c>
      <c r="AM175" s="17" t="b">
        <v>1</v>
      </c>
      <c r="AN175" s="17" t="b">
        <v>1</v>
      </c>
      <c r="AO175" s="21">
        <v>45398</v>
      </c>
      <c r="AP175" s="21">
        <v>45398</v>
      </c>
      <c r="AQ175" s="17" t="b">
        <v>1</v>
      </c>
      <c r="AR175" s="21">
        <v>45398</v>
      </c>
      <c r="AS175" s="21">
        <v>45398</v>
      </c>
      <c r="AT175" s="21">
        <v>43913</v>
      </c>
      <c r="AU175" s="17" t="b">
        <v>0</v>
      </c>
      <c r="AV175" s="21">
        <v>44097</v>
      </c>
      <c r="AW175" s="17" t="s">
        <v>41</v>
      </c>
      <c r="AX175" s="17" t="s">
        <v>41</v>
      </c>
      <c r="AY175" s="17" t="s">
        <v>414</v>
      </c>
      <c r="AZ175" s="17" t="s">
        <v>520</v>
      </c>
      <c r="BA175" s="21">
        <v>45398</v>
      </c>
      <c r="BB175" s="17">
        <v>0</v>
      </c>
      <c r="BC175" s="17"/>
      <c r="BD175" s="17" t="b">
        <v>0</v>
      </c>
      <c r="BE175" s="17" t="s">
        <v>2215</v>
      </c>
      <c r="BF175" s="21">
        <v>45398</v>
      </c>
      <c r="BG175" s="21">
        <v>45763</v>
      </c>
      <c r="BH175" s="17"/>
      <c r="BI175" s="21">
        <v>44518</v>
      </c>
      <c r="BJ175" s="17">
        <v>0</v>
      </c>
      <c r="BK175" s="17" t="s">
        <v>418</v>
      </c>
      <c r="BL175" s="17" t="s">
        <v>418</v>
      </c>
      <c r="BM175" s="17" t="b">
        <v>1</v>
      </c>
      <c r="BN175" s="17" t="b">
        <v>1</v>
      </c>
      <c r="BO175" s="17" t="b">
        <v>1</v>
      </c>
      <c r="BP175" s="17" t="b">
        <v>1</v>
      </c>
      <c r="BQ175" s="17" t="b">
        <v>1</v>
      </c>
      <c r="BR175" s="17" t="b">
        <v>1</v>
      </c>
      <c r="BS175" s="17" t="b">
        <v>1</v>
      </c>
      <c r="BT175" s="17" t="b">
        <v>1</v>
      </c>
      <c r="BU175" s="17" t="b">
        <v>1</v>
      </c>
      <c r="BV175" s="17">
        <v>0</v>
      </c>
      <c r="BW175" s="21">
        <v>44035</v>
      </c>
      <c r="BX175" s="17" t="s">
        <v>414</v>
      </c>
      <c r="BY175" s="17" t="s">
        <v>414</v>
      </c>
      <c r="BZ175" s="17">
        <v>0</v>
      </c>
      <c r="CA175" s="21">
        <v>45951</v>
      </c>
      <c r="CB175" s="17" t="s">
        <v>419</v>
      </c>
      <c r="CC175" s="17" t="s">
        <v>2216</v>
      </c>
      <c r="CD175" s="21"/>
      <c r="CE175" s="17"/>
      <c r="CF175" s="17" t="s">
        <v>1554</v>
      </c>
      <c r="CG175" s="17" t="b">
        <v>0</v>
      </c>
      <c r="CH175" s="17" t="s">
        <v>425</v>
      </c>
      <c r="CI175" s="17">
        <v>0</v>
      </c>
      <c r="CJ175" s="21">
        <v>45844</v>
      </c>
      <c r="CK175" s="21">
        <v>1</v>
      </c>
      <c r="CL175" s="17" t="s">
        <v>414</v>
      </c>
      <c r="CM175" s="21">
        <v>1</v>
      </c>
      <c r="CN175" s="21">
        <v>1</v>
      </c>
      <c r="CO175" s="21">
        <v>1</v>
      </c>
      <c r="CP175" s="17" t="b">
        <v>0</v>
      </c>
      <c r="CQ175" s="17" t="b">
        <v>1</v>
      </c>
      <c r="CR175" s="17" t="b">
        <v>0</v>
      </c>
      <c r="CS175">
        <v>7300</v>
      </c>
      <c r="CT175" t="s">
        <v>1911</v>
      </c>
      <c r="CU175">
        <v>5615.38</v>
      </c>
      <c r="CV175">
        <v>1684.62</v>
      </c>
      <c r="CW175" s="22"/>
    </row>
    <row r="176" spans="1:101" x14ac:dyDescent="0.25">
      <c r="A176" s="20">
        <v>735</v>
      </c>
      <c r="B176" s="17" t="s">
        <v>420</v>
      </c>
      <c r="C176" s="17" t="s">
        <v>530</v>
      </c>
      <c r="D176" s="17" t="s">
        <v>228</v>
      </c>
      <c r="E176" s="17" t="s">
        <v>1555</v>
      </c>
      <c r="F176" s="17" t="s">
        <v>1556</v>
      </c>
      <c r="G176" s="17" t="s">
        <v>414</v>
      </c>
      <c r="H176" s="17" t="s">
        <v>1557</v>
      </c>
      <c r="I176" s="17" t="s">
        <v>414</v>
      </c>
      <c r="J176" s="17" t="s">
        <v>16</v>
      </c>
      <c r="K176" s="17" t="b">
        <v>0</v>
      </c>
      <c r="L176" s="17" t="s">
        <v>1558</v>
      </c>
      <c r="M176" s="21">
        <v>34731</v>
      </c>
      <c r="N176" s="17" t="s">
        <v>555</v>
      </c>
      <c r="O176" s="17" t="s">
        <v>17</v>
      </c>
      <c r="P176" s="17" t="s">
        <v>18</v>
      </c>
      <c r="Q176" s="17">
        <v>3</v>
      </c>
      <c r="R176" s="17" t="s">
        <v>156</v>
      </c>
      <c r="S176" s="17">
        <v>37</v>
      </c>
      <c r="T176" s="17" t="s">
        <v>1314</v>
      </c>
      <c r="U176" s="21">
        <v>44013</v>
      </c>
      <c r="V176" s="17" t="s">
        <v>29</v>
      </c>
      <c r="W176" s="21">
        <v>1.2569444444444446</v>
      </c>
      <c r="X176" s="17" t="s">
        <v>1559</v>
      </c>
      <c r="Y176" s="17" t="s">
        <v>45</v>
      </c>
      <c r="Z176" s="17">
        <v>34050</v>
      </c>
      <c r="AA176" s="17" t="s">
        <v>180</v>
      </c>
      <c r="AB176" s="17" t="s">
        <v>443</v>
      </c>
      <c r="AC176" s="17">
        <v>0</v>
      </c>
      <c r="AD176" s="21">
        <v>1</v>
      </c>
      <c r="AE176" s="21">
        <v>2</v>
      </c>
      <c r="AF176" s="17"/>
      <c r="AG176" s="21">
        <v>368</v>
      </c>
      <c r="AH176" s="17">
        <v>71106088</v>
      </c>
      <c r="AI176" s="21">
        <v>44544</v>
      </c>
      <c r="AJ176" s="17">
        <v>4110</v>
      </c>
      <c r="AK176" s="17">
        <v>0.29749999999999999</v>
      </c>
      <c r="AL176" s="17">
        <v>1222.73</v>
      </c>
      <c r="AM176" s="17" t="b">
        <v>1</v>
      </c>
      <c r="AN176" s="17" t="b">
        <v>1</v>
      </c>
      <c r="AO176" s="21">
        <v>44614</v>
      </c>
      <c r="AP176" s="21">
        <v>44620</v>
      </c>
      <c r="AQ176" s="17" t="b">
        <v>1</v>
      </c>
      <c r="AR176" s="21">
        <v>44336</v>
      </c>
      <c r="AS176" s="21">
        <v>1</v>
      </c>
      <c r="AT176" s="21">
        <v>44453</v>
      </c>
      <c r="AU176" s="17" t="b">
        <v>0</v>
      </c>
      <c r="AV176" s="21">
        <v>44105</v>
      </c>
      <c r="AW176" s="17" t="s">
        <v>23</v>
      </c>
      <c r="AX176" s="17" t="s">
        <v>41</v>
      </c>
      <c r="AY176" s="17" t="s">
        <v>414</v>
      </c>
      <c r="AZ176" s="17" t="s">
        <v>414</v>
      </c>
      <c r="BA176" s="21">
        <v>45447</v>
      </c>
      <c r="BB176" s="17">
        <v>5210</v>
      </c>
      <c r="BC176" s="17"/>
      <c r="BD176" s="17" t="b">
        <v>0</v>
      </c>
      <c r="BE176" s="17" t="s">
        <v>1924</v>
      </c>
      <c r="BF176" s="21">
        <v>45447</v>
      </c>
      <c r="BG176" s="21">
        <v>45812</v>
      </c>
      <c r="BH176" s="17"/>
      <c r="BI176" s="21">
        <v>45803</v>
      </c>
      <c r="BJ176" s="17">
        <v>0</v>
      </c>
      <c r="BK176" s="17" t="s">
        <v>418</v>
      </c>
      <c r="BL176" s="17" t="s">
        <v>418</v>
      </c>
      <c r="BM176" s="17" t="b">
        <v>1</v>
      </c>
      <c r="BN176" s="17" t="b">
        <v>0</v>
      </c>
      <c r="BO176" s="17" t="b">
        <v>1</v>
      </c>
      <c r="BP176" s="17" t="b">
        <v>1</v>
      </c>
      <c r="BQ176" s="17" t="b">
        <v>1</v>
      </c>
      <c r="BR176" s="17" t="b">
        <v>0</v>
      </c>
      <c r="BS176" s="17" t="b">
        <v>1</v>
      </c>
      <c r="BT176" s="17" t="b">
        <v>1</v>
      </c>
      <c r="BU176" s="17" t="b">
        <v>1</v>
      </c>
      <c r="BV176" s="17">
        <v>0</v>
      </c>
      <c r="BW176" s="21">
        <v>44044</v>
      </c>
      <c r="BX176" s="17" t="s">
        <v>414</v>
      </c>
      <c r="BY176" s="17" t="s">
        <v>414</v>
      </c>
      <c r="BZ176" s="17">
        <v>0</v>
      </c>
      <c r="CA176" s="21">
        <v>45951</v>
      </c>
      <c r="CB176" s="17" t="s">
        <v>438</v>
      </c>
      <c r="CC176" s="17" t="s">
        <v>2217</v>
      </c>
      <c r="CD176" s="21">
        <v>45890</v>
      </c>
      <c r="CE176" s="17" t="s">
        <v>415</v>
      </c>
      <c r="CF176" s="17" t="s">
        <v>1560</v>
      </c>
      <c r="CG176" s="17" t="b">
        <v>0</v>
      </c>
      <c r="CH176" s="17" t="s">
        <v>425</v>
      </c>
      <c r="CI176" s="17">
        <v>0</v>
      </c>
      <c r="CJ176" s="21">
        <v>45890</v>
      </c>
      <c r="CK176" s="21">
        <v>1</v>
      </c>
      <c r="CL176" s="17" t="s">
        <v>414</v>
      </c>
      <c r="CM176" s="21">
        <v>1</v>
      </c>
      <c r="CN176" s="21">
        <v>1</v>
      </c>
      <c r="CO176" s="21">
        <v>1</v>
      </c>
      <c r="CP176" s="17" t="b">
        <v>0</v>
      </c>
      <c r="CQ176" s="17" t="b">
        <v>1</v>
      </c>
      <c r="CR176" s="17" t="b">
        <v>0</v>
      </c>
      <c r="CS176">
        <v>7500</v>
      </c>
      <c r="CT176" t="s">
        <v>1916</v>
      </c>
      <c r="CU176">
        <v>5769.23</v>
      </c>
      <c r="CV176">
        <v>1730.77</v>
      </c>
      <c r="CW176" s="22"/>
    </row>
    <row r="177" spans="1:101" x14ac:dyDescent="0.25">
      <c r="A177" s="20">
        <v>737</v>
      </c>
      <c r="B177" s="17" t="s">
        <v>1561</v>
      </c>
      <c r="C177" s="17" t="s">
        <v>568</v>
      </c>
      <c r="D177" s="17" t="s">
        <v>1562</v>
      </c>
      <c r="E177" s="17" t="s">
        <v>1563</v>
      </c>
      <c r="F177" s="17" t="s">
        <v>1564</v>
      </c>
      <c r="G177" s="17" t="s">
        <v>414</v>
      </c>
      <c r="H177" s="17" t="s">
        <v>414</v>
      </c>
      <c r="I177" s="17" t="s">
        <v>414</v>
      </c>
      <c r="J177" s="17" t="s">
        <v>96</v>
      </c>
      <c r="K177" s="17" t="b">
        <v>0</v>
      </c>
      <c r="L177" s="17" t="s">
        <v>414</v>
      </c>
      <c r="M177" s="21">
        <v>2</v>
      </c>
      <c r="N177" s="17" t="s">
        <v>414</v>
      </c>
      <c r="O177" s="17" t="s">
        <v>17</v>
      </c>
      <c r="P177" s="17" t="s">
        <v>18</v>
      </c>
      <c r="Q177" s="17">
        <v>2</v>
      </c>
      <c r="R177" s="17" t="s">
        <v>50</v>
      </c>
      <c r="S177" s="17">
        <v>42</v>
      </c>
      <c r="T177" s="17" t="s">
        <v>643</v>
      </c>
      <c r="U177" s="21">
        <v>44069</v>
      </c>
      <c r="V177" s="17" t="s">
        <v>829</v>
      </c>
      <c r="W177" s="21">
        <v>1.2916666666666665</v>
      </c>
      <c r="X177" s="17" t="s">
        <v>1565</v>
      </c>
      <c r="Y177" s="17" t="s">
        <v>21</v>
      </c>
      <c r="Z177" s="17">
        <v>0</v>
      </c>
      <c r="AA177" s="17" t="s">
        <v>414</v>
      </c>
      <c r="AB177" s="17" t="s">
        <v>443</v>
      </c>
      <c r="AC177" s="17">
        <v>0</v>
      </c>
      <c r="AD177" s="21">
        <v>1</v>
      </c>
      <c r="AE177" s="21">
        <v>2</v>
      </c>
      <c r="AF177" s="17"/>
      <c r="AG177" s="21">
        <v>368</v>
      </c>
      <c r="AH177" s="17">
        <v>0</v>
      </c>
      <c r="AI177" s="21">
        <v>1</v>
      </c>
      <c r="AJ177" s="17">
        <v>0</v>
      </c>
      <c r="AK177" s="17">
        <v>0.29749999999999999</v>
      </c>
      <c r="AL177" s="17">
        <v>0</v>
      </c>
      <c r="AM177" s="17" t="b">
        <v>0</v>
      </c>
      <c r="AN177" s="17" t="b">
        <v>0</v>
      </c>
      <c r="AO177" s="21">
        <v>45490</v>
      </c>
      <c r="AP177" s="21">
        <v>45490</v>
      </c>
      <c r="AQ177" s="17" t="b">
        <v>0</v>
      </c>
      <c r="AR177" s="21">
        <v>45490</v>
      </c>
      <c r="AS177" s="21">
        <v>45490</v>
      </c>
      <c r="AT177" s="21">
        <v>-90</v>
      </c>
      <c r="AU177" s="17" t="b">
        <v>0</v>
      </c>
      <c r="AV177" s="21">
        <v>44161</v>
      </c>
      <c r="AW177" s="17" t="s">
        <v>23</v>
      </c>
      <c r="AX177" s="17" t="s">
        <v>41</v>
      </c>
      <c r="AY177" s="17"/>
      <c r="AZ177" s="17" t="s">
        <v>414</v>
      </c>
      <c r="BA177" s="21">
        <v>45490</v>
      </c>
      <c r="BB177" s="17">
        <v>0</v>
      </c>
      <c r="BC177" s="17"/>
      <c r="BD177" s="17" t="b">
        <v>0</v>
      </c>
      <c r="BE177" s="17" t="s">
        <v>2218</v>
      </c>
      <c r="BF177" s="21">
        <v>45490</v>
      </c>
      <c r="BG177" s="21">
        <v>45855</v>
      </c>
      <c r="BH177" s="17"/>
      <c r="BI177" s="21">
        <v>32874</v>
      </c>
      <c r="BJ177" s="17">
        <v>0</v>
      </c>
      <c r="BK177" s="17" t="s">
        <v>443</v>
      </c>
      <c r="BL177" s="17" t="s">
        <v>443</v>
      </c>
      <c r="BM177" s="17" t="b">
        <v>0</v>
      </c>
      <c r="BN177" s="17" t="b">
        <v>0</v>
      </c>
      <c r="BO177" s="17" t="b">
        <v>0</v>
      </c>
      <c r="BP177" s="17" t="b">
        <v>0</v>
      </c>
      <c r="BQ177" s="17" t="b">
        <v>0</v>
      </c>
      <c r="BR177" s="17" t="b">
        <v>0</v>
      </c>
      <c r="BS177" s="17" t="b">
        <v>0</v>
      </c>
      <c r="BT177" s="17" t="b">
        <v>0</v>
      </c>
      <c r="BU177" s="17" t="b">
        <v>0</v>
      </c>
      <c r="BV177" s="17">
        <v>0</v>
      </c>
      <c r="BW177" s="21">
        <v>44100</v>
      </c>
      <c r="BX177" s="17" t="s">
        <v>414</v>
      </c>
      <c r="BY177" s="17" t="s">
        <v>414</v>
      </c>
      <c r="BZ177" s="17">
        <v>0</v>
      </c>
      <c r="CA177" s="21">
        <v>45918</v>
      </c>
      <c r="CB177" s="17" t="s">
        <v>438</v>
      </c>
      <c r="CC177" s="17" t="s">
        <v>2052</v>
      </c>
      <c r="CD177" s="21"/>
      <c r="CE177" s="17"/>
      <c r="CF177" s="17" t="s">
        <v>414</v>
      </c>
      <c r="CG177" s="17" t="b">
        <v>0</v>
      </c>
      <c r="CH177" s="17" t="s">
        <v>414</v>
      </c>
      <c r="CI177" s="17">
        <v>0</v>
      </c>
      <c r="CJ177" s="21">
        <v>1</v>
      </c>
      <c r="CK177" s="21">
        <v>1</v>
      </c>
      <c r="CL177" s="17" t="s">
        <v>414</v>
      </c>
      <c r="CM177" s="21">
        <v>1</v>
      </c>
      <c r="CN177" s="21">
        <v>1</v>
      </c>
      <c r="CO177" s="21">
        <v>1</v>
      </c>
      <c r="CP177" s="17" t="b">
        <v>0</v>
      </c>
      <c r="CQ177" s="17" t="b">
        <v>0</v>
      </c>
      <c r="CR177" s="17" t="b">
        <v>0</v>
      </c>
      <c r="CW177" s="22"/>
    </row>
    <row r="178" spans="1:101" x14ac:dyDescent="0.25">
      <c r="A178" s="20">
        <v>739</v>
      </c>
      <c r="B178" s="17" t="s">
        <v>411</v>
      </c>
      <c r="C178" s="17" t="s">
        <v>1561</v>
      </c>
      <c r="D178" s="17" t="s">
        <v>229</v>
      </c>
      <c r="E178" s="17" t="s">
        <v>1566</v>
      </c>
      <c r="F178" s="17" t="s">
        <v>1567</v>
      </c>
      <c r="G178" s="17" t="s">
        <v>414</v>
      </c>
      <c r="H178" s="17" t="s">
        <v>1521</v>
      </c>
      <c r="I178" s="17" t="s">
        <v>432</v>
      </c>
      <c r="J178" s="17" t="s">
        <v>16</v>
      </c>
      <c r="K178" s="17" t="b">
        <v>0</v>
      </c>
      <c r="L178" s="17" t="s">
        <v>1568</v>
      </c>
      <c r="M178" s="21">
        <v>36039</v>
      </c>
      <c r="N178" s="17" t="s">
        <v>1569</v>
      </c>
      <c r="O178" s="17" t="s">
        <v>17</v>
      </c>
      <c r="P178" s="17" t="s">
        <v>18</v>
      </c>
      <c r="Q178" s="17">
        <v>4</v>
      </c>
      <c r="R178" s="17" t="s">
        <v>54</v>
      </c>
      <c r="S178" s="17">
        <v>4</v>
      </c>
      <c r="T178" s="17" t="s">
        <v>577</v>
      </c>
      <c r="U178" s="21">
        <v>44090</v>
      </c>
      <c r="V178" s="17" t="s">
        <v>61</v>
      </c>
      <c r="W178" s="21">
        <v>1.2777777777777777</v>
      </c>
      <c r="X178" s="17" t="s">
        <v>1233</v>
      </c>
      <c r="Y178" s="17" t="s">
        <v>45</v>
      </c>
      <c r="Z178" s="17">
        <v>203100</v>
      </c>
      <c r="AA178" s="17" t="s">
        <v>55</v>
      </c>
      <c r="AB178" s="17" t="s">
        <v>418</v>
      </c>
      <c r="AC178" s="17">
        <v>181</v>
      </c>
      <c r="AD178" s="21">
        <v>44913</v>
      </c>
      <c r="AE178" s="21">
        <v>45277</v>
      </c>
      <c r="AF178" s="17"/>
      <c r="AG178" s="21">
        <v>45643</v>
      </c>
      <c r="AH178" s="17">
        <v>72484389</v>
      </c>
      <c r="AI178" s="21">
        <v>44256</v>
      </c>
      <c r="AJ178" s="17">
        <v>4115</v>
      </c>
      <c r="AK178" s="17">
        <v>0.29749999999999999</v>
      </c>
      <c r="AL178" s="17">
        <v>1224.21</v>
      </c>
      <c r="AM178" s="17" t="b">
        <v>1</v>
      </c>
      <c r="AN178" s="17" t="b">
        <v>1</v>
      </c>
      <c r="AO178" s="21">
        <v>44273</v>
      </c>
      <c r="AP178" s="21">
        <v>44292</v>
      </c>
      <c r="AQ178" s="17" t="b">
        <v>0</v>
      </c>
      <c r="AR178" s="21">
        <v>45477</v>
      </c>
      <c r="AS178" s="21">
        <v>45477</v>
      </c>
      <c r="AT178" s="21">
        <v>44166</v>
      </c>
      <c r="AU178" s="17" t="b">
        <v>0</v>
      </c>
      <c r="AV178" s="21">
        <v>44181</v>
      </c>
      <c r="AW178" s="17" t="s">
        <v>41</v>
      </c>
      <c r="AX178" s="17" t="s">
        <v>23</v>
      </c>
      <c r="AY178" s="17" t="s">
        <v>41</v>
      </c>
      <c r="AZ178" s="17" t="s">
        <v>414</v>
      </c>
      <c r="BA178" s="21">
        <v>45477</v>
      </c>
      <c r="BB178" s="17">
        <v>0</v>
      </c>
      <c r="BC178" s="17"/>
      <c r="BD178" s="17" t="b">
        <v>0</v>
      </c>
      <c r="BE178" s="17" t="s">
        <v>2219</v>
      </c>
      <c r="BF178" s="21">
        <v>45477</v>
      </c>
      <c r="BG178" s="21">
        <v>45842</v>
      </c>
      <c r="BH178" s="17"/>
      <c r="BI178" s="21">
        <v>47598</v>
      </c>
      <c r="BJ178" s="17">
        <v>0</v>
      </c>
      <c r="BK178" s="17" t="s">
        <v>418</v>
      </c>
      <c r="BL178" s="17" t="s">
        <v>459</v>
      </c>
      <c r="BM178" s="17" t="b">
        <v>1</v>
      </c>
      <c r="BN178" s="17" t="b">
        <v>1</v>
      </c>
      <c r="BO178" s="17" t="b">
        <v>1</v>
      </c>
      <c r="BP178" s="17" t="b">
        <v>1</v>
      </c>
      <c r="BQ178" s="17" t="b">
        <v>1</v>
      </c>
      <c r="BR178" s="17" t="b">
        <v>1</v>
      </c>
      <c r="BS178" s="17" t="b">
        <v>1</v>
      </c>
      <c r="BT178" s="17" t="b">
        <v>1</v>
      </c>
      <c r="BU178" s="17" t="b">
        <v>1</v>
      </c>
      <c r="BV178" s="17">
        <v>0</v>
      </c>
      <c r="BW178" s="21">
        <v>44120</v>
      </c>
      <c r="BX178" s="17" t="s">
        <v>414</v>
      </c>
      <c r="BY178" s="17" t="s">
        <v>414</v>
      </c>
      <c r="BZ178" s="17">
        <v>0</v>
      </c>
      <c r="CA178" s="21">
        <v>45951</v>
      </c>
      <c r="CB178" s="17" t="s">
        <v>438</v>
      </c>
      <c r="CC178" s="17" t="s">
        <v>2220</v>
      </c>
      <c r="CD178" s="21"/>
      <c r="CE178" s="17"/>
      <c r="CF178" s="17" t="s">
        <v>1570</v>
      </c>
      <c r="CG178" s="17" t="b">
        <v>0</v>
      </c>
      <c r="CH178" s="17" t="s">
        <v>1080</v>
      </c>
      <c r="CI178" s="17">
        <v>0</v>
      </c>
      <c r="CJ178" s="21">
        <v>45886</v>
      </c>
      <c r="CK178" s="21">
        <v>45907</v>
      </c>
      <c r="CL178" s="17" t="s">
        <v>414</v>
      </c>
      <c r="CM178" s="21">
        <v>1</v>
      </c>
      <c r="CN178" s="21">
        <v>1</v>
      </c>
      <c r="CO178" s="21">
        <v>1</v>
      </c>
      <c r="CP178" s="17" t="b">
        <v>0</v>
      </c>
      <c r="CQ178" s="17" t="b">
        <v>1</v>
      </c>
      <c r="CR178" s="17" t="b">
        <v>0</v>
      </c>
      <c r="CS178">
        <v>7300</v>
      </c>
      <c r="CT178" t="s">
        <v>1911</v>
      </c>
      <c r="CU178">
        <v>5615.38</v>
      </c>
      <c r="CV178">
        <v>1684.62</v>
      </c>
      <c r="CW178" s="22"/>
    </row>
    <row r="179" spans="1:101" x14ac:dyDescent="0.25">
      <c r="A179" s="20">
        <v>747</v>
      </c>
      <c r="B179" s="17" t="s">
        <v>420</v>
      </c>
      <c r="C179" s="17" t="s">
        <v>572</v>
      </c>
      <c r="D179" s="17" t="s">
        <v>230</v>
      </c>
      <c r="E179" s="17" t="s">
        <v>1572</v>
      </c>
      <c r="F179" s="17" t="s">
        <v>1573</v>
      </c>
      <c r="G179" s="17" t="s">
        <v>414</v>
      </c>
      <c r="H179" s="17" t="s">
        <v>1574</v>
      </c>
      <c r="I179" s="17" t="s">
        <v>414</v>
      </c>
      <c r="J179" s="17" t="s">
        <v>16</v>
      </c>
      <c r="K179" s="17" t="b">
        <v>0</v>
      </c>
      <c r="L179" s="17" t="s">
        <v>1575</v>
      </c>
      <c r="M179" s="21">
        <v>36061</v>
      </c>
      <c r="N179" s="17" t="s">
        <v>666</v>
      </c>
      <c r="O179" s="17" t="s">
        <v>17</v>
      </c>
      <c r="P179" s="17" t="s">
        <v>18</v>
      </c>
      <c r="Q179" s="17">
        <v>1</v>
      </c>
      <c r="R179" s="17" t="s">
        <v>19</v>
      </c>
      <c r="S179" s="17">
        <v>9</v>
      </c>
      <c r="T179" s="17" t="s">
        <v>434</v>
      </c>
      <c r="U179" s="21">
        <v>44136</v>
      </c>
      <c r="V179" s="17" t="s">
        <v>58</v>
      </c>
      <c r="W179" s="21">
        <v>1</v>
      </c>
      <c r="X179" s="17" t="s">
        <v>915</v>
      </c>
      <c r="Y179" s="17" t="s">
        <v>21</v>
      </c>
      <c r="Z179" s="17">
        <v>834000</v>
      </c>
      <c r="AA179" s="17" t="s">
        <v>69</v>
      </c>
      <c r="AB179" s="17" t="s">
        <v>418</v>
      </c>
      <c r="AC179" s="17">
        <v>188</v>
      </c>
      <c r="AD179" s="21">
        <v>45004</v>
      </c>
      <c r="AE179" s="21">
        <v>45389</v>
      </c>
      <c r="AF179" s="17"/>
      <c r="AG179" s="21">
        <v>45754</v>
      </c>
      <c r="AH179" s="17">
        <v>79120686</v>
      </c>
      <c r="AI179" s="21">
        <v>44240</v>
      </c>
      <c r="AJ179" s="17">
        <v>4115</v>
      </c>
      <c r="AK179" s="17">
        <v>0.29749999999999999</v>
      </c>
      <c r="AL179" s="17">
        <v>1224.21</v>
      </c>
      <c r="AM179" s="17" t="b">
        <v>1</v>
      </c>
      <c r="AN179" s="17" t="b">
        <v>1</v>
      </c>
      <c r="AO179" s="21">
        <v>44698</v>
      </c>
      <c r="AP179" s="21">
        <v>44507</v>
      </c>
      <c r="AQ179" s="17" t="b">
        <v>0</v>
      </c>
      <c r="AR179" s="21">
        <v>45638</v>
      </c>
      <c r="AS179" s="21">
        <v>45638</v>
      </c>
      <c r="AT179" s="21">
        <v>44148</v>
      </c>
      <c r="AU179" s="17" t="b">
        <v>0</v>
      </c>
      <c r="AV179" s="21">
        <v>44228</v>
      </c>
      <c r="AW179" s="17" t="s">
        <v>41</v>
      </c>
      <c r="AX179" s="17" t="s">
        <v>23</v>
      </c>
      <c r="AY179" s="17" t="s">
        <v>41</v>
      </c>
      <c r="AZ179" s="17" t="s">
        <v>414</v>
      </c>
      <c r="BA179" s="21">
        <v>45638</v>
      </c>
      <c r="BB179" s="17">
        <v>0</v>
      </c>
      <c r="BC179" s="17"/>
      <c r="BD179" s="17" t="b">
        <v>0</v>
      </c>
      <c r="BE179" s="17" t="s">
        <v>2221</v>
      </c>
      <c r="BF179" s="21">
        <v>45638</v>
      </c>
      <c r="BG179" s="21">
        <v>46003</v>
      </c>
      <c r="BH179" s="17"/>
      <c r="BI179" s="21">
        <v>44525</v>
      </c>
      <c r="BJ179" s="17">
        <v>0</v>
      </c>
      <c r="BK179" s="17" t="s">
        <v>418</v>
      </c>
      <c r="BL179" s="17" t="s">
        <v>459</v>
      </c>
      <c r="BM179" s="17" t="b">
        <v>1</v>
      </c>
      <c r="BN179" s="17" t="b">
        <v>1</v>
      </c>
      <c r="BO179" s="17" t="b">
        <v>1</v>
      </c>
      <c r="BP179" s="17" t="b">
        <v>1</v>
      </c>
      <c r="BQ179" s="17" t="b">
        <v>1</v>
      </c>
      <c r="BR179" s="17" t="b">
        <v>1</v>
      </c>
      <c r="BS179" s="17" t="b">
        <v>1</v>
      </c>
      <c r="BT179" s="17" t="b">
        <v>0</v>
      </c>
      <c r="BU179" s="17" t="b">
        <v>1</v>
      </c>
      <c r="BV179" s="17">
        <v>0</v>
      </c>
      <c r="BW179" s="21">
        <v>44166</v>
      </c>
      <c r="BX179" s="17" t="s">
        <v>414</v>
      </c>
      <c r="BY179" s="17" t="s">
        <v>414</v>
      </c>
      <c r="BZ179" s="17">
        <v>0</v>
      </c>
      <c r="CA179" s="21">
        <v>45951</v>
      </c>
      <c r="CB179" s="17" t="s">
        <v>438</v>
      </c>
      <c r="CC179" s="17" t="s">
        <v>1919</v>
      </c>
      <c r="CD179" s="21"/>
      <c r="CE179" s="17"/>
      <c r="CF179" s="17" t="s">
        <v>1576</v>
      </c>
      <c r="CG179" s="17" t="b">
        <v>0</v>
      </c>
      <c r="CH179" s="17" t="s">
        <v>425</v>
      </c>
      <c r="CI179" s="17">
        <v>0</v>
      </c>
      <c r="CJ179" s="21">
        <v>45852</v>
      </c>
      <c r="CK179" s="21">
        <v>45907</v>
      </c>
      <c r="CL179" s="17" t="s">
        <v>414</v>
      </c>
      <c r="CM179" s="21">
        <v>1</v>
      </c>
      <c r="CN179" s="21">
        <v>1</v>
      </c>
      <c r="CO179" s="21">
        <v>1</v>
      </c>
      <c r="CP179" s="17" t="b">
        <v>0</v>
      </c>
      <c r="CQ179" s="17" t="b">
        <v>1</v>
      </c>
      <c r="CR179" s="17" t="b">
        <v>0</v>
      </c>
      <c r="CS179">
        <v>7400</v>
      </c>
      <c r="CT179" t="s">
        <v>1917</v>
      </c>
      <c r="CU179">
        <v>5692.31</v>
      </c>
      <c r="CV179">
        <v>1707.69</v>
      </c>
      <c r="CW179" s="22"/>
    </row>
    <row r="180" spans="1:101" x14ac:dyDescent="0.25">
      <c r="A180" s="20">
        <v>755</v>
      </c>
      <c r="B180" s="17" t="s">
        <v>568</v>
      </c>
      <c r="C180" s="17" t="s">
        <v>830</v>
      </c>
      <c r="D180" s="17" t="s">
        <v>231</v>
      </c>
      <c r="E180" s="17" t="s">
        <v>1577</v>
      </c>
      <c r="F180" s="17" t="s">
        <v>1578</v>
      </c>
      <c r="G180" s="17" t="s">
        <v>414</v>
      </c>
      <c r="H180" s="17" t="s">
        <v>1467</v>
      </c>
      <c r="I180" s="17" t="s">
        <v>414</v>
      </c>
      <c r="J180" s="17" t="s">
        <v>16</v>
      </c>
      <c r="K180" s="17" t="b">
        <v>0</v>
      </c>
      <c r="L180" s="17" t="s">
        <v>1579</v>
      </c>
      <c r="M180" s="21">
        <v>35477</v>
      </c>
      <c r="N180" s="17" t="s">
        <v>901</v>
      </c>
      <c r="O180" s="17" t="s">
        <v>17</v>
      </c>
      <c r="P180" s="17" t="s">
        <v>18</v>
      </c>
      <c r="Q180" s="17">
        <v>4</v>
      </c>
      <c r="R180" s="17" t="s">
        <v>54</v>
      </c>
      <c r="S180" s="17">
        <v>4</v>
      </c>
      <c r="T180" s="17" t="s">
        <v>577</v>
      </c>
      <c r="U180" s="21">
        <v>44163</v>
      </c>
      <c r="V180" s="17" t="s">
        <v>114</v>
      </c>
      <c r="W180" s="21">
        <v>1.2673611111111112</v>
      </c>
      <c r="X180" s="17" t="s">
        <v>1580</v>
      </c>
      <c r="Y180" s="17" t="s">
        <v>21</v>
      </c>
      <c r="Z180" s="17">
        <v>203100</v>
      </c>
      <c r="AA180" s="17" t="s">
        <v>55</v>
      </c>
      <c r="AB180" s="17" t="s">
        <v>418</v>
      </c>
      <c r="AC180" s="17">
        <v>217</v>
      </c>
      <c r="AD180" s="21">
        <v>45090</v>
      </c>
      <c r="AE180" s="21">
        <v>45090</v>
      </c>
      <c r="AF180" s="17"/>
      <c r="AG180" s="21">
        <v>45456</v>
      </c>
      <c r="AH180" s="17">
        <v>74244702</v>
      </c>
      <c r="AI180" s="21">
        <v>44240</v>
      </c>
      <c r="AJ180" s="17">
        <v>4115</v>
      </c>
      <c r="AK180" s="17">
        <v>0.29749999999999999</v>
      </c>
      <c r="AL180" s="17">
        <v>1224.21</v>
      </c>
      <c r="AM180" s="17" t="b">
        <v>1</v>
      </c>
      <c r="AN180" s="17" t="b">
        <v>1</v>
      </c>
      <c r="AO180" s="21">
        <v>44256</v>
      </c>
      <c r="AP180" s="21">
        <v>44270</v>
      </c>
      <c r="AQ180" s="17" t="b">
        <v>0</v>
      </c>
      <c r="AR180" s="21">
        <v>45477</v>
      </c>
      <c r="AS180" s="21">
        <v>45477</v>
      </c>
      <c r="AT180" s="21">
        <v>44148</v>
      </c>
      <c r="AU180" s="17" t="b">
        <v>0</v>
      </c>
      <c r="AV180" s="21">
        <v>44255</v>
      </c>
      <c r="AW180" s="17" t="s">
        <v>23</v>
      </c>
      <c r="AX180" s="17" t="s">
        <v>41</v>
      </c>
      <c r="AY180" s="17" t="s">
        <v>23</v>
      </c>
      <c r="AZ180" s="17" t="s">
        <v>414</v>
      </c>
      <c r="BA180" s="21">
        <v>45477</v>
      </c>
      <c r="BB180" s="17">
        <v>0</v>
      </c>
      <c r="BC180" s="17"/>
      <c r="BD180" s="17" t="b">
        <v>0</v>
      </c>
      <c r="BE180" s="17" t="s">
        <v>2222</v>
      </c>
      <c r="BF180" s="21">
        <v>45477</v>
      </c>
      <c r="BG180" s="21">
        <v>45842</v>
      </c>
      <c r="BH180" s="17"/>
      <c r="BI180" s="21">
        <v>46749</v>
      </c>
      <c r="BJ180" s="17">
        <v>0</v>
      </c>
      <c r="BK180" s="17" t="s">
        <v>418</v>
      </c>
      <c r="BL180" s="17" t="s">
        <v>459</v>
      </c>
      <c r="BM180" s="17" t="b">
        <v>1</v>
      </c>
      <c r="BN180" s="17" t="b">
        <v>1</v>
      </c>
      <c r="BO180" s="17" t="b">
        <v>1</v>
      </c>
      <c r="BP180" s="17" t="b">
        <v>1</v>
      </c>
      <c r="BQ180" s="17" t="b">
        <v>1</v>
      </c>
      <c r="BR180" s="17" t="b">
        <v>1</v>
      </c>
      <c r="BS180" s="17" t="b">
        <v>1</v>
      </c>
      <c r="BT180" s="17" t="b">
        <v>1</v>
      </c>
      <c r="BU180" s="17" t="b">
        <v>1</v>
      </c>
      <c r="BV180" s="17">
        <v>0</v>
      </c>
      <c r="BW180" s="21">
        <v>44193</v>
      </c>
      <c r="BX180" s="17" t="s">
        <v>414</v>
      </c>
      <c r="BY180" s="17" t="s">
        <v>414</v>
      </c>
      <c r="BZ180" s="17">
        <v>0</v>
      </c>
      <c r="CA180" s="21">
        <v>45951</v>
      </c>
      <c r="CB180" s="17" t="s">
        <v>438</v>
      </c>
      <c r="CC180" s="17" t="s">
        <v>2223</v>
      </c>
      <c r="CD180" s="21"/>
      <c r="CE180" s="17"/>
      <c r="CF180" s="17" t="s">
        <v>1470</v>
      </c>
      <c r="CG180" s="17" t="b">
        <v>0</v>
      </c>
      <c r="CH180" s="17" t="s">
        <v>425</v>
      </c>
      <c r="CI180" s="17">
        <v>0</v>
      </c>
      <c r="CJ180" s="21">
        <v>45839</v>
      </c>
      <c r="CK180" s="21">
        <v>45907</v>
      </c>
      <c r="CL180" s="17" t="s">
        <v>414</v>
      </c>
      <c r="CM180" s="21">
        <v>1</v>
      </c>
      <c r="CN180" s="21">
        <v>1</v>
      </c>
      <c r="CO180" s="21">
        <v>1</v>
      </c>
      <c r="CP180" s="17" t="b">
        <v>0</v>
      </c>
      <c r="CQ180" s="17" t="b">
        <v>1</v>
      </c>
      <c r="CR180" s="17" t="b">
        <v>0</v>
      </c>
      <c r="CS180">
        <v>7300</v>
      </c>
      <c r="CT180" t="s">
        <v>1911</v>
      </c>
      <c r="CU180">
        <v>5615.38</v>
      </c>
      <c r="CV180">
        <v>1684.62</v>
      </c>
      <c r="CW180" s="22"/>
    </row>
    <row r="181" spans="1:101" x14ac:dyDescent="0.25">
      <c r="A181" s="20">
        <v>758</v>
      </c>
      <c r="B181" s="17" t="s">
        <v>619</v>
      </c>
      <c r="C181" s="17" t="s">
        <v>427</v>
      </c>
      <c r="D181" s="17" t="s">
        <v>232</v>
      </c>
      <c r="E181" s="17" t="s">
        <v>1581</v>
      </c>
      <c r="F181" s="17" t="s">
        <v>1582</v>
      </c>
      <c r="G181" s="17" t="s">
        <v>414</v>
      </c>
      <c r="H181" s="17" t="s">
        <v>1583</v>
      </c>
      <c r="I181" s="17" t="s">
        <v>414</v>
      </c>
      <c r="J181" s="17" t="s">
        <v>16</v>
      </c>
      <c r="K181" s="17" t="b">
        <v>0</v>
      </c>
      <c r="L181" s="17" t="s">
        <v>1584</v>
      </c>
      <c r="M181" s="21">
        <v>33253</v>
      </c>
      <c r="N181" s="17" t="s">
        <v>1585</v>
      </c>
      <c r="O181" s="17" t="s">
        <v>17</v>
      </c>
      <c r="P181" s="17" t="s">
        <v>18</v>
      </c>
      <c r="Q181" s="17">
        <v>1</v>
      </c>
      <c r="R181" s="17" t="s">
        <v>19</v>
      </c>
      <c r="S181" s="17">
        <v>8</v>
      </c>
      <c r="T181" s="17" t="s">
        <v>416</v>
      </c>
      <c r="U181" s="21">
        <v>44170</v>
      </c>
      <c r="V181" s="17" t="s">
        <v>61</v>
      </c>
      <c r="W181" s="21">
        <v>1</v>
      </c>
      <c r="X181" s="17" t="s">
        <v>417</v>
      </c>
      <c r="Y181" s="17" t="s">
        <v>21</v>
      </c>
      <c r="Z181" s="17">
        <v>834000</v>
      </c>
      <c r="AA181" s="17" t="s">
        <v>69</v>
      </c>
      <c r="AB181" s="17" t="s">
        <v>443</v>
      </c>
      <c r="AC181" s="17">
        <v>0</v>
      </c>
      <c r="AD181" s="21">
        <v>1</v>
      </c>
      <c r="AE181" s="21">
        <v>2</v>
      </c>
      <c r="AF181" s="17"/>
      <c r="AG181" s="21">
        <v>368</v>
      </c>
      <c r="AH181" s="17">
        <v>72047544</v>
      </c>
      <c r="AI181" s="21">
        <v>44774</v>
      </c>
      <c r="AJ181" s="17">
        <v>4110</v>
      </c>
      <c r="AK181" s="17">
        <v>0.29749999999999999</v>
      </c>
      <c r="AL181" s="17">
        <v>1222.73</v>
      </c>
      <c r="AM181" s="17" t="b">
        <v>1</v>
      </c>
      <c r="AN181" s="17" t="b">
        <v>1</v>
      </c>
      <c r="AO181" s="21">
        <v>44818</v>
      </c>
      <c r="AP181" s="21">
        <v>44825</v>
      </c>
      <c r="AQ181" s="17" t="b">
        <v>0</v>
      </c>
      <c r="AR181" s="21">
        <v>45477</v>
      </c>
      <c r="AS181" s="21">
        <v>45477</v>
      </c>
      <c r="AT181" s="21">
        <v>44682</v>
      </c>
      <c r="AU181" s="17" t="b">
        <v>0</v>
      </c>
      <c r="AV181" s="21">
        <v>44260</v>
      </c>
      <c r="AW181" s="17" t="s">
        <v>23</v>
      </c>
      <c r="AX181" s="17" t="s">
        <v>41</v>
      </c>
      <c r="AY181" s="17" t="s">
        <v>23</v>
      </c>
      <c r="AZ181" s="17" t="s">
        <v>414</v>
      </c>
      <c r="BA181" s="21">
        <v>45477</v>
      </c>
      <c r="BB181" s="17">
        <v>27955</v>
      </c>
      <c r="BC181" s="17"/>
      <c r="BD181" s="17" t="b">
        <v>0</v>
      </c>
      <c r="BE181" s="17" t="s">
        <v>2224</v>
      </c>
      <c r="BF181" s="21">
        <v>45477</v>
      </c>
      <c r="BG181" s="21">
        <v>45842</v>
      </c>
      <c r="BH181" s="17"/>
      <c r="BI181" s="21">
        <v>46033</v>
      </c>
      <c r="BJ181" s="17">
        <v>0</v>
      </c>
      <c r="BK181" s="17" t="s">
        <v>418</v>
      </c>
      <c r="BL181" s="17" t="s">
        <v>459</v>
      </c>
      <c r="BM181" s="17" t="b">
        <v>1</v>
      </c>
      <c r="BN181" s="17" t="b">
        <v>1</v>
      </c>
      <c r="BO181" s="17" t="b">
        <v>1</v>
      </c>
      <c r="BP181" s="17" t="b">
        <v>1</v>
      </c>
      <c r="BQ181" s="17" t="b">
        <v>1</v>
      </c>
      <c r="BR181" s="17" t="b">
        <v>1</v>
      </c>
      <c r="BS181" s="17" t="b">
        <v>1</v>
      </c>
      <c r="BT181" s="17" t="b">
        <v>1</v>
      </c>
      <c r="BU181" s="17" t="b">
        <v>1</v>
      </c>
      <c r="BV181" s="17">
        <v>0</v>
      </c>
      <c r="BW181" s="21">
        <v>44201</v>
      </c>
      <c r="BX181" s="17" t="s">
        <v>414</v>
      </c>
      <c r="BY181" s="17" t="s">
        <v>414</v>
      </c>
      <c r="BZ181" s="17">
        <v>0</v>
      </c>
      <c r="CA181" s="21">
        <v>45951</v>
      </c>
      <c r="CB181" s="17" t="s">
        <v>438</v>
      </c>
      <c r="CC181" s="17" t="s">
        <v>2225</v>
      </c>
      <c r="CD181" s="21"/>
      <c r="CE181" s="17"/>
      <c r="CF181" s="17" t="s">
        <v>414</v>
      </c>
      <c r="CG181" s="17" t="b">
        <v>0</v>
      </c>
      <c r="CH181" s="17" t="s">
        <v>1586</v>
      </c>
      <c r="CI181" s="17">
        <v>0</v>
      </c>
      <c r="CJ181" s="21">
        <v>45853</v>
      </c>
      <c r="CK181" s="21">
        <v>45907</v>
      </c>
      <c r="CL181" s="17" t="s">
        <v>414</v>
      </c>
      <c r="CM181" s="21">
        <v>1</v>
      </c>
      <c r="CN181" s="21">
        <v>1</v>
      </c>
      <c r="CO181" s="21">
        <v>1</v>
      </c>
      <c r="CP181" s="17" t="b">
        <v>0</v>
      </c>
      <c r="CQ181" s="17" t="b">
        <v>1</v>
      </c>
      <c r="CR181" s="17" t="b">
        <v>0</v>
      </c>
      <c r="CS181">
        <v>7500</v>
      </c>
      <c r="CT181" t="s">
        <v>1916</v>
      </c>
      <c r="CU181">
        <v>5769.23</v>
      </c>
      <c r="CV181">
        <v>1730.77</v>
      </c>
      <c r="CW181" s="22"/>
    </row>
    <row r="182" spans="1:101" x14ac:dyDescent="0.25">
      <c r="A182" s="20">
        <v>760</v>
      </c>
      <c r="B182" s="17" t="s">
        <v>587</v>
      </c>
      <c r="C182" s="17" t="s">
        <v>587</v>
      </c>
      <c r="D182" s="17" t="s">
        <v>1587</v>
      </c>
      <c r="E182" s="17" t="s">
        <v>1588</v>
      </c>
      <c r="F182" s="17" t="s">
        <v>1589</v>
      </c>
      <c r="G182" s="17" t="s">
        <v>414</v>
      </c>
      <c r="H182" s="17" t="s">
        <v>414</v>
      </c>
      <c r="I182" s="17" t="s">
        <v>414</v>
      </c>
      <c r="J182" s="17" t="s">
        <v>96</v>
      </c>
      <c r="K182" s="17" t="b">
        <v>0</v>
      </c>
      <c r="L182" s="17" t="s">
        <v>414</v>
      </c>
      <c r="M182" s="21">
        <v>2</v>
      </c>
      <c r="N182" s="17" t="s">
        <v>414</v>
      </c>
      <c r="O182" s="17" t="s">
        <v>17</v>
      </c>
      <c r="P182" s="17" t="s">
        <v>18</v>
      </c>
      <c r="Q182" s="17">
        <v>1</v>
      </c>
      <c r="R182" s="17" t="s">
        <v>19</v>
      </c>
      <c r="S182" s="17">
        <v>1</v>
      </c>
      <c r="T182" s="17" t="s">
        <v>422</v>
      </c>
      <c r="U182" s="21">
        <v>44171</v>
      </c>
      <c r="V182" s="17" t="s">
        <v>144</v>
      </c>
      <c r="W182" s="21">
        <v>1</v>
      </c>
      <c r="X182" s="17" t="s">
        <v>904</v>
      </c>
      <c r="Y182" s="17" t="s">
        <v>21</v>
      </c>
      <c r="Z182" s="17">
        <v>0</v>
      </c>
      <c r="AA182" s="17" t="s">
        <v>414</v>
      </c>
      <c r="AB182" s="17" t="s">
        <v>443</v>
      </c>
      <c r="AC182" s="17">
        <v>0</v>
      </c>
      <c r="AD182" s="21">
        <v>1</v>
      </c>
      <c r="AE182" s="21">
        <v>2</v>
      </c>
      <c r="AF182" s="17"/>
      <c r="AG182" s="21">
        <v>368</v>
      </c>
      <c r="AH182" s="17">
        <v>0</v>
      </c>
      <c r="AI182" s="21">
        <v>1</v>
      </c>
      <c r="AJ182" s="17">
        <v>0</v>
      </c>
      <c r="AK182" s="17">
        <v>0.29749999999999999</v>
      </c>
      <c r="AL182" s="17">
        <v>0</v>
      </c>
      <c r="AM182" s="17" t="b">
        <v>0</v>
      </c>
      <c r="AN182" s="17" t="b">
        <v>0</v>
      </c>
      <c r="AO182" s="21">
        <v>45470</v>
      </c>
      <c r="AP182" s="21">
        <v>45470</v>
      </c>
      <c r="AQ182" s="17" t="b">
        <v>0</v>
      </c>
      <c r="AR182" s="21">
        <v>45470</v>
      </c>
      <c r="AS182" s="21">
        <v>45470</v>
      </c>
      <c r="AT182" s="21">
        <v>-90</v>
      </c>
      <c r="AU182" s="17" t="b">
        <v>0</v>
      </c>
      <c r="AV182" s="21">
        <v>44261</v>
      </c>
      <c r="AW182" s="17" t="s">
        <v>101</v>
      </c>
      <c r="AX182" s="17" t="s">
        <v>101</v>
      </c>
      <c r="AY182" s="17"/>
      <c r="AZ182" s="17" t="s">
        <v>450</v>
      </c>
      <c r="BA182" s="21">
        <v>45470</v>
      </c>
      <c r="BB182" s="17">
        <v>0</v>
      </c>
      <c r="BC182" s="17"/>
      <c r="BD182" s="17" t="b">
        <v>0</v>
      </c>
      <c r="BE182" s="17" t="s">
        <v>1926</v>
      </c>
      <c r="BF182" s="21">
        <v>45470</v>
      </c>
      <c r="BG182" s="21">
        <v>45835</v>
      </c>
      <c r="BH182" s="17"/>
      <c r="BI182" s="21">
        <v>45470</v>
      </c>
      <c r="BJ182" s="17">
        <v>0</v>
      </c>
      <c r="BK182" s="17" t="s">
        <v>443</v>
      </c>
      <c r="BL182" s="17" t="s">
        <v>443</v>
      </c>
      <c r="BM182" s="17" t="b">
        <v>0</v>
      </c>
      <c r="BN182" s="17" t="b">
        <v>0</v>
      </c>
      <c r="BO182" s="17" t="b">
        <v>0</v>
      </c>
      <c r="BP182" s="17" t="b">
        <v>0</v>
      </c>
      <c r="BQ182" s="17" t="b">
        <v>0</v>
      </c>
      <c r="BR182" s="17" t="b">
        <v>0</v>
      </c>
      <c r="BS182" s="17" t="b">
        <v>0</v>
      </c>
      <c r="BT182" s="17" t="b">
        <v>0</v>
      </c>
      <c r="BU182" s="17" t="b">
        <v>0</v>
      </c>
      <c r="BV182" s="17">
        <v>0</v>
      </c>
      <c r="BW182" s="21">
        <v>44202</v>
      </c>
      <c r="BX182" s="17" t="s">
        <v>414</v>
      </c>
      <c r="BY182" s="17" t="s">
        <v>414</v>
      </c>
      <c r="BZ182" s="17">
        <v>0</v>
      </c>
      <c r="CA182" s="21">
        <v>45875</v>
      </c>
      <c r="CB182" s="17" t="s">
        <v>438</v>
      </c>
      <c r="CC182" s="17" t="s">
        <v>2052</v>
      </c>
      <c r="CD182" s="21"/>
      <c r="CE182" s="17"/>
      <c r="CF182" s="17" t="s">
        <v>414</v>
      </c>
      <c r="CG182" s="17" t="b">
        <v>0</v>
      </c>
      <c r="CH182" s="17" t="s">
        <v>414</v>
      </c>
      <c r="CI182" s="17">
        <v>0</v>
      </c>
      <c r="CJ182" s="21">
        <v>1</v>
      </c>
      <c r="CK182" s="21">
        <v>1</v>
      </c>
      <c r="CL182" s="17" t="s">
        <v>414</v>
      </c>
      <c r="CM182" s="21">
        <v>1</v>
      </c>
      <c r="CN182" s="21">
        <v>1</v>
      </c>
      <c r="CO182" s="21">
        <v>1</v>
      </c>
      <c r="CP182" s="17" t="b">
        <v>0</v>
      </c>
      <c r="CQ182" s="17" t="b">
        <v>0</v>
      </c>
      <c r="CR182" s="17" t="b">
        <v>0</v>
      </c>
      <c r="CW182" s="22"/>
    </row>
    <row r="183" spans="1:101" x14ac:dyDescent="0.25">
      <c r="A183" s="20">
        <v>763</v>
      </c>
      <c r="B183" s="17" t="s">
        <v>411</v>
      </c>
      <c r="C183" s="17" t="s">
        <v>460</v>
      </c>
      <c r="D183" s="17" t="s">
        <v>233</v>
      </c>
      <c r="E183" s="17" t="s">
        <v>1590</v>
      </c>
      <c r="F183" s="17" t="s">
        <v>1591</v>
      </c>
      <c r="G183" s="17" t="s">
        <v>414</v>
      </c>
      <c r="H183" s="17" t="s">
        <v>917</v>
      </c>
      <c r="I183" s="17" t="s">
        <v>414</v>
      </c>
      <c r="J183" s="17" t="s">
        <v>16</v>
      </c>
      <c r="K183" s="17" t="b">
        <v>0</v>
      </c>
      <c r="L183" s="17" t="s">
        <v>1592</v>
      </c>
      <c r="M183" s="21">
        <v>34714</v>
      </c>
      <c r="N183" s="17" t="s">
        <v>414</v>
      </c>
      <c r="O183" s="17" t="s">
        <v>17</v>
      </c>
      <c r="P183" s="17" t="s">
        <v>18</v>
      </c>
      <c r="Q183" s="17">
        <v>1</v>
      </c>
      <c r="R183" s="17" t="s">
        <v>19</v>
      </c>
      <c r="S183" s="17">
        <v>8</v>
      </c>
      <c r="T183" s="17" t="s">
        <v>416</v>
      </c>
      <c r="U183" s="21">
        <v>44177</v>
      </c>
      <c r="V183" s="17" t="s">
        <v>58</v>
      </c>
      <c r="W183" s="21">
        <v>1</v>
      </c>
      <c r="X183" s="17" t="s">
        <v>915</v>
      </c>
      <c r="Y183" s="17" t="s">
        <v>21</v>
      </c>
      <c r="Z183" s="17">
        <v>0</v>
      </c>
      <c r="AA183" s="17" t="s">
        <v>414</v>
      </c>
      <c r="AB183" s="17" t="s">
        <v>418</v>
      </c>
      <c r="AC183" s="17">
        <v>194</v>
      </c>
      <c r="AD183" s="21">
        <v>45004</v>
      </c>
      <c r="AE183" s="21">
        <v>45389</v>
      </c>
      <c r="AF183" s="17"/>
      <c r="AG183" s="21">
        <v>45754</v>
      </c>
      <c r="AH183" s="17">
        <v>75418547</v>
      </c>
      <c r="AI183" s="21">
        <v>44177</v>
      </c>
      <c r="AJ183" s="17">
        <v>4110</v>
      </c>
      <c r="AK183" s="17">
        <v>0.29749999999999999</v>
      </c>
      <c r="AL183" s="17">
        <v>1222.73</v>
      </c>
      <c r="AM183" s="17" t="b">
        <v>1</v>
      </c>
      <c r="AN183" s="17" t="b">
        <v>1</v>
      </c>
      <c r="AO183" s="21">
        <v>44273</v>
      </c>
      <c r="AP183" s="21">
        <v>44292</v>
      </c>
      <c r="AQ183" s="17" t="b">
        <v>0</v>
      </c>
      <c r="AR183" s="21">
        <v>45638</v>
      </c>
      <c r="AS183" s="21">
        <v>45638</v>
      </c>
      <c r="AT183" s="21">
        <v>44086</v>
      </c>
      <c r="AU183" s="17" t="b">
        <v>0</v>
      </c>
      <c r="AV183" s="21">
        <v>44267</v>
      </c>
      <c r="AW183" s="17" t="s">
        <v>23</v>
      </c>
      <c r="AX183" s="17" t="s">
        <v>41</v>
      </c>
      <c r="AY183" s="17" t="s">
        <v>41</v>
      </c>
      <c r="AZ183" s="17" t="s">
        <v>414</v>
      </c>
      <c r="BA183" s="21">
        <v>45638</v>
      </c>
      <c r="BB183" s="17">
        <v>0</v>
      </c>
      <c r="BC183" s="17"/>
      <c r="BD183" s="17" t="b">
        <v>0</v>
      </c>
      <c r="BE183" s="17" t="s">
        <v>2226</v>
      </c>
      <c r="BF183" s="21">
        <v>45638</v>
      </c>
      <c r="BG183" s="21">
        <v>46003</v>
      </c>
      <c r="BH183" s="17"/>
      <c r="BI183" s="21">
        <v>45638</v>
      </c>
      <c r="BJ183" s="17">
        <v>0</v>
      </c>
      <c r="BK183" s="17" t="s">
        <v>418</v>
      </c>
      <c r="BL183" s="17" t="s">
        <v>459</v>
      </c>
      <c r="BM183" s="17" t="b">
        <v>1</v>
      </c>
      <c r="BN183" s="17" t="b">
        <v>1</v>
      </c>
      <c r="BO183" s="17" t="b">
        <v>1</v>
      </c>
      <c r="BP183" s="17" t="b">
        <v>1</v>
      </c>
      <c r="BQ183" s="17" t="b">
        <v>1</v>
      </c>
      <c r="BR183" s="17" t="b">
        <v>1</v>
      </c>
      <c r="BS183" s="17" t="b">
        <v>1</v>
      </c>
      <c r="BT183" s="17" t="b">
        <v>1</v>
      </c>
      <c r="BU183" s="17" t="b">
        <v>1</v>
      </c>
      <c r="BV183" s="17">
        <v>0</v>
      </c>
      <c r="BW183" s="21">
        <v>44208</v>
      </c>
      <c r="BX183" s="17" t="s">
        <v>414</v>
      </c>
      <c r="BY183" s="17" t="s">
        <v>414</v>
      </c>
      <c r="BZ183" s="17">
        <v>0</v>
      </c>
      <c r="CA183" s="21">
        <v>45951</v>
      </c>
      <c r="CB183" s="17" t="s">
        <v>438</v>
      </c>
      <c r="CC183" s="17" t="s">
        <v>2227</v>
      </c>
      <c r="CD183" s="21"/>
      <c r="CE183" s="17"/>
      <c r="CF183" s="17" t="s">
        <v>1571</v>
      </c>
      <c r="CG183" s="17" t="b">
        <v>0</v>
      </c>
      <c r="CH183" s="17" t="s">
        <v>414</v>
      </c>
      <c r="CI183" s="17">
        <v>0</v>
      </c>
      <c r="CJ183" s="21">
        <v>45843</v>
      </c>
      <c r="CK183" s="21">
        <v>45907</v>
      </c>
      <c r="CL183" s="17" t="s">
        <v>414</v>
      </c>
      <c r="CM183" s="21">
        <v>1</v>
      </c>
      <c r="CN183" s="21">
        <v>1</v>
      </c>
      <c r="CO183" s="21">
        <v>1</v>
      </c>
      <c r="CP183" s="17" t="b">
        <v>0</v>
      </c>
      <c r="CQ183" s="17" t="b">
        <v>1</v>
      </c>
      <c r="CR183" s="17" t="b">
        <v>0</v>
      </c>
      <c r="CS183">
        <v>7500</v>
      </c>
      <c r="CT183" t="s">
        <v>1916</v>
      </c>
      <c r="CU183">
        <v>5769.23</v>
      </c>
      <c r="CV183">
        <v>1730.77</v>
      </c>
      <c r="CW183" s="22"/>
    </row>
    <row r="184" spans="1:101" x14ac:dyDescent="0.25">
      <c r="A184" s="20">
        <v>764</v>
      </c>
      <c r="B184" s="17" t="s">
        <v>426</v>
      </c>
      <c r="C184" s="17" t="s">
        <v>867</v>
      </c>
      <c r="D184" s="17" t="s">
        <v>234</v>
      </c>
      <c r="E184" s="17" t="s">
        <v>1593</v>
      </c>
      <c r="F184" s="17" t="s">
        <v>1594</v>
      </c>
      <c r="G184" s="17" t="s">
        <v>414</v>
      </c>
      <c r="H184" s="17" t="s">
        <v>1595</v>
      </c>
      <c r="I184" s="17" t="s">
        <v>414</v>
      </c>
      <c r="J184" s="17" t="s">
        <v>16</v>
      </c>
      <c r="K184" s="17" t="b">
        <v>0</v>
      </c>
      <c r="L184" s="17" t="s">
        <v>1596</v>
      </c>
      <c r="M184" s="21">
        <v>35003</v>
      </c>
      <c r="N184" s="17" t="s">
        <v>901</v>
      </c>
      <c r="O184" s="17" t="s">
        <v>17</v>
      </c>
      <c r="P184" s="17" t="s">
        <v>18</v>
      </c>
      <c r="Q184" s="17">
        <v>2</v>
      </c>
      <c r="R184" s="17" t="s">
        <v>50</v>
      </c>
      <c r="S184" s="17">
        <v>43</v>
      </c>
      <c r="T184" s="17" t="s">
        <v>1597</v>
      </c>
      <c r="U184" s="21">
        <v>44184</v>
      </c>
      <c r="V184" s="17" t="s">
        <v>114</v>
      </c>
      <c r="W184" s="21">
        <v>1</v>
      </c>
      <c r="X184" s="17" t="s">
        <v>1497</v>
      </c>
      <c r="Y184" s="17" t="s">
        <v>21</v>
      </c>
      <c r="Z184" s="17">
        <v>833450</v>
      </c>
      <c r="AA184" s="17" t="s">
        <v>235</v>
      </c>
      <c r="AB184" s="17" t="s">
        <v>418</v>
      </c>
      <c r="AC184" s="17">
        <v>140</v>
      </c>
      <c r="AD184" s="21">
        <v>44574</v>
      </c>
      <c r="AE184" s="21">
        <v>45383</v>
      </c>
      <c r="AF184" s="17"/>
      <c r="AG184" s="21">
        <v>45748</v>
      </c>
      <c r="AH184" s="17">
        <v>71649320</v>
      </c>
      <c r="AI184" s="21">
        <v>44184</v>
      </c>
      <c r="AJ184" s="17">
        <v>4115</v>
      </c>
      <c r="AK184" s="17">
        <v>0.29749999999999999</v>
      </c>
      <c r="AL184" s="17">
        <v>1224.21</v>
      </c>
      <c r="AM184" s="17" t="b">
        <v>1</v>
      </c>
      <c r="AN184" s="17" t="b">
        <v>1</v>
      </c>
      <c r="AO184" s="21">
        <v>44273</v>
      </c>
      <c r="AP184" s="21">
        <v>44292</v>
      </c>
      <c r="AQ184" s="17" t="b">
        <v>0</v>
      </c>
      <c r="AR184" s="21">
        <v>45638</v>
      </c>
      <c r="AS184" s="21">
        <v>45638</v>
      </c>
      <c r="AT184" s="21">
        <v>44093</v>
      </c>
      <c r="AU184" s="17" t="b">
        <v>0</v>
      </c>
      <c r="AV184" s="21">
        <v>44274</v>
      </c>
      <c r="AW184" s="17" t="s">
        <v>23</v>
      </c>
      <c r="AX184" s="17" t="s">
        <v>23</v>
      </c>
      <c r="AY184" s="17" t="s">
        <v>414</v>
      </c>
      <c r="AZ184" s="17" t="s">
        <v>450</v>
      </c>
      <c r="BA184" s="21">
        <v>45638</v>
      </c>
      <c r="BB184" s="17">
        <v>0</v>
      </c>
      <c r="BC184" s="17"/>
      <c r="BD184" s="17" t="b">
        <v>0</v>
      </c>
      <c r="BE184" s="17" t="s">
        <v>2228</v>
      </c>
      <c r="BF184" s="21">
        <v>45638</v>
      </c>
      <c r="BG184" s="21">
        <v>46003</v>
      </c>
      <c r="BH184" s="17"/>
      <c r="BI184" s="21">
        <v>46611</v>
      </c>
      <c r="BJ184" s="17">
        <v>0</v>
      </c>
      <c r="BK184" s="17" t="s">
        <v>418</v>
      </c>
      <c r="BL184" s="17" t="s">
        <v>418</v>
      </c>
      <c r="BM184" s="17" t="b">
        <v>1</v>
      </c>
      <c r="BN184" s="17" t="b">
        <v>1</v>
      </c>
      <c r="BO184" s="17" t="b">
        <v>1</v>
      </c>
      <c r="BP184" s="17" t="b">
        <v>1</v>
      </c>
      <c r="BQ184" s="17" t="b">
        <v>1</v>
      </c>
      <c r="BR184" s="17" t="b">
        <v>1</v>
      </c>
      <c r="BS184" s="17" t="b">
        <v>1</v>
      </c>
      <c r="BT184" s="17" t="b">
        <v>1</v>
      </c>
      <c r="BU184" s="17" t="b">
        <v>1</v>
      </c>
      <c r="BV184" s="17">
        <v>0</v>
      </c>
      <c r="BW184" s="21">
        <v>44215</v>
      </c>
      <c r="BX184" s="17" t="s">
        <v>414</v>
      </c>
      <c r="BY184" s="17" t="s">
        <v>414</v>
      </c>
      <c r="BZ184" s="17">
        <v>0</v>
      </c>
      <c r="CA184" s="21">
        <v>45951</v>
      </c>
      <c r="CB184" s="17" t="s">
        <v>438</v>
      </c>
      <c r="CC184" s="17" t="s">
        <v>2229</v>
      </c>
      <c r="CD184" s="21"/>
      <c r="CE184" s="17"/>
      <c r="CF184" s="17" t="s">
        <v>1598</v>
      </c>
      <c r="CG184" s="17" t="b">
        <v>0</v>
      </c>
      <c r="CH184" s="17" t="s">
        <v>425</v>
      </c>
      <c r="CI184" s="17">
        <v>0</v>
      </c>
      <c r="CJ184" s="21">
        <v>45851</v>
      </c>
      <c r="CK184" s="21">
        <v>45907</v>
      </c>
      <c r="CL184" s="17" t="s">
        <v>414</v>
      </c>
      <c r="CM184" s="21">
        <v>1</v>
      </c>
      <c r="CN184" s="21">
        <v>1</v>
      </c>
      <c r="CO184" s="21">
        <v>1</v>
      </c>
      <c r="CP184" s="17" t="b">
        <v>0</v>
      </c>
      <c r="CQ184" s="17" t="b">
        <v>1</v>
      </c>
      <c r="CR184" s="17" t="b">
        <v>0</v>
      </c>
      <c r="CS184">
        <v>7300</v>
      </c>
      <c r="CT184" t="s">
        <v>1911</v>
      </c>
      <c r="CU184">
        <v>5615.38</v>
      </c>
      <c r="CV184">
        <v>1684.62</v>
      </c>
      <c r="CW184" s="22"/>
    </row>
    <row r="185" spans="1:101" x14ac:dyDescent="0.25">
      <c r="A185" s="20">
        <v>783</v>
      </c>
      <c r="B185" s="17" t="s">
        <v>426</v>
      </c>
      <c r="C185" s="17" t="s">
        <v>420</v>
      </c>
      <c r="D185" s="17" t="s">
        <v>236</v>
      </c>
      <c r="E185" s="17" t="s">
        <v>1599</v>
      </c>
      <c r="F185" s="17" t="s">
        <v>1600</v>
      </c>
      <c r="G185" s="17" t="s">
        <v>414</v>
      </c>
      <c r="H185" s="17" t="s">
        <v>512</v>
      </c>
      <c r="I185" s="17" t="s">
        <v>432</v>
      </c>
      <c r="J185" s="17" t="s">
        <v>16</v>
      </c>
      <c r="K185" s="17" t="b">
        <v>0</v>
      </c>
      <c r="L185" s="17" t="s">
        <v>1601</v>
      </c>
      <c r="M185" s="21">
        <v>31094</v>
      </c>
      <c r="N185" s="17" t="s">
        <v>555</v>
      </c>
      <c r="O185" s="17" t="s">
        <v>17</v>
      </c>
      <c r="P185" s="17" t="s">
        <v>18</v>
      </c>
      <c r="Q185" s="17">
        <v>8</v>
      </c>
      <c r="R185" s="17" t="s">
        <v>107</v>
      </c>
      <c r="S185" s="17">
        <v>40</v>
      </c>
      <c r="T185" s="17" t="s">
        <v>188</v>
      </c>
      <c r="U185" s="21">
        <v>44419</v>
      </c>
      <c r="V185" s="17" t="s">
        <v>29</v>
      </c>
      <c r="W185" s="21">
        <v>1.9097222222222223</v>
      </c>
      <c r="X185" s="17" t="s">
        <v>1602</v>
      </c>
      <c r="Y185" s="17" t="s">
        <v>45</v>
      </c>
      <c r="Z185" s="17">
        <v>203300</v>
      </c>
      <c r="AA185" s="17" t="s">
        <v>188</v>
      </c>
      <c r="AB185" s="17" t="s">
        <v>418</v>
      </c>
      <c r="AC185" s="17">
        <v>190</v>
      </c>
      <c r="AD185" s="21">
        <v>45004</v>
      </c>
      <c r="AE185" s="21">
        <v>45389</v>
      </c>
      <c r="AF185" s="17"/>
      <c r="AG185" s="21">
        <v>45754</v>
      </c>
      <c r="AH185" s="17">
        <v>47773976</v>
      </c>
      <c r="AI185" s="21">
        <v>44425</v>
      </c>
      <c r="AJ185" s="17">
        <v>4115</v>
      </c>
      <c r="AK185" s="17">
        <v>0.29749999999999999</v>
      </c>
      <c r="AL185" s="17">
        <v>1224.21</v>
      </c>
      <c r="AM185" s="17" t="b">
        <v>1</v>
      </c>
      <c r="AN185" s="17" t="b">
        <v>1</v>
      </c>
      <c r="AO185" s="21">
        <v>44466</v>
      </c>
      <c r="AP185" s="21">
        <v>44474</v>
      </c>
      <c r="AQ185" s="17" t="b">
        <v>0</v>
      </c>
      <c r="AR185" s="21">
        <v>1</v>
      </c>
      <c r="AS185" s="21">
        <v>1</v>
      </c>
      <c r="AT185" s="21">
        <v>44333</v>
      </c>
      <c r="AU185" s="17" t="b">
        <v>0</v>
      </c>
      <c r="AV185" s="21">
        <v>44511</v>
      </c>
      <c r="AW185" s="17" t="s">
        <v>41</v>
      </c>
      <c r="AX185" s="17" t="s">
        <v>41</v>
      </c>
      <c r="AY185" s="17" t="s">
        <v>414</v>
      </c>
      <c r="AZ185" s="17" t="s">
        <v>520</v>
      </c>
      <c r="BA185" s="21">
        <v>45398</v>
      </c>
      <c r="BB185" s="17">
        <v>0</v>
      </c>
      <c r="BC185" s="17"/>
      <c r="BD185" s="17" t="b">
        <v>0</v>
      </c>
      <c r="BE185" s="17" t="s">
        <v>2230</v>
      </c>
      <c r="BF185" s="21">
        <v>45398</v>
      </c>
      <c r="BG185" s="21">
        <v>45763</v>
      </c>
      <c r="BH185" s="17"/>
      <c r="BI185" s="21">
        <v>45932</v>
      </c>
      <c r="BJ185" s="17">
        <v>0</v>
      </c>
      <c r="BK185" s="17" t="s">
        <v>418</v>
      </c>
      <c r="BL185" s="17" t="s">
        <v>776</v>
      </c>
      <c r="BM185" s="17" t="b">
        <v>1</v>
      </c>
      <c r="BN185" s="17" t="b">
        <v>1</v>
      </c>
      <c r="BO185" s="17" t="b">
        <v>1</v>
      </c>
      <c r="BP185" s="17" t="b">
        <v>1</v>
      </c>
      <c r="BQ185" s="17" t="b">
        <v>1</v>
      </c>
      <c r="BR185" s="17" t="b">
        <v>1</v>
      </c>
      <c r="BS185" s="17" t="b">
        <v>1</v>
      </c>
      <c r="BT185" s="17" t="b">
        <v>1</v>
      </c>
      <c r="BU185" s="17" t="b">
        <v>1</v>
      </c>
      <c r="BV185" s="17">
        <v>0</v>
      </c>
      <c r="BW185" s="21">
        <v>44450</v>
      </c>
      <c r="BX185" s="17" t="s">
        <v>414</v>
      </c>
      <c r="BY185" s="17" t="s">
        <v>414</v>
      </c>
      <c r="BZ185" s="17">
        <v>0</v>
      </c>
      <c r="CA185" s="21">
        <v>45951</v>
      </c>
      <c r="CB185" s="17" t="s">
        <v>419</v>
      </c>
      <c r="CC185" s="17" t="s">
        <v>2231</v>
      </c>
      <c r="CD185" s="21">
        <v>45890</v>
      </c>
      <c r="CE185" s="17" t="s">
        <v>415</v>
      </c>
      <c r="CF185" s="17" t="s">
        <v>1603</v>
      </c>
      <c r="CG185" s="17" t="b">
        <v>0</v>
      </c>
      <c r="CH185" s="17" t="s">
        <v>425</v>
      </c>
      <c r="CI185" s="17">
        <v>0</v>
      </c>
      <c r="CJ185" s="21">
        <v>45890</v>
      </c>
      <c r="CK185" s="21">
        <v>1</v>
      </c>
      <c r="CL185" s="17" t="s">
        <v>414</v>
      </c>
      <c r="CM185" s="21">
        <v>1</v>
      </c>
      <c r="CN185" s="21">
        <v>1</v>
      </c>
      <c r="CO185" s="21">
        <v>1</v>
      </c>
      <c r="CP185" s="17" t="b">
        <v>0</v>
      </c>
      <c r="CQ185" s="17" t="b">
        <v>1</v>
      </c>
      <c r="CR185" s="17" t="b">
        <v>0</v>
      </c>
      <c r="CS185">
        <v>7300</v>
      </c>
      <c r="CT185" t="s">
        <v>1911</v>
      </c>
      <c r="CU185">
        <v>5615.38</v>
      </c>
      <c r="CV185">
        <v>1684.62</v>
      </c>
      <c r="CW185" s="22"/>
    </row>
    <row r="186" spans="1:101" x14ac:dyDescent="0.25">
      <c r="A186" s="20">
        <v>784</v>
      </c>
      <c r="B186" s="17" t="s">
        <v>781</v>
      </c>
      <c r="C186" s="17" t="s">
        <v>426</v>
      </c>
      <c r="D186" s="17" t="s">
        <v>237</v>
      </c>
      <c r="E186" s="17" t="s">
        <v>1604</v>
      </c>
      <c r="F186" s="17" t="s">
        <v>1605</v>
      </c>
      <c r="G186" s="17" t="s">
        <v>414</v>
      </c>
      <c r="H186" s="17" t="s">
        <v>1606</v>
      </c>
      <c r="I186" s="17" t="s">
        <v>414</v>
      </c>
      <c r="J186" s="17" t="s">
        <v>16</v>
      </c>
      <c r="K186" s="17" t="b">
        <v>0</v>
      </c>
      <c r="L186" s="17" t="s">
        <v>1607</v>
      </c>
      <c r="M186" s="21">
        <v>32753</v>
      </c>
      <c r="N186" s="17" t="s">
        <v>555</v>
      </c>
      <c r="O186" s="17" t="s">
        <v>17</v>
      </c>
      <c r="P186" s="17" t="s">
        <v>18</v>
      </c>
      <c r="Q186" s="17">
        <v>7</v>
      </c>
      <c r="R186" s="17" t="s">
        <v>163</v>
      </c>
      <c r="S186" s="17">
        <v>32</v>
      </c>
      <c r="T186" s="17" t="s">
        <v>1126</v>
      </c>
      <c r="U186" s="21">
        <v>44436</v>
      </c>
      <c r="V186" s="17" t="s">
        <v>20</v>
      </c>
      <c r="W186" s="21">
        <v>1.2916666666666665</v>
      </c>
      <c r="X186" s="17" t="s">
        <v>1608</v>
      </c>
      <c r="Y186" s="17" t="s">
        <v>21</v>
      </c>
      <c r="Z186" s="17">
        <v>391400</v>
      </c>
      <c r="AA186" s="17" t="s">
        <v>164</v>
      </c>
      <c r="AB186" s="17" t="s">
        <v>418</v>
      </c>
      <c r="AC186" s="17">
        <v>160</v>
      </c>
      <c r="AD186" s="21">
        <v>44852</v>
      </c>
      <c r="AE186" s="21">
        <v>45244</v>
      </c>
      <c r="AF186" s="17"/>
      <c r="AG186" s="21">
        <v>45610</v>
      </c>
      <c r="AH186" s="17">
        <v>61293109</v>
      </c>
      <c r="AI186" s="21">
        <v>44593</v>
      </c>
      <c r="AJ186" s="17">
        <v>4110</v>
      </c>
      <c r="AK186" s="17">
        <v>0.29749999999999999</v>
      </c>
      <c r="AL186" s="17">
        <v>1222.73</v>
      </c>
      <c r="AM186" s="17" t="b">
        <v>1</v>
      </c>
      <c r="AN186" s="17" t="b">
        <v>1</v>
      </c>
      <c r="AO186" s="21">
        <v>44710</v>
      </c>
      <c r="AP186" s="21">
        <v>44724</v>
      </c>
      <c r="AQ186" s="17" t="b">
        <v>0</v>
      </c>
      <c r="AR186" s="21">
        <v>45477</v>
      </c>
      <c r="AS186" s="21">
        <v>45477</v>
      </c>
      <c r="AT186" s="21">
        <v>44501</v>
      </c>
      <c r="AU186" s="17" t="b">
        <v>0</v>
      </c>
      <c r="AV186" s="21">
        <v>44528</v>
      </c>
      <c r="AW186" s="17" t="s">
        <v>23</v>
      </c>
      <c r="AX186" s="17" t="s">
        <v>41</v>
      </c>
      <c r="AY186" s="17" t="s">
        <v>414</v>
      </c>
      <c r="AZ186" s="17" t="s">
        <v>414</v>
      </c>
      <c r="BA186" s="21">
        <v>45477</v>
      </c>
      <c r="BB186" s="17">
        <v>16656</v>
      </c>
      <c r="BC186" s="17"/>
      <c r="BD186" s="17" t="b">
        <v>0</v>
      </c>
      <c r="BE186" s="17" t="s">
        <v>2232</v>
      </c>
      <c r="BF186" s="21">
        <v>45477</v>
      </c>
      <c r="BG186" s="21">
        <v>45842</v>
      </c>
      <c r="BH186" s="17"/>
      <c r="BI186" s="21">
        <v>48056</v>
      </c>
      <c r="BJ186" s="17">
        <v>0</v>
      </c>
      <c r="BK186" s="17" t="s">
        <v>418</v>
      </c>
      <c r="BL186" s="17" t="s">
        <v>459</v>
      </c>
      <c r="BM186" s="17" t="b">
        <v>1</v>
      </c>
      <c r="BN186" s="17" t="b">
        <v>1</v>
      </c>
      <c r="BO186" s="17" t="b">
        <v>1</v>
      </c>
      <c r="BP186" s="17" t="b">
        <v>1</v>
      </c>
      <c r="BQ186" s="17" t="b">
        <v>1</v>
      </c>
      <c r="BR186" s="17" t="b">
        <v>1</v>
      </c>
      <c r="BS186" s="17" t="b">
        <v>1</v>
      </c>
      <c r="BT186" s="17" t="b">
        <v>1</v>
      </c>
      <c r="BU186" s="17" t="b">
        <v>1</v>
      </c>
      <c r="BV186" s="17">
        <v>0</v>
      </c>
      <c r="BW186" s="21">
        <v>44467</v>
      </c>
      <c r="BX186" s="17" t="s">
        <v>414</v>
      </c>
      <c r="BY186" s="17" t="s">
        <v>414</v>
      </c>
      <c r="BZ186" s="17">
        <v>0</v>
      </c>
      <c r="CA186" s="21">
        <v>45951</v>
      </c>
      <c r="CB186" s="17" t="s">
        <v>438</v>
      </c>
      <c r="CC186" s="17" t="s">
        <v>2154</v>
      </c>
      <c r="CD186" s="21"/>
      <c r="CE186" s="17"/>
      <c r="CF186" s="17" t="s">
        <v>1609</v>
      </c>
      <c r="CG186" s="17" t="b">
        <v>0</v>
      </c>
      <c r="CH186" s="17" t="s">
        <v>425</v>
      </c>
      <c r="CI186" s="17">
        <v>0</v>
      </c>
      <c r="CJ186" s="21">
        <v>45844</v>
      </c>
      <c r="CK186" s="21">
        <v>45907</v>
      </c>
      <c r="CL186" s="17" t="s">
        <v>414</v>
      </c>
      <c r="CM186" s="21">
        <v>1</v>
      </c>
      <c r="CN186" s="21">
        <v>1</v>
      </c>
      <c r="CO186" s="21">
        <v>1</v>
      </c>
      <c r="CP186" s="17" t="b">
        <v>0</v>
      </c>
      <c r="CQ186" s="17" t="b">
        <v>1</v>
      </c>
      <c r="CR186" s="17" t="b">
        <v>0</v>
      </c>
      <c r="CS186">
        <v>7400</v>
      </c>
      <c r="CT186" t="s">
        <v>1917</v>
      </c>
      <c r="CU186">
        <v>5692.31</v>
      </c>
      <c r="CV186">
        <v>1707.69</v>
      </c>
      <c r="CW186" s="22"/>
    </row>
    <row r="187" spans="1:101" x14ac:dyDescent="0.25">
      <c r="A187" s="20">
        <v>790</v>
      </c>
      <c r="B187" s="17" t="s">
        <v>769</v>
      </c>
      <c r="C187" s="17" t="s">
        <v>427</v>
      </c>
      <c r="D187" s="17" t="s">
        <v>239</v>
      </c>
      <c r="E187" s="17" t="s">
        <v>1610</v>
      </c>
      <c r="F187" s="17" t="s">
        <v>1611</v>
      </c>
      <c r="G187" s="17" t="s">
        <v>414</v>
      </c>
      <c r="H187" s="17" t="s">
        <v>1612</v>
      </c>
      <c r="I187" s="17" t="s">
        <v>414</v>
      </c>
      <c r="J187" s="17" t="s">
        <v>16</v>
      </c>
      <c r="K187" s="17" t="b">
        <v>0</v>
      </c>
      <c r="L187" s="17" t="s">
        <v>1613</v>
      </c>
      <c r="M187" s="21">
        <v>30886</v>
      </c>
      <c r="N187" s="17" t="s">
        <v>1251</v>
      </c>
      <c r="O187" s="17" t="s">
        <v>17</v>
      </c>
      <c r="P187" s="17" t="s">
        <v>18</v>
      </c>
      <c r="Q187" s="17">
        <v>8</v>
      </c>
      <c r="R187" s="17" t="s">
        <v>107</v>
      </c>
      <c r="S187" s="17">
        <v>40</v>
      </c>
      <c r="T187" s="17" t="s">
        <v>188</v>
      </c>
      <c r="U187" s="21">
        <v>44737</v>
      </c>
      <c r="V187" s="17" t="s">
        <v>38</v>
      </c>
      <c r="W187" s="21">
        <v>1</v>
      </c>
      <c r="X187" s="17" t="s">
        <v>1614</v>
      </c>
      <c r="Y187" s="17" t="s">
        <v>45</v>
      </c>
      <c r="Z187" s="17">
        <v>203300</v>
      </c>
      <c r="AA187" s="17" t="s">
        <v>188</v>
      </c>
      <c r="AB187" s="17" t="s">
        <v>443</v>
      </c>
      <c r="AC187" s="17">
        <v>0</v>
      </c>
      <c r="AD187" s="21">
        <v>45398</v>
      </c>
      <c r="AE187" s="21">
        <v>2</v>
      </c>
      <c r="AF187" s="17"/>
      <c r="AG187" s="21">
        <v>368</v>
      </c>
      <c r="AH187" s="17">
        <v>57955461</v>
      </c>
      <c r="AI187" s="21">
        <v>44737</v>
      </c>
      <c r="AJ187" s="17">
        <v>4115</v>
      </c>
      <c r="AK187" s="17">
        <v>0.29749999999999999</v>
      </c>
      <c r="AL187" s="17">
        <v>1224.21</v>
      </c>
      <c r="AM187" s="17" t="b">
        <v>1</v>
      </c>
      <c r="AN187" s="17" t="b">
        <v>1</v>
      </c>
      <c r="AO187" s="21">
        <v>44787</v>
      </c>
      <c r="AP187" s="21">
        <v>44789</v>
      </c>
      <c r="AQ187" s="17" t="b">
        <v>1</v>
      </c>
      <c r="AR187" s="21">
        <v>45398</v>
      </c>
      <c r="AS187" s="21">
        <v>45398</v>
      </c>
      <c r="AT187" s="21">
        <v>44645</v>
      </c>
      <c r="AU187" s="17" t="b">
        <v>0</v>
      </c>
      <c r="AV187" s="21">
        <v>44829</v>
      </c>
      <c r="AW187" s="17" t="s">
        <v>27</v>
      </c>
      <c r="AX187" s="17" t="s">
        <v>241</v>
      </c>
      <c r="AY187" s="17" t="s">
        <v>414</v>
      </c>
      <c r="AZ187" s="17" t="s">
        <v>414</v>
      </c>
      <c r="BA187" s="21">
        <v>45398</v>
      </c>
      <c r="BB187" s="17">
        <v>24534</v>
      </c>
      <c r="BC187" s="17"/>
      <c r="BD187" s="17" t="b">
        <v>0</v>
      </c>
      <c r="BE187" s="17" t="s">
        <v>2233</v>
      </c>
      <c r="BF187" s="21">
        <v>45398</v>
      </c>
      <c r="BG187" s="21">
        <v>45763</v>
      </c>
      <c r="BH187" s="17"/>
      <c r="BI187" s="21">
        <v>46631</v>
      </c>
      <c r="BJ187" s="17">
        <v>0</v>
      </c>
      <c r="BK187" s="17" t="s">
        <v>418</v>
      </c>
      <c r="BL187" s="17" t="s">
        <v>459</v>
      </c>
      <c r="BM187" s="17" t="b">
        <v>1</v>
      </c>
      <c r="BN187" s="17" t="b">
        <v>1</v>
      </c>
      <c r="BO187" s="17" t="b">
        <v>1</v>
      </c>
      <c r="BP187" s="17" t="b">
        <v>1</v>
      </c>
      <c r="BQ187" s="17" t="b">
        <v>1</v>
      </c>
      <c r="BR187" s="17" t="b">
        <v>0</v>
      </c>
      <c r="BS187" s="17" t="b">
        <v>1</v>
      </c>
      <c r="BT187" s="17" t="b">
        <v>1</v>
      </c>
      <c r="BU187" s="17" t="b">
        <v>1</v>
      </c>
      <c r="BV187" s="17">
        <v>0</v>
      </c>
      <c r="BW187" s="21">
        <v>44767</v>
      </c>
      <c r="BX187" s="17" t="s">
        <v>414</v>
      </c>
      <c r="BY187" s="17" t="s">
        <v>414</v>
      </c>
      <c r="BZ187" s="17">
        <v>0</v>
      </c>
      <c r="CA187" s="21">
        <v>45951</v>
      </c>
      <c r="CB187" s="17" t="s">
        <v>419</v>
      </c>
      <c r="CC187" s="17" t="s">
        <v>2234</v>
      </c>
      <c r="CD187" s="21"/>
      <c r="CE187" s="17"/>
      <c r="CF187" s="17" t="s">
        <v>1615</v>
      </c>
      <c r="CG187" s="17" t="b">
        <v>0</v>
      </c>
      <c r="CH187" s="17" t="s">
        <v>425</v>
      </c>
      <c r="CI187" s="17">
        <v>0</v>
      </c>
      <c r="CJ187" s="21">
        <v>45886</v>
      </c>
      <c r="CK187" s="21">
        <v>1</v>
      </c>
      <c r="CL187" s="17" t="s">
        <v>414</v>
      </c>
      <c r="CM187" s="21">
        <v>1</v>
      </c>
      <c r="CN187" s="21">
        <v>1</v>
      </c>
      <c r="CO187" s="21">
        <v>1</v>
      </c>
      <c r="CP187" s="17" t="b">
        <v>0</v>
      </c>
      <c r="CQ187" s="17" t="b">
        <v>1</v>
      </c>
      <c r="CR187" s="17" t="b">
        <v>0</v>
      </c>
      <c r="CS187">
        <v>7300</v>
      </c>
      <c r="CT187" t="s">
        <v>1911</v>
      </c>
      <c r="CU187">
        <v>5615.38</v>
      </c>
      <c r="CV187">
        <v>1684.62</v>
      </c>
      <c r="CW187" s="22"/>
    </row>
    <row r="188" spans="1:101" x14ac:dyDescent="0.25">
      <c r="A188" s="20">
        <v>792</v>
      </c>
      <c r="B188" s="17" t="s">
        <v>1616</v>
      </c>
      <c r="C188" s="17" t="s">
        <v>426</v>
      </c>
      <c r="D188" s="17" t="s">
        <v>240</v>
      </c>
      <c r="E188" s="17" t="s">
        <v>1617</v>
      </c>
      <c r="F188" s="17" t="s">
        <v>1618</v>
      </c>
      <c r="G188" s="17" t="s">
        <v>414</v>
      </c>
      <c r="H188" s="17" t="s">
        <v>1619</v>
      </c>
      <c r="I188" s="17" t="s">
        <v>414</v>
      </c>
      <c r="J188" s="17" t="s">
        <v>16</v>
      </c>
      <c r="K188" s="17" t="b">
        <v>0</v>
      </c>
      <c r="L188" s="17" t="s">
        <v>1620</v>
      </c>
      <c r="M188" s="21">
        <v>32710</v>
      </c>
      <c r="N188" s="17" t="s">
        <v>1621</v>
      </c>
      <c r="O188" s="17" t="s">
        <v>17</v>
      </c>
      <c r="P188" s="17" t="s">
        <v>18</v>
      </c>
      <c r="Q188" s="17">
        <v>8</v>
      </c>
      <c r="R188" s="17" t="s">
        <v>107</v>
      </c>
      <c r="S188" s="17">
        <v>40</v>
      </c>
      <c r="T188" s="17" t="s">
        <v>188</v>
      </c>
      <c r="U188" s="21">
        <v>44809</v>
      </c>
      <c r="V188" s="17" t="s">
        <v>31</v>
      </c>
      <c r="W188" s="21">
        <v>1</v>
      </c>
      <c r="X188" s="17" t="s">
        <v>417</v>
      </c>
      <c r="Y188" s="17" t="s">
        <v>45</v>
      </c>
      <c r="Z188" s="17">
        <v>203300</v>
      </c>
      <c r="AA188" s="17" t="s">
        <v>188</v>
      </c>
      <c r="AB188" s="17" t="s">
        <v>418</v>
      </c>
      <c r="AC188" s="17">
        <v>219</v>
      </c>
      <c r="AD188" s="21">
        <v>45090</v>
      </c>
      <c r="AE188" s="21">
        <v>45090</v>
      </c>
      <c r="AF188" s="17"/>
      <c r="AG188" s="21">
        <v>45456</v>
      </c>
      <c r="AH188" s="17">
        <v>63010065</v>
      </c>
      <c r="AI188" s="21">
        <v>44809</v>
      </c>
      <c r="AJ188" s="17">
        <v>4115</v>
      </c>
      <c r="AK188" s="17">
        <v>0.29749999999999999</v>
      </c>
      <c r="AL188" s="17">
        <v>1224.21</v>
      </c>
      <c r="AM188" s="17" t="b">
        <v>1</v>
      </c>
      <c r="AN188" s="17" t="b">
        <v>1</v>
      </c>
      <c r="AO188" s="21">
        <v>44818</v>
      </c>
      <c r="AP188" s="21">
        <v>44825</v>
      </c>
      <c r="AQ188" s="17" t="b">
        <v>1</v>
      </c>
      <c r="AR188" s="21">
        <v>45398</v>
      </c>
      <c r="AS188" s="21">
        <v>45398</v>
      </c>
      <c r="AT188" s="21">
        <v>44717</v>
      </c>
      <c r="AU188" s="17" t="b">
        <v>0</v>
      </c>
      <c r="AV188" s="21">
        <v>44900</v>
      </c>
      <c r="AW188" s="17" t="s">
        <v>241</v>
      </c>
      <c r="AX188" s="17" t="s">
        <v>257</v>
      </c>
      <c r="AY188" s="17" t="s">
        <v>414</v>
      </c>
      <c r="AZ188" s="17" t="s">
        <v>414</v>
      </c>
      <c r="BA188" s="21">
        <v>45398</v>
      </c>
      <c r="BB188" s="17">
        <v>27957</v>
      </c>
      <c r="BC188" s="17"/>
      <c r="BD188" s="17" t="b">
        <v>0</v>
      </c>
      <c r="BE188" s="17" t="s">
        <v>2235</v>
      </c>
      <c r="BF188" s="21">
        <v>45398</v>
      </c>
      <c r="BG188" s="21">
        <v>45763</v>
      </c>
      <c r="BH188" s="17"/>
      <c r="BI188" s="21">
        <v>46718</v>
      </c>
      <c r="BJ188" s="17">
        <v>0</v>
      </c>
      <c r="BK188" s="17" t="s">
        <v>418</v>
      </c>
      <c r="BL188" s="17" t="s">
        <v>459</v>
      </c>
      <c r="BM188" s="17" t="b">
        <v>1</v>
      </c>
      <c r="BN188" s="17" t="b">
        <v>1</v>
      </c>
      <c r="BO188" s="17" t="b">
        <v>1</v>
      </c>
      <c r="BP188" s="17" t="b">
        <v>1</v>
      </c>
      <c r="BQ188" s="17" t="b">
        <v>1</v>
      </c>
      <c r="BR188" s="17" t="b">
        <v>1</v>
      </c>
      <c r="BS188" s="17" t="b">
        <v>1</v>
      </c>
      <c r="BT188" s="17" t="b">
        <v>1</v>
      </c>
      <c r="BU188" s="17" t="b">
        <v>1</v>
      </c>
      <c r="BV188" s="17">
        <v>0</v>
      </c>
      <c r="BW188" s="21">
        <v>44839</v>
      </c>
      <c r="BX188" s="17" t="s">
        <v>414</v>
      </c>
      <c r="BY188" s="17" t="s">
        <v>414</v>
      </c>
      <c r="BZ188" s="17">
        <v>0</v>
      </c>
      <c r="CA188" s="21">
        <v>45951</v>
      </c>
      <c r="CB188" s="17" t="s">
        <v>419</v>
      </c>
      <c r="CC188" s="17" t="s">
        <v>2236</v>
      </c>
      <c r="CD188" s="21"/>
      <c r="CE188" s="17"/>
      <c r="CF188" s="17" t="s">
        <v>1622</v>
      </c>
      <c r="CG188" s="17" t="b">
        <v>0</v>
      </c>
      <c r="CH188" s="17" t="s">
        <v>836</v>
      </c>
      <c r="CI188" s="17">
        <v>0</v>
      </c>
      <c r="CJ188" s="21">
        <v>45887</v>
      </c>
      <c r="CK188" s="21">
        <v>1</v>
      </c>
      <c r="CL188" s="17" t="s">
        <v>414</v>
      </c>
      <c r="CM188" s="21">
        <v>1</v>
      </c>
      <c r="CN188" s="21">
        <v>1</v>
      </c>
      <c r="CO188" s="21">
        <v>1</v>
      </c>
      <c r="CP188" s="17" t="b">
        <v>0</v>
      </c>
      <c r="CQ188" s="17" t="b">
        <v>1</v>
      </c>
      <c r="CR188" s="17" t="b">
        <v>0</v>
      </c>
      <c r="CS188">
        <v>7300</v>
      </c>
      <c r="CT188" t="s">
        <v>1911</v>
      </c>
      <c r="CU188">
        <v>5615.38</v>
      </c>
      <c r="CV188">
        <v>1684.62</v>
      </c>
      <c r="CW188" s="22"/>
    </row>
    <row r="189" spans="1:101" x14ac:dyDescent="0.25">
      <c r="A189" s="20">
        <v>794</v>
      </c>
      <c r="B189" s="17" t="s">
        <v>1623</v>
      </c>
      <c r="C189" s="17" t="s">
        <v>1624</v>
      </c>
      <c r="D189" s="17" t="s">
        <v>1625</v>
      </c>
      <c r="E189" s="17" t="s">
        <v>1626</v>
      </c>
      <c r="F189" s="17" t="s">
        <v>413</v>
      </c>
      <c r="G189" s="17" t="s">
        <v>414</v>
      </c>
      <c r="H189" s="17" t="s">
        <v>414</v>
      </c>
      <c r="I189" s="17" t="s">
        <v>739</v>
      </c>
      <c r="J189" s="17" t="s">
        <v>96</v>
      </c>
      <c r="K189" s="17" t="b">
        <v>0</v>
      </c>
      <c r="L189" s="17" t="s">
        <v>414</v>
      </c>
      <c r="M189" s="21">
        <v>45481</v>
      </c>
      <c r="N189" s="17" t="s">
        <v>414</v>
      </c>
      <c r="O189" s="17" t="s">
        <v>17</v>
      </c>
      <c r="P189" s="17" t="s">
        <v>18</v>
      </c>
      <c r="Q189" s="17">
        <v>4</v>
      </c>
      <c r="R189" s="17" t="s">
        <v>54</v>
      </c>
      <c r="S189" s="17">
        <v>4</v>
      </c>
      <c r="T189" s="17" t="s">
        <v>577</v>
      </c>
      <c r="U189" s="21">
        <v>45292</v>
      </c>
      <c r="V189" s="17" t="s">
        <v>829</v>
      </c>
      <c r="W189" s="21">
        <v>1</v>
      </c>
      <c r="X189" s="17" t="s">
        <v>895</v>
      </c>
      <c r="Y189" s="17" t="s">
        <v>21</v>
      </c>
      <c r="Z189" s="17">
        <v>0</v>
      </c>
      <c r="AA189" s="17" t="s">
        <v>414</v>
      </c>
      <c r="AB189" s="17" t="s">
        <v>443</v>
      </c>
      <c r="AC189" s="17">
        <v>0</v>
      </c>
      <c r="AD189" s="21">
        <v>1</v>
      </c>
      <c r="AE189" s="21">
        <v>2</v>
      </c>
      <c r="AF189" s="17"/>
      <c r="AG189" s="21">
        <v>368</v>
      </c>
      <c r="AH189" s="17">
        <v>0</v>
      </c>
      <c r="AI189" s="21">
        <v>1</v>
      </c>
      <c r="AJ189" s="17">
        <v>0</v>
      </c>
      <c r="AK189" s="17">
        <v>0.29749999999999999</v>
      </c>
      <c r="AL189" s="17">
        <v>0</v>
      </c>
      <c r="AM189" s="17" t="b">
        <v>0</v>
      </c>
      <c r="AN189" s="17" t="b">
        <v>0</v>
      </c>
      <c r="AO189" s="21">
        <v>45481</v>
      </c>
      <c r="AP189" s="21">
        <v>45481</v>
      </c>
      <c r="AQ189" s="17" t="b">
        <v>0</v>
      </c>
      <c r="AR189" s="21">
        <v>45481</v>
      </c>
      <c r="AS189" s="21">
        <v>45481</v>
      </c>
      <c r="AT189" s="21">
        <v>-90</v>
      </c>
      <c r="AU189" s="17" t="b">
        <v>0</v>
      </c>
      <c r="AV189" s="21">
        <v>45383</v>
      </c>
      <c r="AW189" s="17" t="s">
        <v>23</v>
      </c>
      <c r="AX189" s="17" t="s">
        <v>41</v>
      </c>
      <c r="AY189" s="17" t="s">
        <v>23</v>
      </c>
      <c r="AZ189" s="17" t="s">
        <v>414</v>
      </c>
      <c r="BA189" s="21">
        <v>45481</v>
      </c>
      <c r="BB189" s="17">
        <v>0</v>
      </c>
      <c r="BC189" s="17"/>
      <c r="BD189" s="17" t="b">
        <v>0</v>
      </c>
      <c r="BE189" s="17" t="s">
        <v>2237</v>
      </c>
      <c r="BF189" s="21">
        <v>45481</v>
      </c>
      <c r="BG189" s="21">
        <v>45846</v>
      </c>
      <c r="BH189" s="17"/>
      <c r="BI189" s="21">
        <v>45481</v>
      </c>
      <c r="BJ189" s="17">
        <v>0</v>
      </c>
      <c r="BK189" s="17" t="s">
        <v>443</v>
      </c>
      <c r="BL189" s="17" t="s">
        <v>443</v>
      </c>
      <c r="BM189" s="17" t="b">
        <v>0</v>
      </c>
      <c r="BN189" s="17" t="b">
        <v>0</v>
      </c>
      <c r="BO189" s="17" t="b">
        <v>0</v>
      </c>
      <c r="BP189" s="17" t="b">
        <v>0</v>
      </c>
      <c r="BQ189" s="17" t="b">
        <v>0</v>
      </c>
      <c r="BR189" s="17" t="b">
        <v>0</v>
      </c>
      <c r="BS189" s="17" t="b">
        <v>0</v>
      </c>
      <c r="BT189" s="17" t="b">
        <v>0</v>
      </c>
      <c r="BU189" s="17" t="b">
        <v>0</v>
      </c>
      <c r="BV189" s="17">
        <v>0</v>
      </c>
      <c r="BW189" s="21">
        <v>45323</v>
      </c>
      <c r="BX189" s="17" t="s">
        <v>414</v>
      </c>
      <c r="BY189" s="17" t="s">
        <v>414</v>
      </c>
      <c r="BZ189" s="17">
        <v>0</v>
      </c>
      <c r="CA189" s="21">
        <v>45918</v>
      </c>
      <c r="CB189" s="17" t="s">
        <v>438</v>
      </c>
      <c r="CC189" s="17" t="s">
        <v>2238</v>
      </c>
      <c r="CD189" s="21"/>
      <c r="CE189" s="17"/>
      <c r="CF189" s="17" t="s">
        <v>414</v>
      </c>
      <c r="CG189" s="17" t="b">
        <v>0</v>
      </c>
      <c r="CH189" s="17" t="s">
        <v>414</v>
      </c>
      <c r="CI189" s="17">
        <v>0</v>
      </c>
      <c r="CJ189" s="21">
        <v>1</v>
      </c>
      <c r="CK189" s="21">
        <v>1</v>
      </c>
      <c r="CL189" s="17" t="s">
        <v>414</v>
      </c>
      <c r="CM189" s="21">
        <v>1</v>
      </c>
      <c r="CN189" s="21">
        <v>1</v>
      </c>
      <c r="CO189" s="21">
        <v>1</v>
      </c>
      <c r="CP189" s="17" t="b">
        <v>0</v>
      </c>
      <c r="CQ189" s="17" t="b">
        <v>0</v>
      </c>
      <c r="CR189" s="17" t="b">
        <v>0</v>
      </c>
      <c r="CW189" s="22"/>
    </row>
    <row r="190" spans="1:101" x14ac:dyDescent="0.25">
      <c r="A190" s="20">
        <v>1001</v>
      </c>
      <c r="B190" s="17" t="s">
        <v>830</v>
      </c>
      <c r="C190" s="17" t="s">
        <v>1526</v>
      </c>
      <c r="D190" s="17" t="s">
        <v>242</v>
      </c>
      <c r="E190" s="17" t="s">
        <v>1627</v>
      </c>
      <c r="F190" s="17" t="s">
        <v>1628</v>
      </c>
      <c r="G190" s="17" t="s">
        <v>414</v>
      </c>
      <c r="H190" s="17" t="s">
        <v>840</v>
      </c>
      <c r="I190" s="17" t="s">
        <v>432</v>
      </c>
      <c r="J190" s="17" t="s">
        <v>16</v>
      </c>
      <c r="K190" s="17" t="b">
        <v>0</v>
      </c>
      <c r="L190" s="17" t="s">
        <v>1629</v>
      </c>
      <c r="M190" s="21">
        <v>34276</v>
      </c>
      <c r="N190" s="17" t="s">
        <v>842</v>
      </c>
      <c r="O190" s="17" t="s">
        <v>17</v>
      </c>
      <c r="P190" s="17" t="s">
        <v>18</v>
      </c>
      <c r="Q190" s="17">
        <v>13</v>
      </c>
      <c r="R190" s="17" t="s">
        <v>243</v>
      </c>
      <c r="S190" s="17">
        <v>46</v>
      </c>
      <c r="T190" s="17" t="s">
        <v>1630</v>
      </c>
      <c r="U190" s="21">
        <v>43221</v>
      </c>
      <c r="V190" s="17" t="s">
        <v>38</v>
      </c>
      <c r="W190" s="21">
        <v>1.2847222222222223</v>
      </c>
      <c r="X190" s="17" t="s">
        <v>1357</v>
      </c>
      <c r="Y190" s="17" t="s">
        <v>21</v>
      </c>
      <c r="Z190" s="17">
        <v>985100</v>
      </c>
      <c r="AA190" s="17" t="s">
        <v>172</v>
      </c>
      <c r="AB190" s="17" t="s">
        <v>443</v>
      </c>
      <c r="AC190" s="17">
        <v>0</v>
      </c>
      <c r="AD190" s="21">
        <v>1</v>
      </c>
      <c r="AE190" s="21">
        <v>2</v>
      </c>
      <c r="AF190" s="17"/>
      <c r="AG190" s="21">
        <v>368</v>
      </c>
      <c r="AH190" s="17">
        <v>73641677</v>
      </c>
      <c r="AI190" s="21">
        <v>44866</v>
      </c>
      <c r="AJ190" s="17">
        <v>4110</v>
      </c>
      <c r="AK190" s="17">
        <v>0.29749999999999999</v>
      </c>
      <c r="AL190" s="17">
        <v>1222.73</v>
      </c>
      <c r="AM190" s="17" t="b">
        <v>1</v>
      </c>
      <c r="AN190" s="17" t="b">
        <v>0</v>
      </c>
      <c r="AO190" s="21">
        <v>44892</v>
      </c>
      <c r="AP190" s="21">
        <v>44900</v>
      </c>
      <c r="AQ190" s="17" t="b">
        <v>0</v>
      </c>
      <c r="AR190" s="21">
        <v>1</v>
      </c>
      <c r="AS190" s="21">
        <v>1</v>
      </c>
      <c r="AT190" s="21">
        <v>44774</v>
      </c>
      <c r="AU190" s="17" t="b">
        <v>1</v>
      </c>
      <c r="AV190" s="21">
        <v>43313</v>
      </c>
      <c r="AW190" s="17" t="s">
        <v>23</v>
      </c>
      <c r="AX190" s="17" t="s">
        <v>23</v>
      </c>
      <c r="AY190" s="17" t="s">
        <v>23</v>
      </c>
      <c r="AZ190" s="17" t="s">
        <v>450</v>
      </c>
      <c r="BA190" s="21">
        <v>45398</v>
      </c>
      <c r="BB190" s="17">
        <v>37693</v>
      </c>
      <c r="BC190" s="17"/>
      <c r="BD190" s="17" t="b">
        <v>0</v>
      </c>
      <c r="BE190" s="17" t="s">
        <v>2157</v>
      </c>
      <c r="BF190" s="21">
        <v>45398</v>
      </c>
      <c r="BG190" s="21">
        <v>45763</v>
      </c>
      <c r="BH190" s="17"/>
      <c r="BI190" s="21">
        <v>0</v>
      </c>
      <c r="BJ190" s="17">
        <v>0</v>
      </c>
      <c r="BK190" s="17" t="s">
        <v>413</v>
      </c>
      <c r="BL190" s="17" t="s">
        <v>443</v>
      </c>
      <c r="BM190" s="17" t="b">
        <v>1</v>
      </c>
      <c r="BN190" s="17" t="b">
        <v>0</v>
      </c>
      <c r="BO190" s="17" t="b">
        <v>0</v>
      </c>
      <c r="BP190" s="17" t="b">
        <v>1</v>
      </c>
      <c r="BQ190" s="17" t="b">
        <v>0</v>
      </c>
      <c r="BR190" s="17" t="b">
        <v>0</v>
      </c>
      <c r="BS190" s="17" t="b">
        <v>1</v>
      </c>
      <c r="BT190" s="17" t="b">
        <v>0</v>
      </c>
      <c r="BU190" s="17" t="b">
        <v>1</v>
      </c>
      <c r="BV190" s="17">
        <v>0</v>
      </c>
      <c r="BW190" s="21">
        <v>43252</v>
      </c>
      <c r="BX190" s="17" t="s">
        <v>414</v>
      </c>
      <c r="BY190" s="17" t="s">
        <v>414</v>
      </c>
      <c r="BZ190" s="17">
        <v>0</v>
      </c>
      <c r="CA190" s="21">
        <v>45951</v>
      </c>
      <c r="CB190" s="17" t="s">
        <v>419</v>
      </c>
      <c r="CC190" s="17" t="s">
        <v>2239</v>
      </c>
      <c r="CD190" s="21">
        <v>45708</v>
      </c>
      <c r="CE190" s="17" t="s">
        <v>415</v>
      </c>
      <c r="CF190" s="17" t="s">
        <v>1631</v>
      </c>
      <c r="CG190" s="17" t="b">
        <v>1</v>
      </c>
      <c r="CH190" s="17" t="s">
        <v>610</v>
      </c>
      <c r="CI190" s="17">
        <v>0</v>
      </c>
      <c r="CJ190" s="21">
        <v>45708</v>
      </c>
      <c r="CK190" s="21">
        <v>45876</v>
      </c>
      <c r="CL190" s="17" t="s">
        <v>414</v>
      </c>
      <c r="CM190" s="21">
        <v>1</v>
      </c>
      <c r="CN190" s="21">
        <v>1</v>
      </c>
      <c r="CO190" s="21">
        <v>1</v>
      </c>
      <c r="CP190" s="17" t="b">
        <v>0</v>
      </c>
      <c r="CQ190" s="17" t="b">
        <v>0</v>
      </c>
      <c r="CR190" s="17" t="b">
        <v>0</v>
      </c>
      <c r="CS190">
        <v>7200</v>
      </c>
      <c r="CT190" t="s">
        <v>1914</v>
      </c>
      <c r="CU190">
        <v>5538.46</v>
      </c>
      <c r="CV190">
        <v>1661.54</v>
      </c>
      <c r="CW190" s="22"/>
    </row>
    <row r="191" spans="1:101" x14ac:dyDescent="0.25">
      <c r="A191" s="20">
        <v>1005</v>
      </c>
      <c r="B191" s="17" t="s">
        <v>426</v>
      </c>
      <c r="C191" s="17" t="s">
        <v>830</v>
      </c>
      <c r="D191" s="17" t="s">
        <v>244</v>
      </c>
      <c r="E191" s="17" t="s">
        <v>1632</v>
      </c>
      <c r="F191" s="17" t="s">
        <v>1633</v>
      </c>
      <c r="G191" s="17" t="s">
        <v>414</v>
      </c>
      <c r="H191" s="17" t="s">
        <v>1634</v>
      </c>
      <c r="I191" s="17" t="s">
        <v>414</v>
      </c>
      <c r="J191" s="17" t="s">
        <v>16</v>
      </c>
      <c r="K191" s="17" t="b">
        <v>0</v>
      </c>
      <c r="L191" s="17" t="s">
        <v>1635</v>
      </c>
      <c r="M191" s="21">
        <v>34546</v>
      </c>
      <c r="N191" s="17" t="s">
        <v>1636</v>
      </c>
      <c r="O191" s="17" t="s">
        <v>17</v>
      </c>
      <c r="P191" s="17" t="s">
        <v>18</v>
      </c>
      <c r="Q191" s="17">
        <v>13</v>
      </c>
      <c r="R191" s="17" t="s">
        <v>243</v>
      </c>
      <c r="S191" s="17">
        <v>45</v>
      </c>
      <c r="T191" s="17" t="s">
        <v>1637</v>
      </c>
      <c r="U191" s="21">
        <v>43221</v>
      </c>
      <c r="V191" s="17" t="s">
        <v>38</v>
      </c>
      <c r="W191" s="21">
        <v>1.2881944444444446</v>
      </c>
      <c r="X191" s="17" t="s">
        <v>578</v>
      </c>
      <c r="Y191" s="17" t="s">
        <v>21</v>
      </c>
      <c r="Z191" s="17">
        <v>451700</v>
      </c>
      <c r="AA191" s="17" t="s">
        <v>245</v>
      </c>
      <c r="AB191" s="17" t="s">
        <v>443</v>
      </c>
      <c r="AC191" s="17">
        <v>0</v>
      </c>
      <c r="AD191" s="21">
        <v>45398</v>
      </c>
      <c r="AE191" s="21">
        <v>2</v>
      </c>
      <c r="AF191" s="17"/>
      <c r="AG191" s="21">
        <v>368</v>
      </c>
      <c r="AH191" s="17">
        <v>60312897</v>
      </c>
      <c r="AI191" s="21">
        <v>44801</v>
      </c>
      <c r="AJ191" s="17">
        <v>2702</v>
      </c>
      <c r="AK191" s="17">
        <v>0.29749999999999999</v>
      </c>
      <c r="AL191" s="17">
        <v>803.85</v>
      </c>
      <c r="AM191" s="17" t="b">
        <v>1</v>
      </c>
      <c r="AN191" s="17" t="b">
        <v>0</v>
      </c>
      <c r="AO191" s="21">
        <v>44902</v>
      </c>
      <c r="AP191" s="21">
        <v>44906</v>
      </c>
      <c r="AQ191" s="17" t="b">
        <v>1</v>
      </c>
      <c r="AR191" s="21">
        <v>45398</v>
      </c>
      <c r="AS191" s="21">
        <v>45398</v>
      </c>
      <c r="AT191" s="21">
        <v>44709</v>
      </c>
      <c r="AU191" s="17" t="b">
        <v>1</v>
      </c>
      <c r="AV191" s="21">
        <v>43313</v>
      </c>
      <c r="AW191" s="17" t="s">
        <v>23</v>
      </c>
      <c r="AX191" s="17" t="s">
        <v>41</v>
      </c>
      <c r="AY191" s="17" t="s">
        <v>414</v>
      </c>
      <c r="AZ191" s="17" t="s">
        <v>414</v>
      </c>
      <c r="BA191" s="21">
        <v>45398</v>
      </c>
      <c r="BB191" s="17">
        <v>38627</v>
      </c>
      <c r="BC191" s="17"/>
      <c r="BD191" s="17" t="b">
        <v>0</v>
      </c>
      <c r="BE191" s="17" t="s">
        <v>2157</v>
      </c>
      <c r="BF191" s="21">
        <v>45398</v>
      </c>
      <c r="BG191" s="21">
        <v>45763</v>
      </c>
      <c r="BH191" s="17"/>
      <c r="BI191" s="21">
        <v>0</v>
      </c>
      <c r="BJ191" s="17">
        <v>0</v>
      </c>
      <c r="BK191" s="17" t="s">
        <v>436</v>
      </c>
      <c r="BL191" s="17" t="s">
        <v>459</v>
      </c>
      <c r="BM191" s="17" t="b">
        <v>1</v>
      </c>
      <c r="BN191" s="17" t="b">
        <v>1</v>
      </c>
      <c r="BO191" s="17" t="b">
        <v>1</v>
      </c>
      <c r="BP191" s="17" t="b">
        <v>1</v>
      </c>
      <c r="BQ191" s="17" t="b">
        <v>1</v>
      </c>
      <c r="BR191" s="17" t="b">
        <v>1</v>
      </c>
      <c r="BS191" s="17" t="b">
        <v>1</v>
      </c>
      <c r="BT191" s="17" t="b">
        <v>1</v>
      </c>
      <c r="BU191" s="17" t="b">
        <v>1</v>
      </c>
      <c r="BV191" s="17">
        <v>0</v>
      </c>
      <c r="BW191" s="21">
        <v>43252</v>
      </c>
      <c r="BX191" s="17" t="s">
        <v>414</v>
      </c>
      <c r="BY191" s="17" t="s">
        <v>414</v>
      </c>
      <c r="BZ191" s="17">
        <v>0</v>
      </c>
      <c r="CA191" s="21">
        <v>45951</v>
      </c>
      <c r="CB191" s="17" t="s">
        <v>419</v>
      </c>
      <c r="CC191" s="17" t="s">
        <v>2240</v>
      </c>
      <c r="CD191" s="21">
        <v>45680</v>
      </c>
      <c r="CE191" s="17" t="s">
        <v>415</v>
      </c>
      <c r="CF191" s="17" t="s">
        <v>1638</v>
      </c>
      <c r="CG191" s="17" t="b">
        <v>1</v>
      </c>
      <c r="CH191" s="17" t="s">
        <v>425</v>
      </c>
      <c r="CI191" s="17">
        <v>0</v>
      </c>
      <c r="CJ191" s="21">
        <v>45680</v>
      </c>
      <c r="CK191" s="21">
        <v>45879</v>
      </c>
      <c r="CL191" s="17" t="s">
        <v>414</v>
      </c>
      <c r="CM191" s="21">
        <v>1</v>
      </c>
      <c r="CN191" s="21">
        <v>1</v>
      </c>
      <c r="CO191" s="21">
        <v>1</v>
      </c>
      <c r="CP191" s="17" t="b">
        <v>0</v>
      </c>
      <c r="CQ191" s="17" t="b">
        <v>0</v>
      </c>
      <c r="CR191" s="17" t="b">
        <v>0</v>
      </c>
      <c r="CS191">
        <v>7200</v>
      </c>
      <c r="CT191" t="s">
        <v>1914</v>
      </c>
      <c r="CU191">
        <v>5538.46</v>
      </c>
      <c r="CV191">
        <v>1661.54</v>
      </c>
      <c r="CW191" s="22"/>
    </row>
    <row r="192" spans="1:101" x14ac:dyDescent="0.25">
      <c r="A192" s="20">
        <v>1007</v>
      </c>
      <c r="B192" s="17" t="s">
        <v>1549</v>
      </c>
      <c r="C192" s="17" t="s">
        <v>570</v>
      </c>
      <c r="D192" s="17" t="s">
        <v>246</v>
      </c>
      <c r="E192" s="17" t="s">
        <v>1640</v>
      </c>
      <c r="F192" s="17" t="s">
        <v>1641</v>
      </c>
      <c r="G192" s="17" t="s">
        <v>414</v>
      </c>
      <c r="H192" s="17" t="s">
        <v>1642</v>
      </c>
      <c r="I192" s="17" t="s">
        <v>414</v>
      </c>
      <c r="J192" s="17" t="s">
        <v>16</v>
      </c>
      <c r="K192" s="17" t="b">
        <v>0</v>
      </c>
      <c r="L192" s="17" t="s">
        <v>1643</v>
      </c>
      <c r="M192" s="21">
        <v>29819</v>
      </c>
      <c r="N192" s="17" t="s">
        <v>414</v>
      </c>
      <c r="O192" s="17" t="s">
        <v>17</v>
      </c>
      <c r="P192" s="17" t="s">
        <v>18</v>
      </c>
      <c r="Q192" s="17">
        <v>13</v>
      </c>
      <c r="R192" s="17" t="s">
        <v>243</v>
      </c>
      <c r="S192" s="17">
        <v>46</v>
      </c>
      <c r="T192" s="17" t="s">
        <v>1630</v>
      </c>
      <c r="U192" s="21">
        <v>42077</v>
      </c>
      <c r="V192" s="17" t="s">
        <v>38</v>
      </c>
      <c r="W192" s="21">
        <v>1</v>
      </c>
      <c r="X192" s="17" t="s">
        <v>910</v>
      </c>
      <c r="Y192" s="17" t="s">
        <v>21</v>
      </c>
      <c r="Z192" s="17">
        <v>451700</v>
      </c>
      <c r="AA192" s="17" t="s">
        <v>245</v>
      </c>
      <c r="AB192" s="17" t="s">
        <v>418</v>
      </c>
      <c r="AC192" s="17">
        <v>9</v>
      </c>
      <c r="AD192" s="21">
        <v>42878</v>
      </c>
      <c r="AE192" s="21">
        <v>45077</v>
      </c>
      <c r="AF192" s="17"/>
      <c r="AG192" s="21">
        <v>45443</v>
      </c>
      <c r="AH192" s="17">
        <v>71398511</v>
      </c>
      <c r="AI192" s="21">
        <v>42169</v>
      </c>
      <c r="AJ192" s="17">
        <v>2707</v>
      </c>
      <c r="AK192" s="17">
        <v>0.29749999999999999</v>
      </c>
      <c r="AL192" s="17">
        <v>805.33</v>
      </c>
      <c r="AM192" s="17" t="b">
        <v>1</v>
      </c>
      <c r="AN192" s="17" t="b">
        <v>0</v>
      </c>
      <c r="AO192" s="21">
        <v>45398</v>
      </c>
      <c r="AP192" s="21">
        <v>45398</v>
      </c>
      <c r="AQ192" s="17" t="b">
        <v>0</v>
      </c>
      <c r="AR192" s="21">
        <v>45398</v>
      </c>
      <c r="AS192" s="21">
        <v>45398</v>
      </c>
      <c r="AT192" s="21">
        <v>42077</v>
      </c>
      <c r="AU192" s="17" t="b">
        <v>1</v>
      </c>
      <c r="AV192" s="21">
        <v>42169</v>
      </c>
      <c r="AW192" s="17" t="s">
        <v>41</v>
      </c>
      <c r="AX192" s="17" t="s">
        <v>41</v>
      </c>
      <c r="AY192" s="17" t="s">
        <v>41</v>
      </c>
      <c r="AZ192" s="17" t="s">
        <v>450</v>
      </c>
      <c r="BA192" s="21">
        <v>45398</v>
      </c>
      <c r="BB192" s="17">
        <v>0</v>
      </c>
      <c r="BC192" s="17"/>
      <c r="BD192" s="17" t="b">
        <v>0</v>
      </c>
      <c r="BE192" s="17" t="s">
        <v>2241</v>
      </c>
      <c r="BF192" s="21">
        <v>45398</v>
      </c>
      <c r="BG192" s="21">
        <v>45763</v>
      </c>
      <c r="BH192" s="17"/>
      <c r="BI192" s="21">
        <v>46550</v>
      </c>
      <c r="BJ192" s="17">
        <v>0</v>
      </c>
      <c r="BK192" s="17" t="s">
        <v>418</v>
      </c>
      <c r="BL192" s="17" t="s">
        <v>557</v>
      </c>
      <c r="BM192" s="17" t="b">
        <v>1</v>
      </c>
      <c r="BN192" s="17" t="b">
        <v>0</v>
      </c>
      <c r="BO192" s="17" t="b">
        <v>1</v>
      </c>
      <c r="BP192" s="17" t="b">
        <v>1</v>
      </c>
      <c r="BQ192" s="17" t="b">
        <v>1</v>
      </c>
      <c r="BR192" s="17" t="b">
        <v>0</v>
      </c>
      <c r="BS192" s="17" t="b">
        <v>1</v>
      </c>
      <c r="BT192" s="17" t="b">
        <v>1</v>
      </c>
      <c r="BU192" s="17" t="b">
        <v>0</v>
      </c>
      <c r="BV192" s="17">
        <v>0</v>
      </c>
      <c r="BW192" s="21">
        <v>42108</v>
      </c>
      <c r="BX192" s="17" t="s">
        <v>414</v>
      </c>
      <c r="BY192" s="17" t="s">
        <v>414</v>
      </c>
      <c r="BZ192" s="17">
        <v>0</v>
      </c>
      <c r="CA192" s="21">
        <v>45951</v>
      </c>
      <c r="CB192" s="17" t="s">
        <v>419</v>
      </c>
      <c r="CC192" s="17" t="s">
        <v>2242</v>
      </c>
      <c r="CD192" s="21"/>
      <c r="CE192" s="17"/>
      <c r="CF192" s="17" t="s">
        <v>1644</v>
      </c>
      <c r="CG192" s="17" t="b">
        <v>0</v>
      </c>
      <c r="CH192" s="17" t="s">
        <v>610</v>
      </c>
      <c r="CI192" s="17">
        <v>0</v>
      </c>
      <c r="CJ192" s="21">
        <v>45666</v>
      </c>
      <c r="CK192" s="21">
        <v>45907</v>
      </c>
      <c r="CL192" s="17" t="s">
        <v>414</v>
      </c>
      <c r="CM192" s="21">
        <v>1</v>
      </c>
      <c r="CN192" s="21">
        <v>1</v>
      </c>
      <c r="CO192" s="21">
        <v>1</v>
      </c>
      <c r="CP192" s="17" t="b">
        <v>0</v>
      </c>
      <c r="CQ192" s="17" t="b">
        <v>0</v>
      </c>
      <c r="CR192" s="17" t="b">
        <v>0</v>
      </c>
      <c r="CS192">
        <v>7200</v>
      </c>
      <c r="CT192" t="s">
        <v>1914</v>
      </c>
      <c r="CU192">
        <v>5538.46</v>
      </c>
      <c r="CV192">
        <v>1661.54</v>
      </c>
      <c r="CW192" s="22"/>
    </row>
    <row r="193" spans="1:101" x14ac:dyDescent="0.25">
      <c r="A193" s="20">
        <v>1008</v>
      </c>
      <c r="B193" s="17" t="s">
        <v>1475</v>
      </c>
      <c r="C193" s="17" t="s">
        <v>1645</v>
      </c>
      <c r="D193" s="17" t="s">
        <v>247</v>
      </c>
      <c r="E193" s="17" t="s">
        <v>1646</v>
      </c>
      <c r="F193" s="17" t="s">
        <v>1647</v>
      </c>
      <c r="G193" s="17" t="s">
        <v>414</v>
      </c>
      <c r="H193" s="17" t="s">
        <v>606</v>
      </c>
      <c r="I193" s="17" t="s">
        <v>414</v>
      </c>
      <c r="J193" s="17" t="s">
        <v>16</v>
      </c>
      <c r="K193" s="17" t="b">
        <v>0</v>
      </c>
      <c r="L193" s="17" t="s">
        <v>1648</v>
      </c>
      <c r="M193" s="21">
        <v>27406</v>
      </c>
      <c r="N193" s="17" t="s">
        <v>414</v>
      </c>
      <c r="O193" s="17" t="s">
        <v>17</v>
      </c>
      <c r="P193" s="17" t="s">
        <v>18</v>
      </c>
      <c r="Q193" s="17">
        <v>13</v>
      </c>
      <c r="R193" s="17" t="s">
        <v>243</v>
      </c>
      <c r="S193" s="17">
        <v>46</v>
      </c>
      <c r="T193" s="17" t="s">
        <v>1630</v>
      </c>
      <c r="U193" s="21">
        <v>42550</v>
      </c>
      <c r="V193" s="17" t="s">
        <v>61</v>
      </c>
      <c r="W193" s="21">
        <v>1.2847222222222223</v>
      </c>
      <c r="X193" s="17" t="s">
        <v>1649</v>
      </c>
      <c r="Y193" s="17" t="s">
        <v>21</v>
      </c>
      <c r="Z193" s="17">
        <v>949900</v>
      </c>
      <c r="AA193" s="17" t="s">
        <v>22</v>
      </c>
      <c r="AB193" s="17" t="s">
        <v>418</v>
      </c>
      <c r="AC193" s="17">
        <v>171</v>
      </c>
      <c r="AD193" s="21">
        <v>44873</v>
      </c>
      <c r="AE193" s="21">
        <v>45244</v>
      </c>
      <c r="AF193" s="17"/>
      <c r="AG193" s="21">
        <v>45610</v>
      </c>
      <c r="AH193" s="17">
        <v>74053427</v>
      </c>
      <c r="AI193" s="21">
        <v>42611</v>
      </c>
      <c r="AJ193" s="17">
        <v>2707</v>
      </c>
      <c r="AK193" s="17">
        <v>0.29749999999999999</v>
      </c>
      <c r="AL193" s="17">
        <v>805.33</v>
      </c>
      <c r="AM193" s="17" t="b">
        <v>0</v>
      </c>
      <c r="AN193" s="17" t="b">
        <v>0</v>
      </c>
      <c r="AO193" s="21">
        <v>45398</v>
      </c>
      <c r="AP193" s="21">
        <v>45398</v>
      </c>
      <c r="AQ193" s="17" t="b">
        <v>0</v>
      </c>
      <c r="AR193" s="21">
        <v>45398</v>
      </c>
      <c r="AS193" s="21">
        <v>45398</v>
      </c>
      <c r="AT193" s="21">
        <v>42519</v>
      </c>
      <c r="AU193" s="17" t="b">
        <v>1</v>
      </c>
      <c r="AV193" s="21">
        <v>42642</v>
      </c>
      <c r="AW193" s="17" t="s">
        <v>23</v>
      </c>
      <c r="AX193" s="17" t="s">
        <v>23</v>
      </c>
      <c r="AY193" s="17" t="s">
        <v>23</v>
      </c>
      <c r="AZ193" s="17" t="s">
        <v>450</v>
      </c>
      <c r="BA193" s="21">
        <v>45398</v>
      </c>
      <c r="BB193" s="17">
        <v>0</v>
      </c>
      <c r="BC193" s="17"/>
      <c r="BD193" s="17" t="b">
        <v>0</v>
      </c>
      <c r="BE193" s="17" t="s">
        <v>2243</v>
      </c>
      <c r="BF193" s="21">
        <v>45398</v>
      </c>
      <c r="BG193" s="21">
        <v>45763</v>
      </c>
      <c r="BH193" s="17"/>
      <c r="BI193" s="21">
        <v>46596</v>
      </c>
      <c r="BJ193" s="17">
        <v>0</v>
      </c>
      <c r="BK193" s="17" t="s">
        <v>418</v>
      </c>
      <c r="BL193" s="17" t="s">
        <v>557</v>
      </c>
      <c r="BM193" s="17" t="b">
        <v>1</v>
      </c>
      <c r="BN193" s="17" t="b">
        <v>0</v>
      </c>
      <c r="BO193" s="17" t="b">
        <v>1</v>
      </c>
      <c r="BP193" s="17" t="b">
        <v>1</v>
      </c>
      <c r="BQ193" s="17" t="b">
        <v>0</v>
      </c>
      <c r="BR193" s="17" t="b">
        <v>1</v>
      </c>
      <c r="BS193" s="17" t="b">
        <v>1</v>
      </c>
      <c r="BT193" s="17" t="b">
        <v>1</v>
      </c>
      <c r="BU193" s="17" t="b">
        <v>0</v>
      </c>
      <c r="BV193" s="17">
        <v>0</v>
      </c>
      <c r="BW193" s="21">
        <v>42580</v>
      </c>
      <c r="BX193" s="17" t="s">
        <v>414</v>
      </c>
      <c r="BY193" s="17" t="s">
        <v>414</v>
      </c>
      <c r="BZ193" s="17">
        <v>0</v>
      </c>
      <c r="CA193" s="21">
        <v>45951</v>
      </c>
      <c r="CB193" s="17" t="s">
        <v>419</v>
      </c>
      <c r="CC193" s="17" t="s">
        <v>2244</v>
      </c>
      <c r="CD193" s="21"/>
      <c r="CE193" s="17"/>
      <c r="CF193" s="17" t="s">
        <v>1650</v>
      </c>
      <c r="CG193" s="17" t="b">
        <v>0</v>
      </c>
      <c r="CH193" s="17" t="s">
        <v>610</v>
      </c>
      <c r="CI193" s="17">
        <v>0</v>
      </c>
      <c r="CJ193" s="21">
        <v>45690</v>
      </c>
      <c r="CK193" s="21">
        <v>45907</v>
      </c>
      <c r="CL193" s="17" t="s">
        <v>414</v>
      </c>
      <c r="CM193" s="21">
        <v>1</v>
      </c>
      <c r="CN193" s="21">
        <v>1</v>
      </c>
      <c r="CO193" s="21">
        <v>1</v>
      </c>
      <c r="CP193" s="17" t="b">
        <v>0</v>
      </c>
      <c r="CQ193" s="17" t="b">
        <v>0</v>
      </c>
      <c r="CR193" s="17" t="b">
        <v>0</v>
      </c>
      <c r="CS193">
        <v>7200</v>
      </c>
      <c r="CT193" t="s">
        <v>1914</v>
      </c>
      <c r="CU193">
        <v>5538.46</v>
      </c>
      <c r="CV193">
        <v>1661.54</v>
      </c>
      <c r="CW193" s="22"/>
    </row>
    <row r="194" spans="1:101" x14ac:dyDescent="0.25">
      <c r="A194" s="20">
        <v>1010</v>
      </c>
      <c r="B194" s="17" t="s">
        <v>420</v>
      </c>
      <c r="C194" s="17" t="s">
        <v>530</v>
      </c>
      <c r="D194" s="17" t="s">
        <v>248</v>
      </c>
      <c r="E194" s="17" t="s">
        <v>1651</v>
      </c>
      <c r="F194" s="17" t="s">
        <v>1652</v>
      </c>
      <c r="G194" s="17" t="s">
        <v>414</v>
      </c>
      <c r="H194" s="17" t="s">
        <v>1653</v>
      </c>
      <c r="I194" s="17" t="s">
        <v>414</v>
      </c>
      <c r="J194" s="17" t="s">
        <v>16</v>
      </c>
      <c r="K194" s="17" t="b">
        <v>0</v>
      </c>
      <c r="L194" s="17" t="s">
        <v>1654</v>
      </c>
      <c r="M194" s="21">
        <v>28331</v>
      </c>
      <c r="N194" s="17" t="s">
        <v>414</v>
      </c>
      <c r="O194" s="17" t="s">
        <v>17</v>
      </c>
      <c r="P194" s="17" t="s">
        <v>18</v>
      </c>
      <c r="Q194" s="17">
        <v>13</v>
      </c>
      <c r="R194" s="17" t="s">
        <v>243</v>
      </c>
      <c r="S194" s="17">
        <v>47</v>
      </c>
      <c r="T194" s="17" t="s">
        <v>1639</v>
      </c>
      <c r="U194" s="21">
        <v>43221</v>
      </c>
      <c r="V194" s="17" t="s">
        <v>29</v>
      </c>
      <c r="W194" s="21">
        <v>1.2638888888888888</v>
      </c>
      <c r="X194" s="17" t="s">
        <v>661</v>
      </c>
      <c r="Y194" s="17" t="s">
        <v>21</v>
      </c>
      <c r="Z194" s="17">
        <v>391400</v>
      </c>
      <c r="AA194" s="17" t="s">
        <v>164</v>
      </c>
      <c r="AB194" s="17" t="s">
        <v>443</v>
      </c>
      <c r="AC194" s="17">
        <v>0</v>
      </c>
      <c r="AD194" s="21">
        <v>45398</v>
      </c>
      <c r="AE194" s="21">
        <v>2</v>
      </c>
      <c r="AF194" s="17"/>
      <c r="AG194" s="21">
        <v>368</v>
      </c>
      <c r="AH194" s="17">
        <v>54428128</v>
      </c>
      <c r="AI194" s="21">
        <v>43313</v>
      </c>
      <c r="AJ194" s="17">
        <v>2702</v>
      </c>
      <c r="AK194" s="17">
        <v>0.29749999999999999</v>
      </c>
      <c r="AL194" s="17">
        <v>803.85</v>
      </c>
      <c r="AM194" s="17" t="b">
        <v>1</v>
      </c>
      <c r="AN194" s="17" t="b">
        <v>0</v>
      </c>
      <c r="AO194" s="21">
        <v>45398</v>
      </c>
      <c r="AP194" s="21">
        <v>45398</v>
      </c>
      <c r="AQ194" s="17" t="b">
        <v>0</v>
      </c>
      <c r="AR194" s="21">
        <v>45398</v>
      </c>
      <c r="AS194" s="21">
        <v>45398</v>
      </c>
      <c r="AT194" s="21">
        <v>43221</v>
      </c>
      <c r="AU194" s="17" t="b">
        <v>1</v>
      </c>
      <c r="AV194" s="21">
        <v>43313</v>
      </c>
      <c r="AW194" s="17" t="s">
        <v>23</v>
      </c>
      <c r="AX194" s="17" t="s">
        <v>41</v>
      </c>
      <c r="AY194" s="17" t="s">
        <v>414</v>
      </c>
      <c r="AZ194" s="17" t="s">
        <v>414</v>
      </c>
      <c r="BA194" s="21">
        <v>45398</v>
      </c>
      <c r="BB194" s="17">
        <v>0</v>
      </c>
      <c r="BC194" s="17"/>
      <c r="BD194" s="17" t="b">
        <v>0</v>
      </c>
      <c r="BE194" s="17" t="s">
        <v>2157</v>
      </c>
      <c r="BF194" s="21">
        <v>45398</v>
      </c>
      <c r="BG194" s="21">
        <v>45763</v>
      </c>
      <c r="BH194" s="17"/>
      <c r="BI194" s="21">
        <v>46063</v>
      </c>
      <c r="BJ194" s="17">
        <v>0</v>
      </c>
      <c r="BK194" s="17" t="s">
        <v>418</v>
      </c>
      <c r="BL194" s="17" t="s">
        <v>459</v>
      </c>
      <c r="BM194" s="17" t="b">
        <v>1</v>
      </c>
      <c r="BN194" s="17" t="b">
        <v>1</v>
      </c>
      <c r="BO194" s="17" t="b">
        <v>1</v>
      </c>
      <c r="BP194" s="17" t="b">
        <v>1</v>
      </c>
      <c r="BQ194" s="17" t="b">
        <v>1</v>
      </c>
      <c r="BR194" s="17" t="b">
        <v>1</v>
      </c>
      <c r="BS194" s="17" t="b">
        <v>1</v>
      </c>
      <c r="BT194" s="17" t="b">
        <v>1</v>
      </c>
      <c r="BU194" s="17" t="b">
        <v>0</v>
      </c>
      <c r="BV194" s="17">
        <v>0</v>
      </c>
      <c r="BW194" s="21">
        <v>43252</v>
      </c>
      <c r="BX194" s="17" t="s">
        <v>414</v>
      </c>
      <c r="BY194" s="17" t="s">
        <v>414</v>
      </c>
      <c r="BZ194" s="17">
        <v>0</v>
      </c>
      <c r="CA194" s="21">
        <v>45951</v>
      </c>
      <c r="CB194" s="17" t="s">
        <v>419</v>
      </c>
      <c r="CC194" s="17" t="s">
        <v>2245</v>
      </c>
      <c r="CD194" s="21"/>
      <c r="CE194" s="17"/>
      <c r="CF194" s="17" t="s">
        <v>1655</v>
      </c>
      <c r="CG194" s="17" t="b">
        <v>0</v>
      </c>
      <c r="CH194" s="17" t="s">
        <v>425</v>
      </c>
      <c r="CI194" s="17">
        <v>0</v>
      </c>
      <c r="CJ194" s="21">
        <v>45657</v>
      </c>
      <c r="CK194" s="21">
        <v>45907</v>
      </c>
      <c r="CL194" s="17" t="s">
        <v>414</v>
      </c>
      <c r="CM194" s="21">
        <v>1</v>
      </c>
      <c r="CN194" s="21">
        <v>1</v>
      </c>
      <c r="CO194" s="21">
        <v>1</v>
      </c>
      <c r="CP194" s="17" t="b">
        <v>0</v>
      </c>
      <c r="CQ194" s="17" t="b">
        <v>0</v>
      </c>
      <c r="CR194" s="17" t="b">
        <v>0</v>
      </c>
      <c r="CS194">
        <v>7400</v>
      </c>
      <c r="CT194" t="s">
        <v>1917</v>
      </c>
      <c r="CU194">
        <v>5692.31</v>
      </c>
      <c r="CV194">
        <v>1707.69</v>
      </c>
      <c r="CW194" s="22"/>
    </row>
    <row r="195" spans="1:101" x14ac:dyDescent="0.25">
      <c r="A195" s="20">
        <v>1012</v>
      </c>
      <c r="B195" s="17" t="s">
        <v>1657</v>
      </c>
      <c r="C195" s="17" t="s">
        <v>427</v>
      </c>
      <c r="D195" s="17" t="s">
        <v>249</v>
      </c>
      <c r="E195" s="17" t="s">
        <v>414</v>
      </c>
      <c r="F195" s="17" t="s">
        <v>1658</v>
      </c>
      <c r="G195" s="17" t="s">
        <v>414</v>
      </c>
      <c r="H195" s="17" t="s">
        <v>1656</v>
      </c>
      <c r="I195" s="17" t="s">
        <v>414</v>
      </c>
      <c r="J195" s="17" t="s">
        <v>16</v>
      </c>
      <c r="K195" s="17" t="b">
        <v>0</v>
      </c>
      <c r="L195" s="17" t="s">
        <v>1659</v>
      </c>
      <c r="M195" s="21">
        <v>31776</v>
      </c>
      <c r="N195" s="17" t="s">
        <v>1284</v>
      </c>
      <c r="O195" s="17" t="s">
        <v>17</v>
      </c>
      <c r="P195" s="17" t="s">
        <v>18</v>
      </c>
      <c r="Q195" s="17">
        <v>13</v>
      </c>
      <c r="R195" s="17" t="s">
        <v>243</v>
      </c>
      <c r="S195" s="17">
        <v>46</v>
      </c>
      <c r="T195" s="17" t="s">
        <v>1630</v>
      </c>
      <c r="U195" s="21">
        <v>43221</v>
      </c>
      <c r="V195" s="17" t="s">
        <v>33</v>
      </c>
      <c r="W195" s="21">
        <v>1.2881944444444446</v>
      </c>
      <c r="X195" s="17" t="s">
        <v>767</v>
      </c>
      <c r="Y195" s="17" t="s">
        <v>21</v>
      </c>
      <c r="Z195" s="17">
        <v>985100</v>
      </c>
      <c r="AA195" s="17" t="s">
        <v>172</v>
      </c>
      <c r="AB195" s="17" t="s">
        <v>443</v>
      </c>
      <c r="AC195" s="17">
        <v>0</v>
      </c>
      <c r="AD195" s="21">
        <v>45398</v>
      </c>
      <c r="AE195" s="21">
        <v>2</v>
      </c>
      <c r="AF195" s="17"/>
      <c r="AG195" s="21">
        <v>368</v>
      </c>
      <c r="AH195" s="17">
        <v>81557903</v>
      </c>
      <c r="AI195" s="21">
        <v>44713</v>
      </c>
      <c r="AJ195" s="17">
        <v>4115</v>
      </c>
      <c r="AK195" s="17">
        <v>0.29749999999999999</v>
      </c>
      <c r="AL195" s="17">
        <v>1224.21</v>
      </c>
      <c r="AM195" s="17" t="b">
        <v>1</v>
      </c>
      <c r="AN195" s="17" t="b">
        <v>0</v>
      </c>
      <c r="AO195" s="21">
        <v>44766</v>
      </c>
      <c r="AP195" s="21">
        <v>44769</v>
      </c>
      <c r="AQ195" s="17" t="b">
        <v>0</v>
      </c>
      <c r="AR195" s="21">
        <v>45398</v>
      </c>
      <c r="AS195" s="21">
        <v>45398</v>
      </c>
      <c r="AT195" s="21">
        <v>44621</v>
      </c>
      <c r="AU195" s="17" t="b">
        <v>1</v>
      </c>
      <c r="AV195" s="21">
        <v>43313</v>
      </c>
      <c r="AW195" s="17" t="s">
        <v>23</v>
      </c>
      <c r="AX195" s="17" t="s">
        <v>23</v>
      </c>
      <c r="AY195" s="17" t="s">
        <v>23</v>
      </c>
      <c r="AZ195" s="17" t="s">
        <v>450</v>
      </c>
      <c r="BA195" s="21">
        <v>45398</v>
      </c>
      <c r="BB195" s="17">
        <v>22398</v>
      </c>
      <c r="BC195" s="17"/>
      <c r="BD195" s="17" t="b">
        <v>0</v>
      </c>
      <c r="BE195" s="17" t="s">
        <v>2157</v>
      </c>
      <c r="BF195" s="21">
        <v>45398</v>
      </c>
      <c r="BG195" s="21">
        <v>45763</v>
      </c>
      <c r="BH195" s="17"/>
      <c r="BI195" s="21">
        <v>47807</v>
      </c>
      <c r="BJ195" s="17">
        <v>0</v>
      </c>
      <c r="BK195" s="17" t="s">
        <v>418</v>
      </c>
      <c r="BL195" s="17" t="s">
        <v>557</v>
      </c>
      <c r="BM195" s="17" t="b">
        <v>1</v>
      </c>
      <c r="BN195" s="17" t="b">
        <v>1</v>
      </c>
      <c r="BO195" s="17" t="b">
        <v>1</v>
      </c>
      <c r="BP195" s="17" t="b">
        <v>1</v>
      </c>
      <c r="BQ195" s="17" t="b">
        <v>1</v>
      </c>
      <c r="BR195" s="17" t="b">
        <v>1</v>
      </c>
      <c r="BS195" s="17" t="b">
        <v>1</v>
      </c>
      <c r="BT195" s="17" t="b">
        <v>1</v>
      </c>
      <c r="BU195" s="17" t="b">
        <v>1</v>
      </c>
      <c r="BV195" s="17">
        <v>0</v>
      </c>
      <c r="BW195" s="21">
        <v>43252</v>
      </c>
      <c r="BX195" s="17" t="s">
        <v>414</v>
      </c>
      <c r="BY195" s="17" t="s">
        <v>414</v>
      </c>
      <c r="BZ195" s="17">
        <v>0</v>
      </c>
      <c r="CA195" s="21">
        <v>45951</v>
      </c>
      <c r="CB195" s="17" t="s">
        <v>419</v>
      </c>
      <c r="CC195" s="17" t="s">
        <v>2246</v>
      </c>
      <c r="CD195" s="21"/>
      <c r="CE195" s="17"/>
      <c r="CF195" s="17" t="s">
        <v>1660</v>
      </c>
      <c r="CG195" s="17" t="b">
        <v>0</v>
      </c>
      <c r="CH195" s="17" t="s">
        <v>425</v>
      </c>
      <c r="CI195" s="17">
        <v>0</v>
      </c>
      <c r="CJ195" s="21">
        <v>45707</v>
      </c>
      <c r="CK195" s="21">
        <v>45907</v>
      </c>
      <c r="CL195" s="17" t="s">
        <v>414</v>
      </c>
      <c r="CM195" s="21">
        <v>1</v>
      </c>
      <c r="CN195" s="21">
        <v>1</v>
      </c>
      <c r="CO195" s="21">
        <v>1</v>
      </c>
      <c r="CP195" s="17" t="b">
        <v>0</v>
      </c>
      <c r="CQ195" s="17" t="b">
        <v>0</v>
      </c>
      <c r="CR195" s="17" t="b">
        <v>0</v>
      </c>
      <c r="CS195">
        <v>7200</v>
      </c>
      <c r="CT195" t="s">
        <v>1914</v>
      </c>
      <c r="CU195">
        <v>5538.46</v>
      </c>
      <c r="CV195">
        <v>1661.54</v>
      </c>
      <c r="CW195" s="22"/>
    </row>
    <row r="196" spans="1:101" x14ac:dyDescent="0.25">
      <c r="A196" s="20">
        <v>1013</v>
      </c>
      <c r="B196" s="17" t="s">
        <v>830</v>
      </c>
      <c r="C196" s="17" t="s">
        <v>758</v>
      </c>
      <c r="D196" s="17" t="s">
        <v>250</v>
      </c>
      <c r="E196" s="17" t="s">
        <v>1661</v>
      </c>
      <c r="F196" s="17" t="s">
        <v>1662</v>
      </c>
      <c r="G196" s="17" t="s">
        <v>414</v>
      </c>
      <c r="H196" s="17" t="s">
        <v>1663</v>
      </c>
      <c r="I196" s="17" t="s">
        <v>414</v>
      </c>
      <c r="J196" s="17" t="s">
        <v>16</v>
      </c>
      <c r="K196" s="17" t="b">
        <v>0</v>
      </c>
      <c r="L196" s="17" t="s">
        <v>1664</v>
      </c>
      <c r="M196" s="21">
        <v>32143</v>
      </c>
      <c r="N196" s="17" t="s">
        <v>1665</v>
      </c>
      <c r="O196" s="17" t="s">
        <v>17</v>
      </c>
      <c r="P196" s="17" t="s">
        <v>18</v>
      </c>
      <c r="Q196" s="17">
        <v>13</v>
      </c>
      <c r="R196" s="17" t="s">
        <v>243</v>
      </c>
      <c r="S196" s="17">
        <v>46</v>
      </c>
      <c r="T196" s="17" t="s">
        <v>1630</v>
      </c>
      <c r="U196" s="21">
        <v>43221</v>
      </c>
      <c r="V196" s="17" t="s">
        <v>20</v>
      </c>
      <c r="W196" s="21">
        <v>1.28125</v>
      </c>
      <c r="X196" s="17" t="s">
        <v>1666</v>
      </c>
      <c r="Y196" s="17" t="s">
        <v>21</v>
      </c>
      <c r="Z196" s="17">
        <v>451700</v>
      </c>
      <c r="AA196" s="17" t="s">
        <v>245</v>
      </c>
      <c r="AB196" s="17" t="s">
        <v>418</v>
      </c>
      <c r="AC196" s="17">
        <v>175</v>
      </c>
      <c r="AD196" s="21">
        <v>44913</v>
      </c>
      <c r="AE196" s="21">
        <v>45277</v>
      </c>
      <c r="AF196" s="17"/>
      <c r="AG196" s="21">
        <v>45643</v>
      </c>
      <c r="AH196" s="17">
        <v>26791456</v>
      </c>
      <c r="AI196" s="21">
        <v>44713</v>
      </c>
      <c r="AJ196" s="17">
        <v>4115</v>
      </c>
      <c r="AK196" s="17">
        <v>0.29749999999999999</v>
      </c>
      <c r="AL196" s="17">
        <v>1224.21</v>
      </c>
      <c r="AM196" s="17" t="b">
        <v>1</v>
      </c>
      <c r="AN196" s="17" t="b">
        <v>0</v>
      </c>
      <c r="AO196" s="21">
        <v>44838</v>
      </c>
      <c r="AP196" s="21">
        <v>44844</v>
      </c>
      <c r="AQ196" s="17" t="b">
        <v>0</v>
      </c>
      <c r="AR196" s="21">
        <v>45398</v>
      </c>
      <c r="AS196" s="21">
        <v>45398</v>
      </c>
      <c r="AT196" s="21">
        <v>44621</v>
      </c>
      <c r="AU196" s="17" t="b">
        <v>1</v>
      </c>
      <c r="AV196" s="21">
        <v>43313</v>
      </c>
      <c r="AW196" s="17" t="s">
        <v>23</v>
      </c>
      <c r="AX196" s="17" t="s">
        <v>23</v>
      </c>
      <c r="AY196" s="17" t="s">
        <v>23</v>
      </c>
      <c r="AZ196" s="17" t="s">
        <v>450</v>
      </c>
      <c r="BA196" s="21">
        <v>45398</v>
      </c>
      <c r="BB196" s="17">
        <v>30701</v>
      </c>
      <c r="BC196" s="17"/>
      <c r="BD196" s="17" t="b">
        <v>0</v>
      </c>
      <c r="BE196" s="17" t="s">
        <v>2157</v>
      </c>
      <c r="BF196" s="21">
        <v>45398</v>
      </c>
      <c r="BG196" s="21">
        <v>45763</v>
      </c>
      <c r="BH196" s="17"/>
      <c r="BI196" s="21">
        <v>46230</v>
      </c>
      <c r="BJ196" s="17">
        <v>0</v>
      </c>
      <c r="BK196" s="17" t="s">
        <v>418</v>
      </c>
      <c r="BL196" s="17" t="s">
        <v>557</v>
      </c>
      <c r="BM196" s="17" t="b">
        <v>1</v>
      </c>
      <c r="BN196" s="17" t="b">
        <v>1</v>
      </c>
      <c r="BO196" s="17" t="b">
        <v>1</v>
      </c>
      <c r="BP196" s="17" t="b">
        <v>1</v>
      </c>
      <c r="BQ196" s="17" t="b">
        <v>1</v>
      </c>
      <c r="BR196" s="17" t="b">
        <v>1</v>
      </c>
      <c r="BS196" s="17" t="b">
        <v>1</v>
      </c>
      <c r="BT196" s="17" t="b">
        <v>1</v>
      </c>
      <c r="BU196" s="17" t="b">
        <v>1</v>
      </c>
      <c r="BV196" s="17">
        <v>0</v>
      </c>
      <c r="BW196" s="21">
        <v>43252</v>
      </c>
      <c r="BX196" s="17" t="s">
        <v>414</v>
      </c>
      <c r="BY196" s="17" t="s">
        <v>414</v>
      </c>
      <c r="BZ196" s="17">
        <v>0</v>
      </c>
      <c r="CA196" s="21">
        <v>45951</v>
      </c>
      <c r="CB196" s="17" t="s">
        <v>419</v>
      </c>
      <c r="CC196" s="17" t="s">
        <v>2247</v>
      </c>
      <c r="CD196" s="21"/>
      <c r="CE196" s="17"/>
      <c r="CF196" s="17" t="s">
        <v>1667</v>
      </c>
      <c r="CG196" s="17" t="b">
        <v>0</v>
      </c>
      <c r="CH196" s="17" t="s">
        <v>425</v>
      </c>
      <c r="CI196" s="17">
        <v>0</v>
      </c>
      <c r="CJ196" s="21">
        <v>45696</v>
      </c>
      <c r="CK196" s="21">
        <v>45879</v>
      </c>
      <c r="CL196" s="17" t="s">
        <v>414</v>
      </c>
      <c r="CM196" s="21">
        <v>1</v>
      </c>
      <c r="CN196" s="21">
        <v>1</v>
      </c>
      <c r="CO196" s="21">
        <v>1</v>
      </c>
      <c r="CP196" s="17" t="b">
        <v>0</v>
      </c>
      <c r="CQ196" s="17" t="b">
        <v>0</v>
      </c>
      <c r="CR196" s="17" t="b">
        <v>0</v>
      </c>
      <c r="CS196">
        <v>7200</v>
      </c>
      <c r="CT196" t="s">
        <v>1914</v>
      </c>
      <c r="CU196">
        <v>5538.46</v>
      </c>
      <c r="CV196">
        <v>1661.54</v>
      </c>
      <c r="CW196" s="22"/>
    </row>
    <row r="197" spans="1:101" x14ac:dyDescent="0.25">
      <c r="A197" s="20">
        <v>1017</v>
      </c>
      <c r="B197" s="17" t="s">
        <v>1668</v>
      </c>
      <c r="C197" s="17" t="s">
        <v>1222</v>
      </c>
      <c r="D197" s="17" t="s">
        <v>251</v>
      </c>
      <c r="E197" s="17" t="s">
        <v>414</v>
      </c>
      <c r="F197" s="17" t="s">
        <v>1669</v>
      </c>
      <c r="G197" s="17" t="s">
        <v>414</v>
      </c>
      <c r="H197" s="17" t="s">
        <v>1670</v>
      </c>
      <c r="I197" s="17" t="s">
        <v>432</v>
      </c>
      <c r="J197" s="17" t="s">
        <v>16</v>
      </c>
      <c r="K197" s="17" t="b">
        <v>0</v>
      </c>
      <c r="L197" s="17" t="s">
        <v>1671</v>
      </c>
      <c r="M197" s="21">
        <v>35975</v>
      </c>
      <c r="N197" s="17" t="s">
        <v>1284</v>
      </c>
      <c r="O197" s="17" t="s">
        <v>17</v>
      </c>
      <c r="P197" s="17" t="s">
        <v>18</v>
      </c>
      <c r="Q197" s="17">
        <v>13</v>
      </c>
      <c r="R197" s="17" t="s">
        <v>243</v>
      </c>
      <c r="S197" s="17">
        <v>47</v>
      </c>
      <c r="T197" s="17" t="s">
        <v>1639</v>
      </c>
      <c r="U197" s="21">
        <v>45810</v>
      </c>
      <c r="V197" s="17" t="s">
        <v>38</v>
      </c>
      <c r="W197" s="21">
        <v>1</v>
      </c>
      <c r="X197" s="17" t="s">
        <v>910</v>
      </c>
      <c r="Y197" s="17" t="s">
        <v>21</v>
      </c>
      <c r="Z197" s="17">
        <v>391400</v>
      </c>
      <c r="AA197" s="17" t="s">
        <v>164</v>
      </c>
      <c r="AB197" s="17" t="s">
        <v>443</v>
      </c>
      <c r="AC197" s="17">
        <v>0</v>
      </c>
      <c r="AD197" s="21">
        <v>1</v>
      </c>
      <c r="AE197" s="21">
        <v>2</v>
      </c>
      <c r="AF197" s="17"/>
      <c r="AG197" s="21">
        <v>368</v>
      </c>
      <c r="AH197" s="17">
        <v>81089281</v>
      </c>
      <c r="AI197" s="21">
        <v>44543</v>
      </c>
      <c r="AJ197" s="17">
        <v>4110</v>
      </c>
      <c r="AK197" s="17">
        <v>0.29749999999999999</v>
      </c>
      <c r="AL197" s="17">
        <v>1222.73</v>
      </c>
      <c r="AM197" s="17" t="b">
        <v>0</v>
      </c>
      <c r="AN197" s="17" t="b">
        <v>0</v>
      </c>
      <c r="AO197" s="21">
        <v>44550</v>
      </c>
      <c r="AP197" s="21">
        <v>44556</v>
      </c>
      <c r="AQ197" s="17" t="b">
        <v>0</v>
      </c>
      <c r="AR197" s="21">
        <v>1</v>
      </c>
      <c r="AS197" s="21">
        <v>1</v>
      </c>
      <c r="AT197" s="21">
        <v>44452</v>
      </c>
      <c r="AU197" s="17" t="b">
        <v>0</v>
      </c>
      <c r="AV197" s="21">
        <v>45902</v>
      </c>
      <c r="AW197" s="17" t="s">
        <v>23</v>
      </c>
      <c r="AX197" s="17" t="s">
        <v>23</v>
      </c>
      <c r="AY197" s="17" t="s">
        <v>23</v>
      </c>
      <c r="AZ197" s="17" t="s">
        <v>450</v>
      </c>
      <c r="BA197" s="21">
        <v>45398</v>
      </c>
      <c r="BB197" s="17">
        <v>0</v>
      </c>
      <c r="BC197" s="17"/>
      <c r="BD197" s="17" t="b">
        <v>0</v>
      </c>
      <c r="BE197" s="17" t="s">
        <v>2248</v>
      </c>
      <c r="BF197" s="21">
        <v>45398</v>
      </c>
      <c r="BG197" s="21">
        <v>45763</v>
      </c>
      <c r="BH197" s="17"/>
      <c r="BI197" s="21">
        <v>47338</v>
      </c>
      <c r="BJ197" s="17">
        <v>0</v>
      </c>
      <c r="BK197" s="17" t="s">
        <v>436</v>
      </c>
      <c r="BL197" s="17" t="s">
        <v>437</v>
      </c>
      <c r="BM197" s="17" t="b">
        <v>1</v>
      </c>
      <c r="BN197" s="17" t="b">
        <v>1</v>
      </c>
      <c r="BO197" s="17" t="b">
        <v>1</v>
      </c>
      <c r="BP197" s="17" t="b">
        <v>1</v>
      </c>
      <c r="BQ197" s="17" t="b">
        <v>1</v>
      </c>
      <c r="BR197" s="17" t="b">
        <v>1</v>
      </c>
      <c r="BS197" s="17" t="b">
        <v>1</v>
      </c>
      <c r="BT197" s="17" t="b">
        <v>1</v>
      </c>
      <c r="BU197" s="17" t="b">
        <v>1</v>
      </c>
      <c r="BV197" s="17">
        <v>0</v>
      </c>
      <c r="BW197" s="21">
        <v>45840</v>
      </c>
      <c r="BX197" s="17" t="s">
        <v>414</v>
      </c>
      <c r="BY197" s="17" t="s">
        <v>414</v>
      </c>
      <c r="BZ197" s="17">
        <v>0</v>
      </c>
      <c r="CA197" s="21">
        <v>45951</v>
      </c>
      <c r="CB197" s="17" t="s">
        <v>419</v>
      </c>
      <c r="CC197" s="17" t="s">
        <v>2249</v>
      </c>
      <c r="CD197" s="21">
        <v>45743</v>
      </c>
      <c r="CE197" s="17" t="s">
        <v>415</v>
      </c>
      <c r="CF197" s="17" t="s">
        <v>1672</v>
      </c>
      <c r="CG197" s="17" t="b">
        <v>0</v>
      </c>
      <c r="CH197" s="17" t="s">
        <v>425</v>
      </c>
      <c r="CI197" s="17">
        <v>0</v>
      </c>
      <c r="CJ197" s="21">
        <v>45701</v>
      </c>
      <c r="CK197" s="21">
        <v>45879</v>
      </c>
      <c r="CL197" s="17" t="s">
        <v>414</v>
      </c>
      <c r="CM197" s="21">
        <v>1</v>
      </c>
      <c r="CN197" s="21">
        <v>1</v>
      </c>
      <c r="CO197" s="21">
        <v>1</v>
      </c>
      <c r="CP197" s="17" t="b">
        <v>0</v>
      </c>
      <c r="CQ197" s="17" t="b">
        <v>0</v>
      </c>
      <c r="CR197" s="17" t="b">
        <v>0</v>
      </c>
      <c r="CS197">
        <v>7400</v>
      </c>
      <c r="CT197" t="s">
        <v>1917</v>
      </c>
      <c r="CU197">
        <v>5692.31</v>
      </c>
      <c r="CV197">
        <v>1707.69</v>
      </c>
      <c r="CW197" s="22"/>
    </row>
    <row r="198" spans="1:101" x14ac:dyDescent="0.25">
      <c r="A198" s="20">
        <v>1018</v>
      </c>
      <c r="B198" s="17" t="s">
        <v>1673</v>
      </c>
      <c r="C198" s="17" t="s">
        <v>1299</v>
      </c>
      <c r="D198" s="17" t="s">
        <v>252</v>
      </c>
      <c r="E198" s="17" t="s">
        <v>1674</v>
      </c>
      <c r="F198" s="17" t="s">
        <v>1675</v>
      </c>
      <c r="G198" s="17" t="s">
        <v>414</v>
      </c>
      <c r="H198" s="17" t="s">
        <v>840</v>
      </c>
      <c r="I198" s="17" t="s">
        <v>414</v>
      </c>
      <c r="J198" s="17" t="s">
        <v>16</v>
      </c>
      <c r="K198" s="17" t="b">
        <v>0</v>
      </c>
      <c r="L198" s="17" t="s">
        <v>1676</v>
      </c>
      <c r="M198" s="21">
        <v>28106</v>
      </c>
      <c r="N198" s="17" t="s">
        <v>414</v>
      </c>
      <c r="O198" s="17" t="s">
        <v>17</v>
      </c>
      <c r="P198" s="17" t="s">
        <v>18</v>
      </c>
      <c r="Q198" s="17">
        <v>13</v>
      </c>
      <c r="R198" s="17" t="s">
        <v>243</v>
      </c>
      <c r="S198" s="17">
        <v>45</v>
      </c>
      <c r="T198" s="17" t="s">
        <v>1637</v>
      </c>
      <c r="U198" s="21">
        <v>42077</v>
      </c>
      <c r="V198" s="17" t="s">
        <v>33</v>
      </c>
      <c r="W198" s="21">
        <v>1.2847222222222223</v>
      </c>
      <c r="X198" s="17" t="s">
        <v>1318</v>
      </c>
      <c r="Y198" s="17" t="s">
        <v>21</v>
      </c>
      <c r="Z198" s="17">
        <v>949900</v>
      </c>
      <c r="AA198" s="17" t="s">
        <v>22</v>
      </c>
      <c r="AB198" s="17" t="s">
        <v>418</v>
      </c>
      <c r="AC198" s="17">
        <v>33</v>
      </c>
      <c r="AD198" s="21">
        <v>42898</v>
      </c>
      <c r="AE198" s="21">
        <v>45389</v>
      </c>
      <c r="AF198" s="17"/>
      <c r="AG198" s="21">
        <v>45754</v>
      </c>
      <c r="AH198" s="17">
        <v>69090287</v>
      </c>
      <c r="AI198" s="21">
        <v>42169</v>
      </c>
      <c r="AJ198" s="17">
        <v>4110</v>
      </c>
      <c r="AK198" s="17">
        <v>0.29749999999999999</v>
      </c>
      <c r="AL198" s="17">
        <v>1222.73</v>
      </c>
      <c r="AM198" s="17" t="b">
        <v>1</v>
      </c>
      <c r="AN198" s="17" t="b">
        <v>0</v>
      </c>
      <c r="AO198" s="21">
        <v>45398</v>
      </c>
      <c r="AP198" s="21">
        <v>45398</v>
      </c>
      <c r="AQ198" s="17" t="b">
        <v>0</v>
      </c>
      <c r="AR198" s="21">
        <v>45398</v>
      </c>
      <c r="AS198" s="21">
        <v>45398</v>
      </c>
      <c r="AT198" s="21">
        <v>42077</v>
      </c>
      <c r="AU198" s="17" t="b">
        <v>1</v>
      </c>
      <c r="AV198" s="21">
        <v>42169</v>
      </c>
      <c r="AW198" s="17" t="s">
        <v>23</v>
      </c>
      <c r="AX198" s="17" t="s">
        <v>23</v>
      </c>
      <c r="AY198" s="17" t="s">
        <v>23</v>
      </c>
      <c r="AZ198" s="17" t="s">
        <v>450</v>
      </c>
      <c r="BA198" s="21">
        <v>45398</v>
      </c>
      <c r="BB198" s="17">
        <v>0</v>
      </c>
      <c r="BC198" s="17"/>
      <c r="BD198" s="17" t="b">
        <v>0</v>
      </c>
      <c r="BE198" s="17" t="s">
        <v>2241</v>
      </c>
      <c r="BF198" s="21">
        <v>45398</v>
      </c>
      <c r="BG198" s="21">
        <v>45763</v>
      </c>
      <c r="BH198" s="17"/>
      <c r="BI198" s="21">
        <v>47057</v>
      </c>
      <c r="BJ198" s="17">
        <v>0</v>
      </c>
      <c r="BK198" s="17" t="s">
        <v>418</v>
      </c>
      <c r="BL198" s="17" t="s">
        <v>459</v>
      </c>
      <c r="BM198" s="17" t="b">
        <v>1</v>
      </c>
      <c r="BN198" s="17" t="b">
        <v>0</v>
      </c>
      <c r="BO198" s="17" t="b">
        <v>1</v>
      </c>
      <c r="BP198" s="17" t="b">
        <v>1</v>
      </c>
      <c r="BQ198" s="17" t="b">
        <v>1</v>
      </c>
      <c r="BR198" s="17" t="b">
        <v>0</v>
      </c>
      <c r="BS198" s="17" t="b">
        <v>1</v>
      </c>
      <c r="BT198" s="17" t="b">
        <v>1</v>
      </c>
      <c r="BU198" s="17" t="b">
        <v>0</v>
      </c>
      <c r="BV198" s="17">
        <v>0</v>
      </c>
      <c r="BW198" s="21">
        <v>42108</v>
      </c>
      <c r="BX198" s="17" t="s">
        <v>414</v>
      </c>
      <c r="BY198" s="17" t="s">
        <v>414</v>
      </c>
      <c r="BZ198" s="17">
        <v>0</v>
      </c>
      <c r="CA198" s="21">
        <v>45951</v>
      </c>
      <c r="CB198" s="17" t="s">
        <v>419</v>
      </c>
      <c r="CC198" s="17" t="s">
        <v>2250</v>
      </c>
      <c r="CD198" s="21"/>
      <c r="CE198" s="17"/>
      <c r="CF198" s="17" t="s">
        <v>1677</v>
      </c>
      <c r="CG198" s="17" t="b">
        <v>0</v>
      </c>
      <c r="CH198" s="17" t="s">
        <v>425</v>
      </c>
      <c r="CI198" s="17">
        <v>0</v>
      </c>
      <c r="CJ198" s="21">
        <v>45710</v>
      </c>
      <c r="CK198" s="21">
        <v>45907</v>
      </c>
      <c r="CL198" s="17" t="s">
        <v>414</v>
      </c>
      <c r="CM198" s="21">
        <v>1</v>
      </c>
      <c r="CN198" s="21">
        <v>1</v>
      </c>
      <c r="CO198" s="21">
        <v>1</v>
      </c>
      <c r="CP198" s="17" t="b">
        <v>0</v>
      </c>
      <c r="CQ198" s="17" t="b">
        <v>0</v>
      </c>
      <c r="CR198" s="17" t="b">
        <v>0</v>
      </c>
      <c r="CS198">
        <v>7200</v>
      </c>
      <c r="CT198" t="s">
        <v>1914</v>
      </c>
      <c r="CU198">
        <v>5538.46</v>
      </c>
      <c r="CV198">
        <v>1661.54</v>
      </c>
      <c r="CW198" s="22"/>
    </row>
    <row r="199" spans="1:101" x14ac:dyDescent="0.25">
      <c r="A199" s="20">
        <v>1020</v>
      </c>
      <c r="B199" s="17" t="s">
        <v>1678</v>
      </c>
      <c r="C199" s="17" t="s">
        <v>691</v>
      </c>
      <c r="D199" s="17" t="s">
        <v>253</v>
      </c>
      <c r="E199" s="17" t="s">
        <v>1679</v>
      </c>
      <c r="F199" s="17" t="s">
        <v>1680</v>
      </c>
      <c r="G199" s="17" t="s">
        <v>414</v>
      </c>
      <c r="H199" s="17" t="s">
        <v>1681</v>
      </c>
      <c r="I199" s="17" t="s">
        <v>414</v>
      </c>
      <c r="J199" s="17" t="s">
        <v>16</v>
      </c>
      <c r="K199" s="17" t="b">
        <v>0</v>
      </c>
      <c r="L199" s="17" t="s">
        <v>1682</v>
      </c>
      <c r="M199" s="21">
        <v>33113</v>
      </c>
      <c r="N199" s="17" t="s">
        <v>1683</v>
      </c>
      <c r="O199" s="17" t="s">
        <v>17</v>
      </c>
      <c r="P199" s="17" t="s">
        <v>18</v>
      </c>
      <c r="Q199" s="17">
        <v>13</v>
      </c>
      <c r="R199" s="17" t="s">
        <v>243</v>
      </c>
      <c r="S199" s="17">
        <v>46</v>
      </c>
      <c r="T199" s="17" t="s">
        <v>1630</v>
      </c>
      <c r="U199" s="21">
        <v>43221</v>
      </c>
      <c r="V199" s="17" t="s">
        <v>33</v>
      </c>
      <c r="W199" s="21">
        <v>1</v>
      </c>
      <c r="X199" s="17" t="s">
        <v>1684</v>
      </c>
      <c r="Y199" s="17" t="s">
        <v>21</v>
      </c>
      <c r="Z199" s="17">
        <v>451700</v>
      </c>
      <c r="AA199" s="17" t="s">
        <v>245</v>
      </c>
      <c r="AB199" s="17" t="s">
        <v>443</v>
      </c>
      <c r="AC199" s="17">
        <v>0</v>
      </c>
      <c r="AD199" s="21">
        <v>45398</v>
      </c>
      <c r="AE199" s="21">
        <v>2</v>
      </c>
      <c r="AF199" s="17"/>
      <c r="AG199" s="21">
        <v>368</v>
      </c>
      <c r="AH199" s="17">
        <v>41554294</v>
      </c>
      <c r="AI199" s="21">
        <v>44075</v>
      </c>
      <c r="AJ199" s="17">
        <v>2707</v>
      </c>
      <c r="AK199" s="17">
        <v>0.29749999999999999</v>
      </c>
      <c r="AL199" s="17">
        <v>805.33</v>
      </c>
      <c r="AM199" s="17" t="b">
        <v>1</v>
      </c>
      <c r="AN199" s="17" t="b">
        <v>0</v>
      </c>
      <c r="AO199" s="21">
        <v>44160</v>
      </c>
      <c r="AP199" s="21">
        <v>44179</v>
      </c>
      <c r="AQ199" s="17" t="b">
        <v>0</v>
      </c>
      <c r="AR199" s="21">
        <v>45398</v>
      </c>
      <c r="AS199" s="21">
        <v>45398</v>
      </c>
      <c r="AT199" s="21">
        <v>43983</v>
      </c>
      <c r="AU199" s="17" t="b">
        <v>1</v>
      </c>
      <c r="AV199" s="21">
        <v>43313</v>
      </c>
      <c r="AW199" s="17" t="s">
        <v>23</v>
      </c>
      <c r="AX199" s="17" t="s">
        <v>23</v>
      </c>
      <c r="AY199" s="17" t="s">
        <v>23</v>
      </c>
      <c r="AZ199" s="17" t="s">
        <v>450</v>
      </c>
      <c r="BA199" s="21">
        <v>45398</v>
      </c>
      <c r="BB199" s="17">
        <v>0</v>
      </c>
      <c r="BC199" s="17"/>
      <c r="BD199" s="17" t="b">
        <v>0</v>
      </c>
      <c r="BE199" s="17" t="s">
        <v>2157</v>
      </c>
      <c r="BF199" s="21">
        <v>45398</v>
      </c>
      <c r="BG199" s="21">
        <v>45763</v>
      </c>
      <c r="BH199" s="17"/>
      <c r="BI199" s="21">
        <v>47199</v>
      </c>
      <c r="BJ199" s="17">
        <v>0</v>
      </c>
      <c r="BK199" s="17" t="s">
        <v>418</v>
      </c>
      <c r="BL199" s="17" t="s">
        <v>557</v>
      </c>
      <c r="BM199" s="17" t="b">
        <v>1</v>
      </c>
      <c r="BN199" s="17" t="b">
        <v>0</v>
      </c>
      <c r="BO199" s="17" t="b">
        <v>1</v>
      </c>
      <c r="BP199" s="17" t="b">
        <v>1</v>
      </c>
      <c r="BQ199" s="17" t="b">
        <v>1</v>
      </c>
      <c r="BR199" s="17" t="b">
        <v>1</v>
      </c>
      <c r="BS199" s="17" t="b">
        <v>0</v>
      </c>
      <c r="BT199" s="17" t="b">
        <v>1</v>
      </c>
      <c r="BU199" s="17" t="b">
        <v>0</v>
      </c>
      <c r="BV199" s="17">
        <v>0</v>
      </c>
      <c r="BW199" s="21">
        <v>43252</v>
      </c>
      <c r="BX199" s="17" t="s">
        <v>414</v>
      </c>
      <c r="BY199" s="17" t="s">
        <v>414</v>
      </c>
      <c r="BZ199" s="17">
        <v>0</v>
      </c>
      <c r="CA199" s="21">
        <v>45951</v>
      </c>
      <c r="CB199" s="17" t="s">
        <v>419</v>
      </c>
      <c r="CC199" s="17" t="s">
        <v>2251</v>
      </c>
      <c r="CD199" s="21"/>
      <c r="CE199" s="17"/>
      <c r="CF199" s="17" t="s">
        <v>1685</v>
      </c>
      <c r="CG199" s="17" t="b">
        <v>0</v>
      </c>
      <c r="CH199" s="17" t="s">
        <v>425</v>
      </c>
      <c r="CI199" s="17">
        <v>0</v>
      </c>
      <c r="CJ199" s="21">
        <v>45687</v>
      </c>
      <c r="CK199" s="21">
        <v>45876</v>
      </c>
      <c r="CL199" s="17" t="s">
        <v>414</v>
      </c>
      <c r="CM199" s="21">
        <v>1</v>
      </c>
      <c r="CN199" s="21">
        <v>1</v>
      </c>
      <c r="CO199" s="21">
        <v>1</v>
      </c>
      <c r="CP199" s="17" t="b">
        <v>0</v>
      </c>
      <c r="CQ199" s="17" t="b">
        <v>0</v>
      </c>
      <c r="CR199" s="17" t="b">
        <v>0</v>
      </c>
      <c r="CS199">
        <v>7200</v>
      </c>
      <c r="CT199" t="s">
        <v>1914</v>
      </c>
      <c r="CU199">
        <v>5538.46</v>
      </c>
      <c r="CV199">
        <v>1661.54</v>
      </c>
      <c r="CW199" s="22"/>
    </row>
    <row r="200" spans="1:101" x14ac:dyDescent="0.25">
      <c r="A200" s="20">
        <v>1022</v>
      </c>
      <c r="B200" s="17" t="s">
        <v>587</v>
      </c>
      <c r="C200" s="17" t="s">
        <v>427</v>
      </c>
      <c r="D200" s="17" t="s">
        <v>254</v>
      </c>
      <c r="E200" s="17" t="s">
        <v>1686</v>
      </c>
      <c r="F200" s="17" t="s">
        <v>1687</v>
      </c>
      <c r="G200" s="17" t="s">
        <v>414</v>
      </c>
      <c r="H200" s="17" t="s">
        <v>606</v>
      </c>
      <c r="I200" s="17" t="s">
        <v>414</v>
      </c>
      <c r="J200" s="17" t="s">
        <v>16</v>
      </c>
      <c r="K200" s="17" t="b">
        <v>0</v>
      </c>
      <c r="L200" s="17" t="s">
        <v>1688</v>
      </c>
      <c r="M200" s="21">
        <v>29105</v>
      </c>
      <c r="N200" s="17" t="s">
        <v>414</v>
      </c>
      <c r="O200" s="17" t="s">
        <v>17</v>
      </c>
      <c r="P200" s="17" t="s">
        <v>18</v>
      </c>
      <c r="Q200" s="17">
        <v>13</v>
      </c>
      <c r="R200" s="17" t="s">
        <v>243</v>
      </c>
      <c r="S200" s="17">
        <v>46</v>
      </c>
      <c r="T200" s="17" t="s">
        <v>1630</v>
      </c>
      <c r="U200" s="21">
        <v>43215</v>
      </c>
      <c r="V200" s="17" t="s">
        <v>61</v>
      </c>
      <c r="W200" s="21">
        <v>1.2847222222222223</v>
      </c>
      <c r="X200" s="17" t="s">
        <v>1318</v>
      </c>
      <c r="Y200" s="17" t="s">
        <v>21</v>
      </c>
      <c r="Z200" s="17">
        <v>451700</v>
      </c>
      <c r="AA200" s="17" t="s">
        <v>245</v>
      </c>
      <c r="AB200" s="17" t="s">
        <v>418</v>
      </c>
      <c r="AC200" s="17">
        <v>113</v>
      </c>
      <c r="AD200" s="21">
        <v>43549</v>
      </c>
      <c r="AE200" s="21">
        <v>45389</v>
      </c>
      <c r="AF200" s="17"/>
      <c r="AG200" s="21">
        <v>45754</v>
      </c>
      <c r="AH200" s="17">
        <v>12118865</v>
      </c>
      <c r="AI200" s="21">
        <v>43306</v>
      </c>
      <c r="AJ200" s="17">
        <v>2707</v>
      </c>
      <c r="AK200" s="17">
        <v>0.29749999999999999</v>
      </c>
      <c r="AL200" s="17">
        <v>805.33</v>
      </c>
      <c r="AM200" s="17" t="b">
        <v>1</v>
      </c>
      <c r="AN200" s="17" t="b">
        <v>0</v>
      </c>
      <c r="AO200" s="21">
        <v>45398</v>
      </c>
      <c r="AP200" s="21">
        <v>45398</v>
      </c>
      <c r="AQ200" s="17" t="b">
        <v>0</v>
      </c>
      <c r="AR200" s="21">
        <v>45398</v>
      </c>
      <c r="AS200" s="21">
        <v>45398</v>
      </c>
      <c r="AT200" s="21">
        <v>43215</v>
      </c>
      <c r="AU200" s="17" t="b">
        <v>1</v>
      </c>
      <c r="AV200" s="21">
        <v>43306</v>
      </c>
      <c r="AW200" s="17" t="s">
        <v>41</v>
      </c>
      <c r="AX200" s="17" t="s">
        <v>23</v>
      </c>
      <c r="AY200" s="17" t="s">
        <v>41</v>
      </c>
      <c r="AZ200" s="17" t="s">
        <v>414</v>
      </c>
      <c r="BA200" s="21">
        <v>45398</v>
      </c>
      <c r="BB200" s="17">
        <v>0</v>
      </c>
      <c r="BC200" s="17"/>
      <c r="BD200" s="17" t="b">
        <v>0</v>
      </c>
      <c r="BE200" s="17" t="s">
        <v>2252</v>
      </c>
      <c r="BF200" s="21">
        <v>45398</v>
      </c>
      <c r="BG200" s="21">
        <v>45763</v>
      </c>
      <c r="BH200" s="17"/>
      <c r="BI200" s="21">
        <v>47395</v>
      </c>
      <c r="BJ200" s="17">
        <v>0</v>
      </c>
      <c r="BK200" s="17" t="s">
        <v>418</v>
      </c>
      <c r="BL200" s="17" t="s">
        <v>459</v>
      </c>
      <c r="BM200" s="17" t="b">
        <v>1</v>
      </c>
      <c r="BN200" s="17" t="b">
        <v>0</v>
      </c>
      <c r="BO200" s="17" t="b">
        <v>1</v>
      </c>
      <c r="BP200" s="17" t="b">
        <v>1</v>
      </c>
      <c r="BQ200" s="17" t="b">
        <v>1</v>
      </c>
      <c r="BR200" s="17" t="b">
        <v>1</v>
      </c>
      <c r="BS200" s="17" t="b">
        <v>1</v>
      </c>
      <c r="BT200" s="17" t="b">
        <v>1</v>
      </c>
      <c r="BU200" s="17" t="b">
        <v>0</v>
      </c>
      <c r="BV200" s="17">
        <v>0</v>
      </c>
      <c r="BW200" s="21">
        <v>43245</v>
      </c>
      <c r="BX200" s="17" t="s">
        <v>414</v>
      </c>
      <c r="BY200" s="17" t="s">
        <v>414</v>
      </c>
      <c r="BZ200" s="17">
        <v>0</v>
      </c>
      <c r="CA200" s="21">
        <v>45951</v>
      </c>
      <c r="CB200" s="17" t="s">
        <v>419</v>
      </c>
      <c r="CC200" s="17" t="s">
        <v>2253</v>
      </c>
      <c r="CD200" s="21"/>
      <c r="CE200" s="17"/>
      <c r="CF200" s="17" t="s">
        <v>1689</v>
      </c>
      <c r="CG200" s="17" t="b">
        <v>0</v>
      </c>
      <c r="CH200" s="17" t="s">
        <v>425</v>
      </c>
      <c r="CI200" s="17">
        <v>0</v>
      </c>
      <c r="CJ200" s="21">
        <v>45683</v>
      </c>
      <c r="CK200" s="21">
        <v>45876</v>
      </c>
      <c r="CL200" s="17" t="s">
        <v>414</v>
      </c>
      <c r="CM200" s="21">
        <v>1</v>
      </c>
      <c r="CN200" s="21">
        <v>1</v>
      </c>
      <c r="CO200" s="21">
        <v>1</v>
      </c>
      <c r="CP200" s="17" t="b">
        <v>0</v>
      </c>
      <c r="CQ200" s="17" t="b">
        <v>0</v>
      </c>
      <c r="CR200" s="17" t="b">
        <v>0</v>
      </c>
      <c r="CS200">
        <v>7200</v>
      </c>
      <c r="CT200" t="s">
        <v>1914</v>
      </c>
      <c r="CU200">
        <v>5538.46</v>
      </c>
      <c r="CV200">
        <v>1661.54</v>
      </c>
      <c r="CW200" s="22"/>
    </row>
    <row r="201" spans="1:101" x14ac:dyDescent="0.25">
      <c r="A201" s="20">
        <v>1024</v>
      </c>
      <c r="B201" s="17" t="s">
        <v>420</v>
      </c>
      <c r="C201" s="17" t="s">
        <v>620</v>
      </c>
      <c r="D201" s="17" t="s">
        <v>255</v>
      </c>
      <c r="E201" s="17" t="s">
        <v>1690</v>
      </c>
      <c r="F201" s="17" t="s">
        <v>1691</v>
      </c>
      <c r="G201" s="17" t="s">
        <v>414</v>
      </c>
      <c r="H201" s="17" t="s">
        <v>840</v>
      </c>
      <c r="I201" s="17" t="s">
        <v>414</v>
      </c>
      <c r="J201" s="17" t="s">
        <v>16</v>
      </c>
      <c r="K201" s="17" t="b">
        <v>0</v>
      </c>
      <c r="L201" s="17" t="s">
        <v>1692</v>
      </c>
      <c r="M201" s="21">
        <v>36114</v>
      </c>
      <c r="N201" s="17" t="s">
        <v>842</v>
      </c>
      <c r="O201" s="17" t="s">
        <v>17</v>
      </c>
      <c r="P201" s="17" t="s">
        <v>18</v>
      </c>
      <c r="Q201" s="17">
        <v>13</v>
      </c>
      <c r="R201" s="17" t="s">
        <v>243</v>
      </c>
      <c r="S201" s="17">
        <v>46</v>
      </c>
      <c r="T201" s="17" t="s">
        <v>1630</v>
      </c>
      <c r="U201" s="21">
        <v>43221</v>
      </c>
      <c r="V201" s="17" t="s">
        <v>38</v>
      </c>
      <c r="W201" s="21">
        <v>1.2881944444444446</v>
      </c>
      <c r="X201" s="17" t="s">
        <v>910</v>
      </c>
      <c r="Y201" s="17" t="s">
        <v>21</v>
      </c>
      <c r="Z201" s="17">
        <v>451700</v>
      </c>
      <c r="AA201" s="17" t="s">
        <v>245</v>
      </c>
      <c r="AB201" s="17" t="s">
        <v>418</v>
      </c>
      <c r="AC201" s="17">
        <v>126</v>
      </c>
      <c r="AD201" s="21">
        <v>44425</v>
      </c>
      <c r="AE201" s="21">
        <v>45159</v>
      </c>
      <c r="AF201" s="17"/>
      <c r="AG201" s="21">
        <v>45525</v>
      </c>
      <c r="AH201" s="17">
        <v>76763204</v>
      </c>
      <c r="AI201" s="21">
        <v>44013</v>
      </c>
      <c r="AJ201" s="17">
        <v>4115</v>
      </c>
      <c r="AK201" s="17">
        <v>0.29749999999999999</v>
      </c>
      <c r="AL201" s="17">
        <v>1224.21</v>
      </c>
      <c r="AM201" s="17" t="b">
        <v>1</v>
      </c>
      <c r="AN201" s="17" t="b">
        <v>0</v>
      </c>
      <c r="AO201" s="21">
        <v>45398</v>
      </c>
      <c r="AP201" s="21">
        <v>45398</v>
      </c>
      <c r="AQ201" s="17" t="b">
        <v>0</v>
      </c>
      <c r="AR201" s="21">
        <v>45398</v>
      </c>
      <c r="AS201" s="21">
        <v>45398</v>
      </c>
      <c r="AT201" s="21">
        <v>43922</v>
      </c>
      <c r="AU201" s="17" t="b">
        <v>1</v>
      </c>
      <c r="AV201" s="21">
        <v>43313</v>
      </c>
      <c r="AW201" s="17" t="s">
        <v>41</v>
      </c>
      <c r="AX201" s="17" t="s">
        <v>23</v>
      </c>
      <c r="AY201" s="17" t="s">
        <v>41</v>
      </c>
      <c r="AZ201" s="17" t="s">
        <v>414</v>
      </c>
      <c r="BA201" s="21">
        <v>45398</v>
      </c>
      <c r="BB201" s="17">
        <v>0</v>
      </c>
      <c r="BC201" s="17"/>
      <c r="BD201" s="17" t="b">
        <v>0</v>
      </c>
      <c r="BE201" s="17" t="s">
        <v>2157</v>
      </c>
      <c r="BF201" s="21">
        <v>45398</v>
      </c>
      <c r="BG201" s="21">
        <v>45763</v>
      </c>
      <c r="BH201" s="17"/>
      <c r="BI201" s="21">
        <v>48073</v>
      </c>
      <c r="BJ201" s="17">
        <v>0</v>
      </c>
      <c r="BK201" s="17" t="s">
        <v>418</v>
      </c>
      <c r="BL201" s="17" t="s">
        <v>418</v>
      </c>
      <c r="BM201" s="17" t="b">
        <v>1</v>
      </c>
      <c r="BN201" s="17" t="b">
        <v>1</v>
      </c>
      <c r="BO201" s="17" t="b">
        <v>1</v>
      </c>
      <c r="BP201" s="17" t="b">
        <v>1</v>
      </c>
      <c r="BQ201" s="17" t="b">
        <v>1</v>
      </c>
      <c r="BR201" s="17" t="b">
        <v>1</v>
      </c>
      <c r="BS201" s="17" t="b">
        <v>1</v>
      </c>
      <c r="BT201" s="17" t="b">
        <v>1</v>
      </c>
      <c r="BU201" s="17" t="b">
        <v>1</v>
      </c>
      <c r="BV201" s="17">
        <v>0</v>
      </c>
      <c r="BW201" s="21">
        <v>43252</v>
      </c>
      <c r="BX201" s="17" t="s">
        <v>414</v>
      </c>
      <c r="BY201" s="17" t="s">
        <v>414</v>
      </c>
      <c r="BZ201" s="17">
        <v>0</v>
      </c>
      <c r="CA201" s="21">
        <v>45951</v>
      </c>
      <c r="CB201" s="17" t="s">
        <v>419</v>
      </c>
      <c r="CC201" s="17" t="s">
        <v>2254</v>
      </c>
      <c r="CD201" s="21"/>
      <c r="CE201" s="17"/>
      <c r="CF201" s="17" t="s">
        <v>1693</v>
      </c>
      <c r="CG201" s="17" t="b">
        <v>0</v>
      </c>
      <c r="CH201" s="17" t="s">
        <v>610</v>
      </c>
      <c r="CI201" s="17">
        <v>0</v>
      </c>
      <c r="CJ201" s="21">
        <v>45675</v>
      </c>
      <c r="CK201" s="21">
        <v>45876</v>
      </c>
      <c r="CL201" s="17" t="s">
        <v>414</v>
      </c>
      <c r="CM201" s="21">
        <v>1</v>
      </c>
      <c r="CN201" s="21">
        <v>1</v>
      </c>
      <c r="CO201" s="21">
        <v>1</v>
      </c>
      <c r="CP201" s="17" t="b">
        <v>0</v>
      </c>
      <c r="CQ201" s="17" t="b">
        <v>0</v>
      </c>
      <c r="CR201" s="17" t="b">
        <v>0</v>
      </c>
      <c r="CS201">
        <v>7200</v>
      </c>
      <c r="CT201" t="s">
        <v>1914</v>
      </c>
      <c r="CU201">
        <v>5538.46</v>
      </c>
      <c r="CV201">
        <v>1661.54</v>
      </c>
      <c r="CW201" s="22"/>
    </row>
    <row r="202" spans="1:101" x14ac:dyDescent="0.25">
      <c r="A202" s="20">
        <v>1029</v>
      </c>
      <c r="B202" s="17" t="s">
        <v>420</v>
      </c>
      <c r="C202" s="17" t="s">
        <v>426</v>
      </c>
      <c r="D202" s="17" t="s">
        <v>256</v>
      </c>
      <c r="E202" s="17" t="s">
        <v>1694</v>
      </c>
      <c r="F202" s="17" t="s">
        <v>1695</v>
      </c>
      <c r="G202" s="17" t="s">
        <v>414</v>
      </c>
      <c r="H202" s="17" t="s">
        <v>1696</v>
      </c>
      <c r="I202" s="17" t="s">
        <v>414</v>
      </c>
      <c r="J202" s="17" t="s">
        <v>16</v>
      </c>
      <c r="K202" s="17" t="b">
        <v>0</v>
      </c>
      <c r="L202" s="17" t="s">
        <v>1697</v>
      </c>
      <c r="M202" s="21">
        <v>32405</v>
      </c>
      <c r="N202" s="17" t="s">
        <v>1698</v>
      </c>
      <c r="O202" s="17" t="s">
        <v>17</v>
      </c>
      <c r="P202" s="17" t="s">
        <v>18</v>
      </c>
      <c r="Q202" s="17">
        <v>13</v>
      </c>
      <c r="R202" s="17" t="s">
        <v>243</v>
      </c>
      <c r="S202" s="17">
        <v>46</v>
      </c>
      <c r="T202" s="17" t="s">
        <v>1630</v>
      </c>
      <c r="U202" s="21">
        <v>43983</v>
      </c>
      <c r="V202" s="17" t="s">
        <v>38</v>
      </c>
      <c r="W202" s="21">
        <v>1</v>
      </c>
      <c r="X202" s="17" t="s">
        <v>910</v>
      </c>
      <c r="Y202" s="17" t="s">
        <v>21</v>
      </c>
      <c r="Z202" s="17">
        <v>451700</v>
      </c>
      <c r="AA202" s="17" t="s">
        <v>245</v>
      </c>
      <c r="AB202" s="17" t="s">
        <v>443</v>
      </c>
      <c r="AC202" s="17">
        <v>0</v>
      </c>
      <c r="AD202" s="21">
        <v>45398</v>
      </c>
      <c r="AE202" s="21">
        <v>2</v>
      </c>
      <c r="AF202" s="17"/>
      <c r="AG202" s="21">
        <v>368</v>
      </c>
      <c r="AH202" s="17">
        <v>55447827</v>
      </c>
      <c r="AI202" s="21">
        <v>44075</v>
      </c>
      <c r="AJ202" s="17">
        <v>2707</v>
      </c>
      <c r="AK202" s="17">
        <v>0.29749999999999999</v>
      </c>
      <c r="AL202" s="17">
        <v>805.33</v>
      </c>
      <c r="AM202" s="17" t="b">
        <v>1</v>
      </c>
      <c r="AN202" s="17" t="b">
        <v>0</v>
      </c>
      <c r="AO202" s="21">
        <v>44146</v>
      </c>
      <c r="AP202" s="21">
        <v>44158</v>
      </c>
      <c r="AQ202" s="17" t="b">
        <v>0</v>
      </c>
      <c r="AR202" s="21">
        <v>45398</v>
      </c>
      <c r="AS202" s="21">
        <v>45398</v>
      </c>
      <c r="AT202" s="21">
        <v>43983</v>
      </c>
      <c r="AU202" s="17" t="b">
        <v>1</v>
      </c>
      <c r="AV202" s="21">
        <v>44075</v>
      </c>
      <c r="AW202" s="17" t="s">
        <v>257</v>
      </c>
      <c r="AX202" s="17" t="s">
        <v>257</v>
      </c>
      <c r="AY202" s="17" t="s">
        <v>414</v>
      </c>
      <c r="AZ202" s="17" t="s">
        <v>450</v>
      </c>
      <c r="BA202" s="21">
        <v>45398</v>
      </c>
      <c r="BB202" s="17">
        <v>0</v>
      </c>
      <c r="BC202" s="17"/>
      <c r="BD202" s="17" t="b">
        <v>0</v>
      </c>
      <c r="BE202" s="17" t="s">
        <v>2032</v>
      </c>
      <c r="BF202" s="21">
        <v>45398</v>
      </c>
      <c r="BG202" s="21">
        <v>45763</v>
      </c>
      <c r="BH202" s="17"/>
      <c r="BI202" s="21">
        <v>48001</v>
      </c>
      <c r="BJ202" s="17">
        <v>0</v>
      </c>
      <c r="BK202" s="17" t="s">
        <v>418</v>
      </c>
      <c r="BL202" s="17" t="s">
        <v>418</v>
      </c>
      <c r="BM202" s="17" t="b">
        <v>1</v>
      </c>
      <c r="BN202" s="17" t="b">
        <v>1</v>
      </c>
      <c r="BO202" s="17" t="b">
        <v>1</v>
      </c>
      <c r="BP202" s="17" t="b">
        <v>1</v>
      </c>
      <c r="BQ202" s="17" t="b">
        <v>1</v>
      </c>
      <c r="BR202" s="17" t="b">
        <v>1</v>
      </c>
      <c r="BS202" s="17" t="b">
        <v>1</v>
      </c>
      <c r="BT202" s="17" t="b">
        <v>1</v>
      </c>
      <c r="BU202" s="17" t="b">
        <v>1</v>
      </c>
      <c r="BV202" s="17">
        <v>0</v>
      </c>
      <c r="BW202" s="21">
        <v>44013</v>
      </c>
      <c r="BX202" s="17" t="s">
        <v>414</v>
      </c>
      <c r="BY202" s="17" t="s">
        <v>414</v>
      </c>
      <c r="BZ202" s="17">
        <v>0</v>
      </c>
      <c r="CA202" s="21">
        <v>45951</v>
      </c>
      <c r="CB202" s="17" t="s">
        <v>419</v>
      </c>
      <c r="CC202" s="17" t="s">
        <v>2255</v>
      </c>
      <c r="CD202" s="21"/>
      <c r="CE202" s="17"/>
      <c r="CF202" s="17" t="s">
        <v>1699</v>
      </c>
      <c r="CG202" s="17" t="b">
        <v>1</v>
      </c>
      <c r="CH202" s="17" t="s">
        <v>425</v>
      </c>
      <c r="CI202" s="17">
        <v>0</v>
      </c>
      <c r="CJ202" s="21">
        <v>45613</v>
      </c>
      <c r="CK202" s="21">
        <v>45878</v>
      </c>
      <c r="CL202" s="17" t="s">
        <v>414</v>
      </c>
      <c r="CM202" s="21">
        <v>1</v>
      </c>
      <c r="CN202" s="21">
        <v>1</v>
      </c>
      <c r="CO202" s="21">
        <v>1</v>
      </c>
      <c r="CP202" s="17" t="b">
        <v>0</v>
      </c>
      <c r="CQ202" s="17" t="b">
        <v>0</v>
      </c>
      <c r="CR202" s="17" t="b">
        <v>0</v>
      </c>
      <c r="CS202">
        <v>7200</v>
      </c>
      <c r="CT202" t="s">
        <v>1914</v>
      </c>
      <c r="CU202">
        <v>5538.46</v>
      </c>
      <c r="CV202">
        <v>1661.54</v>
      </c>
      <c r="CW202" s="22"/>
    </row>
    <row r="203" spans="1:101" x14ac:dyDescent="0.25">
      <c r="A203" s="20">
        <v>1031</v>
      </c>
      <c r="B203" s="17" t="s">
        <v>426</v>
      </c>
      <c r="C203" s="17" t="s">
        <v>1700</v>
      </c>
      <c r="D203" s="17" t="s">
        <v>258</v>
      </c>
      <c r="E203" s="17" t="s">
        <v>1701</v>
      </c>
      <c r="F203" s="17" t="s">
        <v>1702</v>
      </c>
      <c r="G203" s="17" t="s">
        <v>414</v>
      </c>
      <c r="H203" s="17" t="s">
        <v>1703</v>
      </c>
      <c r="I203" s="17" t="s">
        <v>414</v>
      </c>
      <c r="J203" s="17" t="s">
        <v>16</v>
      </c>
      <c r="K203" s="17" t="b">
        <v>0</v>
      </c>
      <c r="L203" s="17" t="s">
        <v>1704</v>
      </c>
      <c r="M203" s="21">
        <v>32530</v>
      </c>
      <c r="N203" s="17" t="s">
        <v>414</v>
      </c>
      <c r="O203" s="17" t="s">
        <v>17</v>
      </c>
      <c r="P203" s="17" t="s">
        <v>18</v>
      </c>
      <c r="Q203" s="17">
        <v>13</v>
      </c>
      <c r="R203" s="17" t="s">
        <v>243</v>
      </c>
      <c r="S203" s="17">
        <v>46</v>
      </c>
      <c r="T203" s="17" t="s">
        <v>1630</v>
      </c>
      <c r="U203" s="21">
        <v>43160</v>
      </c>
      <c r="V203" s="17" t="s">
        <v>38</v>
      </c>
      <c r="W203" s="21">
        <v>1.28125</v>
      </c>
      <c r="X203" s="17" t="s">
        <v>1614</v>
      </c>
      <c r="Y203" s="17" t="s">
        <v>21</v>
      </c>
      <c r="Z203" s="17">
        <v>451700</v>
      </c>
      <c r="AA203" s="17" t="s">
        <v>245</v>
      </c>
      <c r="AB203" s="17" t="s">
        <v>418</v>
      </c>
      <c r="AC203" s="17">
        <v>66</v>
      </c>
      <c r="AD203" s="21">
        <v>43488</v>
      </c>
      <c r="AE203" s="21">
        <v>45389</v>
      </c>
      <c r="AF203" s="17"/>
      <c r="AG203" s="21">
        <v>45754</v>
      </c>
      <c r="AH203" s="17">
        <v>21792556</v>
      </c>
      <c r="AI203" s="21">
        <v>43160</v>
      </c>
      <c r="AJ203" s="17">
        <v>2707</v>
      </c>
      <c r="AK203" s="17">
        <v>0.29749999999999999</v>
      </c>
      <c r="AL203" s="17">
        <v>805.33</v>
      </c>
      <c r="AM203" s="17" t="b">
        <v>1</v>
      </c>
      <c r="AN203" s="17" t="b">
        <v>0</v>
      </c>
      <c r="AO203" s="21">
        <v>45398</v>
      </c>
      <c r="AP203" s="21">
        <v>45398</v>
      </c>
      <c r="AQ203" s="17" t="b">
        <v>0</v>
      </c>
      <c r="AR203" s="21">
        <v>45398</v>
      </c>
      <c r="AS203" s="21">
        <v>45398</v>
      </c>
      <c r="AT203" s="21">
        <v>43070</v>
      </c>
      <c r="AU203" s="17" t="b">
        <v>1</v>
      </c>
      <c r="AV203" s="21">
        <v>43252</v>
      </c>
      <c r="AW203" s="17" t="s">
        <v>23</v>
      </c>
      <c r="AX203" s="17" t="s">
        <v>41</v>
      </c>
      <c r="AY203" s="17" t="s">
        <v>414</v>
      </c>
      <c r="AZ203" s="17" t="s">
        <v>414</v>
      </c>
      <c r="BA203" s="21">
        <v>45398</v>
      </c>
      <c r="BB203" s="17">
        <v>0</v>
      </c>
      <c r="BC203" s="17"/>
      <c r="BD203" s="17" t="b">
        <v>0</v>
      </c>
      <c r="BE203" s="17" t="s">
        <v>2256</v>
      </c>
      <c r="BF203" s="21">
        <v>45398</v>
      </c>
      <c r="BG203" s="21">
        <v>45763</v>
      </c>
      <c r="BH203" s="17"/>
      <c r="BI203" s="21">
        <v>45616</v>
      </c>
      <c r="BJ203" s="17">
        <v>0</v>
      </c>
      <c r="BK203" s="17" t="s">
        <v>418</v>
      </c>
      <c r="BL203" s="17" t="s">
        <v>418</v>
      </c>
      <c r="BM203" s="17" t="b">
        <v>1</v>
      </c>
      <c r="BN203" s="17" t="b">
        <v>0</v>
      </c>
      <c r="BO203" s="17" t="b">
        <v>1</v>
      </c>
      <c r="BP203" s="17" t="b">
        <v>1</v>
      </c>
      <c r="BQ203" s="17" t="b">
        <v>1</v>
      </c>
      <c r="BR203" s="17" t="b">
        <v>1</v>
      </c>
      <c r="BS203" s="17" t="b">
        <v>1</v>
      </c>
      <c r="BT203" s="17" t="b">
        <v>1</v>
      </c>
      <c r="BU203" s="17" t="b">
        <v>1</v>
      </c>
      <c r="BV203" s="17">
        <v>0</v>
      </c>
      <c r="BW203" s="21">
        <v>43191</v>
      </c>
      <c r="BX203" s="17" t="s">
        <v>414</v>
      </c>
      <c r="BY203" s="17" t="s">
        <v>414</v>
      </c>
      <c r="BZ203" s="17">
        <v>0</v>
      </c>
      <c r="CA203" s="21">
        <v>45951</v>
      </c>
      <c r="CB203" s="17" t="s">
        <v>419</v>
      </c>
      <c r="CC203" s="17" t="s">
        <v>2257</v>
      </c>
      <c r="CD203" s="21"/>
      <c r="CE203" s="17"/>
      <c r="CF203" s="17" t="s">
        <v>1705</v>
      </c>
      <c r="CG203" s="17" t="b">
        <v>1</v>
      </c>
      <c r="CH203" s="17" t="s">
        <v>425</v>
      </c>
      <c r="CI203" s="17">
        <v>0</v>
      </c>
      <c r="CJ203" s="21">
        <v>45601</v>
      </c>
      <c r="CK203" s="21">
        <v>45907</v>
      </c>
      <c r="CL203" s="17" t="s">
        <v>414</v>
      </c>
      <c r="CM203" s="21">
        <v>1</v>
      </c>
      <c r="CN203" s="21">
        <v>1</v>
      </c>
      <c r="CO203" s="21">
        <v>1</v>
      </c>
      <c r="CP203" s="17" t="b">
        <v>0</v>
      </c>
      <c r="CQ203" s="17" t="b">
        <v>0</v>
      </c>
      <c r="CR203" s="17" t="b">
        <v>0</v>
      </c>
      <c r="CS203">
        <v>7200</v>
      </c>
      <c r="CT203" t="s">
        <v>1914</v>
      </c>
      <c r="CU203">
        <v>5538.46</v>
      </c>
      <c r="CV203">
        <v>1661.54</v>
      </c>
      <c r="CW203" s="22"/>
    </row>
    <row r="204" spans="1:101" x14ac:dyDescent="0.25">
      <c r="A204" s="20">
        <v>1034</v>
      </c>
      <c r="B204" s="17" t="s">
        <v>426</v>
      </c>
      <c r="C204" s="17" t="s">
        <v>532</v>
      </c>
      <c r="D204" s="17" t="s">
        <v>259</v>
      </c>
      <c r="E204" s="17" t="s">
        <v>1706</v>
      </c>
      <c r="F204" s="17" t="s">
        <v>1707</v>
      </c>
      <c r="G204" s="17" t="s">
        <v>414</v>
      </c>
      <c r="H204" s="17" t="s">
        <v>1708</v>
      </c>
      <c r="I204" s="17" t="s">
        <v>414</v>
      </c>
      <c r="J204" s="17" t="s">
        <v>16</v>
      </c>
      <c r="K204" s="17" t="b">
        <v>0</v>
      </c>
      <c r="L204" s="17" t="s">
        <v>1709</v>
      </c>
      <c r="M204" s="21">
        <v>34335</v>
      </c>
      <c r="N204" s="17" t="s">
        <v>414</v>
      </c>
      <c r="O204" s="17" t="s">
        <v>17</v>
      </c>
      <c r="P204" s="17" t="s">
        <v>18</v>
      </c>
      <c r="Q204" s="17">
        <v>13</v>
      </c>
      <c r="R204" s="17" t="s">
        <v>243</v>
      </c>
      <c r="S204" s="17">
        <v>46</v>
      </c>
      <c r="T204" s="17" t="s">
        <v>1630</v>
      </c>
      <c r="U204" s="21">
        <v>42611</v>
      </c>
      <c r="V204" s="17" t="s">
        <v>61</v>
      </c>
      <c r="W204" s="21">
        <v>1.2881944444444446</v>
      </c>
      <c r="X204" s="17" t="s">
        <v>442</v>
      </c>
      <c r="Y204" s="17" t="s">
        <v>21</v>
      </c>
      <c r="Z204" s="17">
        <v>949900</v>
      </c>
      <c r="AA204" s="17" t="s">
        <v>22</v>
      </c>
      <c r="AB204" s="17" t="s">
        <v>418</v>
      </c>
      <c r="AC204" s="17">
        <v>153</v>
      </c>
      <c r="AD204" s="21">
        <v>44705</v>
      </c>
      <c r="AE204" s="21">
        <v>45077</v>
      </c>
      <c r="AF204" s="17"/>
      <c r="AG204" s="21">
        <v>45443</v>
      </c>
      <c r="AH204" s="17">
        <v>74053453</v>
      </c>
      <c r="AI204" s="21">
        <v>42611</v>
      </c>
      <c r="AJ204" s="17">
        <v>2707</v>
      </c>
      <c r="AK204" s="17">
        <v>0.29749999999999999</v>
      </c>
      <c r="AL204" s="17">
        <v>805.33</v>
      </c>
      <c r="AM204" s="17" t="b">
        <v>0</v>
      </c>
      <c r="AN204" s="17" t="b">
        <v>0</v>
      </c>
      <c r="AO204" s="21">
        <v>45398</v>
      </c>
      <c r="AP204" s="21">
        <v>45398</v>
      </c>
      <c r="AQ204" s="17" t="b">
        <v>0</v>
      </c>
      <c r="AR204" s="21">
        <v>45398</v>
      </c>
      <c r="AS204" s="21">
        <v>45398</v>
      </c>
      <c r="AT204" s="21">
        <v>42519</v>
      </c>
      <c r="AU204" s="17" t="b">
        <v>1</v>
      </c>
      <c r="AV204" s="21">
        <v>42703</v>
      </c>
      <c r="AW204" s="17" t="s">
        <v>23</v>
      </c>
      <c r="AX204" s="17" t="s">
        <v>41</v>
      </c>
      <c r="AY204" s="17" t="s">
        <v>23</v>
      </c>
      <c r="AZ204" s="17" t="s">
        <v>414</v>
      </c>
      <c r="BA204" s="21">
        <v>45398</v>
      </c>
      <c r="BB204" s="17">
        <v>0</v>
      </c>
      <c r="BC204" s="17"/>
      <c r="BD204" s="17" t="b">
        <v>0</v>
      </c>
      <c r="BE204" s="17" t="s">
        <v>2258</v>
      </c>
      <c r="BF204" s="21">
        <v>45398</v>
      </c>
      <c r="BG204" s="21">
        <v>45763</v>
      </c>
      <c r="BH204" s="17"/>
      <c r="BI204" s="21">
        <v>46922</v>
      </c>
      <c r="BJ204" s="17">
        <v>0</v>
      </c>
      <c r="BK204" s="17" t="s">
        <v>418</v>
      </c>
      <c r="BL204" s="17" t="s">
        <v>418</v>
      </c>
      <c r="BM204" s="17" t="b">
        <v>1</v>
      </c>
      <c r="BN204" s="17" t="b">
        <v>0</v>
      </c>
      <c r="BO204" s="17" t="b">
        <v>1</v>
      </c>
      <c r="BP204" s="17" t="b">
        <v>1</v>
      </c>
      <c r="BQ204" s="17" t="b">
        <v>0</v>
      </c>
      <c r="BR204" s="17" t="b">
        <v>1</v>
      </c>
      <c r="BS204" s="17" t="b">
        <v>1</v>
      </c>
      <c r="BT204" s="17" t="b">
        <v>1</v>
      </c>
      <c r="BU204" s="17" t="b">
        <v>1</v>
      </c>
      <c r="BV204" s="17">
        <v>0</v>
      </c>
      <c r="BW204" s="21">
        <v>42642</v>
      </c>
      <c r="BX204" s="17" t="s">
        <v>414</v>
      </c>
      <c r="BY204" s="17" t="s">
        <v>414</v>
      </c>
      <c r="BZ204" s="17">
        <v>0</v>
      </c>
      <c r="CA204" s="21">
        <v>45951</v>
      </c>
      <c r="CB204" s="17" t="s">
        <v>419</v>
      </c>
      <c r="CC204" s="17" t="s">
        <v>1946</v>
      </c>
      <c r="CD204" s="21"/>
      <c r="CE204" s="17"/>
      <c r="CF204" s="17" t="s">
        <v>1710</v>
      </c>
      <c r="CG204" s="17" t="b">
        <v>1</v>
      </c>
      <c r="CH204" s="17" t="s">
        <v>610</v>
      </c>
      <c r="CI204" s="17">
        <v>0</v>
      </c>
      <c r="CJ204" s="21">
        <v>45694</v>
      </c>
      <c r="CK204" s="21">
        <v>45876</v>
      </c>
      <c r="CL204" s="17" t="s">
        <v>414</v>
      </c>
      <c r="CM204" s="21">
        <v>1</v>
      </c>
      <c r="CN204" s="21">
        <v>1</v>
      </c>
      <c r="CO204" s="21">
        <v>1</v>
      </c>
      <c r="CP204" s="17" t="b">
        <v>0</v>
      </c>
      <c r="CQ204" s="17" t="b">
        <v>0</v>
      </c>
      <c r="CR204" s="17" t="b">
        <v>0</v>
      </c>
      <c r="CS204">
        <v>7200</v>
      </c>
      <c r="CT204" t="s">
        <v>1914</v>
      </c>
      <c r="CU204">
        <v>5538.46</v>
      </c>
      <c r="CV204">
        <v>1661.54</v>
      </c>
      <c r="CW204" s="22"/>
    </row>
    <row r="205" spans="1:101" x14ac:dyDescent="0.25">
      <c r="A205" s="20">
        <v>1035</v>
      </c>
      <c r="B205" s="17" t="s">
        <v>426</v>
      </c>
      <c r="C205" s="17" t="s">
        <v>530</v>
      </c>
      <c r="D205" s="17" t="s">
        <v>260</v>
      </c>
      <c r="E205" s="17" t="s">
        <v>1711</v>
      </c>
      <c r="F205" s="17" t="s">
        <v>1712</v>
      </c>
      <c r="G205" s="17" t="s">
        <v>414</v>
      </c>
      <c r="H205" s="17" t="s">
        <v>1713</v>
      </c>
      <c r="I205" s="17" t="s">
        <v>414</v>
      </c>
      <c r="J205" s="17" t="s">
        <v>16</v>
      </c>
      <c r="K205" s="17" t="b">
        <v>0</v>
      </c>
      <c r="L205" s="17" t="s">
        <v>1714</v>
      </c>
      <c r="M205" s="21">
        <v>26207</v>
      </c>
      <c r="N205" s="17" t="s">
        <v>414</v>
      </c>
      <c r="O205" s="17" t="s">
        <v>17</v>
      </c>
      <c r="P205" s="17" t="s">
        <v>18</v>
      </c>
      <c r="Q205" s="17">
        <v>13</v>
      </c>
      <c r="R205" s="17" t="s">
        <v>243</v>
      </c>
      <c r="S205" s="17">
        <v>46</v>
      </c>
      <c r="T205" s="17" t="s">
        <v>1630</v>
      </c>
      <c r="U205" s="21">
        <v>42288</v>
      </c>
      <c r="V205" s="17" t="s">
        <v>61</v>
      </c>
      <c r="W205" s="21">
        <v>1.2847222222222223</v>
      </c>
      <c r="X205" s="17" t="s">
        <v>1715</v>
      </c>
      <c r="Y205" s="17" t="s">
        <v>21</v>
      </c>
      <c r="Z205" s="17">
        <v>949900</v>
      </c>
      <c r="AA205" s="17" t="s">
        <v>22</v>
      </c>
      <c r="AB205" s="17" t="s">
        <v>418</v>
      </c>
      <c r="AC205" s="17">
        <v>34</v>
      </c>
      <c r="AD205" s="21">
        <v>42898</v>
      </c>
      <c r="AE205" s="21">
        <v>45403</v>
      </c>
      <c r="AF205" s="17"/>
      <c r="AG205" s="21">
        <v>45768</v>
      </c>
      <c r="AH205" s="17">
        <v>8344258</v>
      </c>
      <c r="AI205" s="21">
        <v>42288</v>
      </c>
      <c r="AJ205" s="17">
        <v>2707</v>
      </c>
      <c r="AK205" s="17">
        <v>0.29749999999999999</v>
      </c>
      <c r="AL205" s="17">
        <v>805.33</v>
      </c>
      <c r="AM205" s="17" t="b">
        <v>1</v>
      </c>
      <c r="AN205" s="17" t="b">
        <v>0</v>
      </c>
      <c r="AO205" s="21">
        <v>45398</v>
      </c>
      <c r="AP205" s="21">
        <v>45398</v>
      </c>
      <c r="AQ205" s="17" t="b">
        <v>0</v>
      </c>
      <c r="AR205" s="21">
        <v>45398</v>
      </c>
      <c r="AS205" s="21">
        <v>45398</v>
      </c>
      <c r="AT205" s="21">
        <v>42196</v>
      </c>
      <c r="AU205" s="17" t="b">
        <v>1</v>
      </c>
      <c r="AV205" s="21">
        <v>42380</v>
      </c>
      <c r="AW205" s="17" t="s">
        <v>27</v>
      </c>
      <c r="AX205" s="17" t="s">
        <v>27</v>
      </c>
      <c r="AY205" s="17" t="s">
        <v>23</v>
      </c>
      <c r="AZ205" s="17" t="s">
        <v>450</v>
      </c>
      <c r="BA205" s="21">
        <v>45398</v>
      </c>
      <c r="BB205" s="17">
        <v>0</v>
      </c>
      <c r="BC205" s="17"/>
      <c r="BD205" s="17" t="b">
        <v>0</v>
      </c>
      <c r="BE205" s="17" t="s">
        <v>2259</v>
      </c>
      <c r="BF205" s="21">
        <v>45398</v>
      </c>
      <c r="BG205" s="21">
        <v>45763</v>
      </c>
      <c r="BH205" s="17"/>
      <c r="BI205" s="21">
        <v>46029</v>
      </c>
      <c r="BJ205" s="17">
        <v>0</v>
      </c>
      <c r="BK205" s="17" t="s">
        <v>418</v>
      </c>
      <c r="BL205" s="17" t="s">
        <v>443</v>
      </c>
      <c r="BM205" s="17" t="b">
        <v>1</v>
      </c>
      <c r="BN205" s="17" t="b">
        <v>0</v>
      </c>
      <c r="BO205" s="17" t="b">
        <v>1</v>
      </c>
      <c r="BP205" s="17" t="b">
        <v>1</v>
      </c>
      <c r="BQ205" s="17" t="b">
        <v>1</v>
      </c>
      <c r="BR205" s="17" t="b">
        <v>0</v>
      </c>
      <c r="BS205" s="17" t="b">
        <v>1</v>
      </c>
      <c r="BT205" s="17" t="b">
        <v>1</v>
      </c>
      <c r="BU205" s="17" t="b">
        <v>0</v>
      </c>
      <c r="BV205" s="17">
        <v>0</v>
      </c>
      <c r="BW205" s="21">
        <v>42319</v>
      </c>
      <c r="BX205" s="17" t="s">
        <v>414</v>
      </c>
      <c r="BY205" s="17" t="s">
        <v>414</v>
      </c>
      <c r="BZ205" s="17">
        <v>0</v>
      </c>
      <c r="CA205" s="21">
        <v>45951</v>
      </c>
      <c r="CB205" s="17" t="s">
        <v>419</v>
      </c>
      <c r="CC205" s="17" t="s">
        <v>2260</v>
      </c>
      <c r="CD205" s="21"/>
      <c r="CE205" s="17"/>
      <c r="CF205" s="17" t="s">
        <v>1716</v>
      </c>
      <c r="CG205" s="17" t="b">
        <v>1</v>
      </c>
      <c r="CH205" s="17" t="s">
        <v>425</v>
      </c>
      <c r="CI205" s="17">
        <v>0</v>
      </c>
      <c r="CJ205" s="21">
        <v>45603</v>
      </c>
      <c r="CK205" s="21">
        <v>45878</v>
      </c>
      <c r="CL205" s="17" t="s">
        <v>414</v>
      </c>
      <c r="CM205" s="21">
        <v>1</v>
      </c>
      <c r="CN205" s="21">
        <v>1</v>
      </c>
      <c r="CO205" s="21">
        <v>1</v>
      </c>
      <c r="CP205" s="17" t="b">
        <v>0</v>
      </c>
      <c r="CQ205" s="17" t="b">
        <v>0</v>
      </c>
      <c r="CR205" s="17" t="b">
        <v>0</v>
      </c>
      <c r="CS205">
        <v>7200</v>
      </c>
      <c r="CT205" t="s">
        <v>1914</v>
      </c>
      <c r="CU205">
        <v>5538.46</v>
      </c>
      <c r="CV205">
        <v>1661.54</v>
      </c>
      <c r="CW205" s="22"/>
    </row>
    <row r="206" spans="1:101" x14ac:dyDescent="0.25">
      <c r="A206" s="20">
        <v>1039</v>
      </c>
      <c r="B206" s="17" t="s">
        <v>411</v>
      </c>
      <c r="C206" s="17" t="s">
        <v>420</v>
      </c>
      <c r="D206" s="17" t="s">
        <v>261</v>
      </c>
      <c r="E206" s="17" t="s">
        <v>1717</v>
      </c>
      <c r="F206" s="17" t="s">
        <v>1718</v>
      </c>
      <c r="G206" s="17" t="s">
        <v>414</v>
      </c>
      <c r="H206" s="17" t="s">
        <v>1719</v>
      </c>
      <c r="I206" s="17" t="s">
        <v>414</v>
      </c>
      <c r="J206" s="17" t="s">
        <v>16</v>
      </c>
      <c r="K206" s="17" t="b">
        <v>0</v>
      </c>
      <c r="L206" s="17" t="s">
        <v>1720</v>
      </c>
      <c r="M206" s="21">
        <v>35084</v>
      </c>
      <c r="N206" s="17" t="s">
        <v>555</v>
      </c>
      <c r="O206" s="17" t="s">
        <v>17</v>
      </c>
      <c r="P206" s="17" t="s">
        <v>18</v>
      </c>
      <c r="Q206" s="17">
        <v>13</v>
      </c>
      <c r="R206" s="17" t="s">
        <v>243</v>
      </c>
      <c r="S206" s="17">
        <v>46</v>
      </c>
      <c r="T206" s="17" t="s">
        <v>1630</v>
      </c>
      <c r="U206" s="21">
        <v>43344</v>
      </c>
      <c r="V206" s="17" t="s">
        <v>29</v>
      </c>
      <c r="W206" s="21">
        <v>1.25</v>
      </c>
      <c r="X206" s="17" t="s">
        <v>29</v>
      </c>
      <c r="Y206" s="17" t="s">
        <v>21</v>
      </c>
      <c r="Z206" s="17">
        <v>451700</v>
      </c>
      <c r="AA206" s="17" t="s">
        <v>245</v>
      </c>
      <c r="AB206" s="17" t="s">
        <v>443</v>
      </c>
      <c r="AC206" s="17">
        <v>0</v>
      </c>
      <c r="AD206" s="21">
        <v>45398</v>
      </c>
      <c r="AE206" s="21">
        <v>2</v>
      </c>
      <c r="AF206" s="17"/>
      <c r="AG206" s="21">
        <v>368</v>
      </c>
      <c r="AH206" s="17">
        <v>76786503</v>
      </c>
      <c r="AI206" s="21">
        <v>45055</v>
      </c>
      <c r="AJ206" s="17">
        <v>2693</v>
      </c>
      <c r="AK206" s="17">
        <v>0.29749999999999999</v>
      </c>
      <c r="AL206" s="17">
        <v>801.17</v>
      </c>
      <c r="AM206" s="17" t="b">
        <v>1</v>
      </c>
      <c r="AN206" s="17" t="b">
        <v>0</v>
      </c>
      <c r="AO206" s="21">
        <v>45063</v>
      </c>
      <c r="AP206" s="21">
        <v>45069</v>
      </c>
      <c r="AQ206" s="17" t="b">
        <v>0</v>
      </c>
      <c r="AR206" s="21">
        <v>45398</v>
      </c>
      <c r="AS206" s="21">
        <v>45398</v>
      </c>
      <c r="AT206" s="21">
        <v>44966</v>
      </c>
      <c r="AU206" s="17" t="b">
        <v>1</v>
      </c>
      <c r="AV206" s="21">
        <v>43435</v>
      </c>
      <c r="AW206" s="17" t="s">
        <v>23</v>
      </c>
      <c r="AX206" s="17" t="s">
        <v>23</v>
      </c>
      <c r="AY206" s="17" t="s">
        <v>23</v>
      </c>
      <c r="AZ206" s="17" t="s">
        <v>450</v>
      </c>
      <c r="BA206" s="21">
        <v>45398</v>
      </c>
      <c r="BB206" s="17">
        <v>15124</v>
      </c>
      <c r="BC206" s="17"/>
      <c r="BD206" s="17" t="b">
        <v>0</v>
      </c>
      <c r="BE206" s="17" t="s">
        <v>1996</v>
      </c>
      <c r="BF206" s="21">
        <v>45398</v>
      </c>
      <c r="BG206" s="21">
        <v>45763</v>
      </c>
      <c r="BH206" s="17"/>
      <c r="BI206" s="21">
        <v>47136</v>
      </c>
      <c r="BJ206" s="17">
        <v>0</v>
      </c>
      <c r="BK206" s="17" t="s">
        <v>423</v>
      </c>
      <c r="BL206" s="17" t="s">
        <v>459</v>
      </c>
      <c r="BM206" s="17" t="b">
        <v>1</v>
      </c>
      <c r="BN206" s="17" t="b">
        <v>1</v>
      </c>
      <c r="BO206" s="17" t="b">
        <v>1</v>
      </c>
      <c r="BP206" s="17" t="b">
        <v>1</v>
      </c>
      <c r="BQ206" s="17" t="b">
        <v>1</v>
      </c>
      <c r="BR206" s="17" t="b">
        <v>0</v>
      </c>
      <c r="BS206" s="17" t="b">
        <v>1</v>
      </c>
      <c r="BT206" s="17" t="b">
        <v>1</v>
      </c>
      <c r="BU206" s="17" t="b">
        <v>1</v>
      </c>
      <c r="BV206" s="17">
        <v>0</v>
      </c>
      <c r="BW206" s="21">
        <v>43374</v>
      </c>
      <c r="BX206" s="17" t="s">
        <v>414</v>
      </c>
      <c r="BY206" s="17" t="s">
        <v>414</v>
      </c>
      <c r="BZ206" s="17">
        <v>0</v>
      </c>
      <c r="CA206" s="21">
        <v>45951</v>
      </c>
      <c r="CB206" s="17" t="s">
        <v>419</v>
      </c>
      <c r="CC206" s="17" t="s">
        <v>2261</v>
      </c>
      <c r="CD206" s="21"/>
      <c r="CE206" s="17"/>
      <c r="CF206" s="17" t="s">
        <v>414</v>
      </c>
      <c r="CG206" s="17" t="b">
        <v>1</v>
      </c>
      <c r="CH206" s="17" t="s">
        <v>425</v>
      </c>
      <c r="CI206" s="17">
        <v>0</v>
      </c>
      <c r="CJ206" s="21">
        <v>45606</v>
      </c>
      <c r="CK206" s="21">
        <v>45878</v>
      </c>
      <c r="CL206" s="17" t="s">
        <v>414</v>
      </c>
      <c r="CM206" s="21">
        <v>1</v>
      </c>
      <c r="CN206" s="21">
        <v>1</v>
      </c>
      <c r="CO206" s="21">
        <v>1</v>
      </c>
      <c r="CP206" s="17" t="b">
        <v>0</v>
      </c>
      <c r="CQ206" s="17" t="b">
        <v>0</v>
      </c>
      <c r="CR206" s="17" t="b">
        <v>0</v>
      </c>
      <c r="CS206">
        <v>7200</v>
      </c>
      <c r="CT206" t="s">
        <v>1914</v>
      </c>
      <c r="CU206">
        <v>5538.46</v>
      </c>
      <c r="CV206">
        <v>1661.54</v>
      </c>
      <c r="CW206" s="22"/>
    </row>
    <row r="207" spans="1:101" x14ac:dyDescent="0.25">
      <c r="A207" s="20">
        <v>1040</v>
      </c>
      <c r="B207" s="17" t="s">
        <v>426</v>
      </c>
      <c r="C207" s="17" t="s">
        <v>1222</v>
      </c>
      <c r="D207" s="17" t="s">
        <v>262</v>
      </c>
      <c r="E207" s="17" t="s">
        <v>1721</v>
      </c>
      <c r="F207" s="17" t="s">
        <v>1722</v>
      </c>
      <c r="G207" s="17" t="s">
        <v>414</v>
      </c>
      <c r="H207" s="17" t="s">
        <v>1723</v>
      </c>
      <c r="I207" s="17" t="s">
        <v>414</v>
      </c>
      <c r="J207" s="17" t="s">
        <v>16</v>
      </c>
      <c r="K207" s="17" t="b">
        <v>0</v>
      </c>
      <c r="L207" s="17" t="s">
        <v>1724</v>
      </c>
      <c r="M207" s="21">
        <v>33143</v>
      </c>
      <c r="N207" s="17" t="s">
        <v>414</v>
      </c>
      <c r="O207" s="17" t="s">
        <v>17</v>
      </c>
      <c r="P207" s="17" t="s">
        <v>18</v>
      </c>
      <c r="Q207" s="17">
        <v>13</v>
      </c>
      <c r="R207" s="17" t="s">
        <v>243</v>
      </c>
      <c r="S207" s="17">
        <v>48</v>
      </c>
      <c r="T207" s="17" t="s">
        <v>1725</v>
      </c>
      <c r="U207" s="21">
        <v>41470</v>
      </c>
      <c r="V207" s="17" t="s">
        <v>155</v>
      </c>
      <c r="W207" s="21">
        <v>1</v>
      </c>
      <c r="X207" s="17" t="s">
        <v>417</v>
      </c>
      <c r="Y207" s="17" t="s">
        <v>21</v>
      </c>
      <c r="Z207" s="17">
        <v>212720</v>
      </c>
      <c r="AA207" s="17" t="s">
        <v>263</v>
      </c>
      <c r="AB207" s="17" t="s">
        <v>418</v>
      </c>
      <c r="AC207" s="17">
        <v>12</v>
      </c>
      <c r="AD207" s="21">
        <v>42882</v>
      </c>
      <c r="AE207" s="21">
        <v>45012</v>
      </c>
      <c r="AF207" s="17"/>
      <c r="AG207" s="21">
        <v>45378</v>
      </c>
      <c r="AH207" s="17">
        <v>68488622</v>
      </c>
      <c r="AI207" s="21">
        <v>41532</v>
      </c>
      <c r="AJ207" s="17">
        <v>3015</v>
      </c>
      <c r="AK207" s="17">
        <v>0.29749999999999999</v>
      </c>
      <c r="AL207" s="17">
        <v>896.96</v>
      </c>
      <c r="AM207" s="17" t="b">
        <v>1</v>
      </c>
      <c r="AN207" s="17" t="b">
        <v>0</v>
      </c>
      <c r="AO207" s="21">
        <v>45398</v>
      </c>
      <c r="AP207" s="21">
        <v>45398</v>
      </c>
      <c r="AQ207" s="17" t="b">
        <v>0</v>
      </c>
      <c r="AR207" s="21">
        <v>45398</v>
      </c>
      <c r="AS207" s="21">
        <v>45398</v>
      </c>
      <c r="AT207" s="21">
        <v>41440</v>
      </c>
      <c r="AU207" s="17" t="b">
        <v>1</v>
      </c>
      <c r="AV207" s="21">
        <v>41562</v>
      </c>
      <c r="AW207" s="17" t="s">
        <v>101</v>
      </c>
      <c r="AX207" s="17" t="s">
        <v>101</v>
      </c>
      <c r="AY207" s="17" t="s">
        <v>414</v>
      </c>
      <c r="AZ207" s="17" t="s">
        <v>450</v>
      </c>
      <c r="BA207" s="21">
        <v>45398</v>
      </c>
      <c r="BB207" s="17">
        <v>0</v>
      </c>
      <c r="BC207" s="17"/>
      <c r="BD207" s="17" t="b">
        <v>0</v>
      </c>
      <c r="BE207" s="17" t="s">
        <v>2262</v>
      </c>
      <c r="BF207" s="21">
        <v>45398</v>
      </c>
      <c r="BG207" s="21">
        <v>45763</v>
      </c>
      <c r="BH207" s="17"/>
      <c r="BI207" s="21">
        <v>47338</v>
      </c>
      <c r="BJ207" s="17">
        <v>0</v>
      </c>
      <c r="BK207" s="17" t="s">
        <v>443</v>
      </c>
      <c r="BL207" s="17" t="s">
        <v>443</v>
      </c>
      <c r="BM207" s="17" t="b">
        <v>0</v>
      </c>
      <c r="BN207" s="17" t="b">
        <v>1</v>
      </c>
      <c r="BO207" s="17" t="b">
        <v>1</v>
      </c>
      <c r="BP207" s="17" t="b">
        <v>0</v>
      </c>
      <c r="BQ207" s="17" t="b">
        <v>0</v>
      </c>
      <c r="BR207" s="17" t="b">
        <v>0</v>
      </c>
      <c r="BS207" s="17" t="b">
        <v>0</v>
      </c>
      <c r="BT207" s="17" t="b">
        <v>1</v>
      </c>
      <c r="BU207" s="17" t="b">
        <v>0</v>
      </c>
      <c r="BV207" s="17">
        <v>0</v>
      </c>
      <c r="BW207" s="21">
        <v>41501</v>
      </c>
      <c r="BX207" s="17" t="s">
        <v>414</v>
      </c>
      <c r="BY207" s="17" t="s">
        <v>414</v>
      </c>
      <c r="BZ207" s="17">
        <v>0</v>
      </c>
      <c r="CA207" s="21">
        <v>45959</v>
      </c>
      <c r="CB207" s="17" t="s">
        <v>419</v>
      </c>
      <c r="CC207" s="17" t="s">
        <v>2263</v>
      </c>
      <c r="CD207" s="21"/>
      <c r="CE207" s="17"/>
      <c r="CF207" s="17" t="s">
        <v>1726</v>
      </c>
      <c r="CG207" s="17" t="b">
        <v>1</v>
      </c>
      <c r="CH207" s="17" t="s">
        <v>425</v>
      </c>
      <c r="CI207" s="17">
        <v>0</v>
      </c>
      <c r="CJ207" s="21">
        <v>45608</v>
      </c>
      <c r="CK207" s="21">
        <v>45878</v>
      </c>
      <c r="CL207" s="17" t="s">
        <v>414</v>
      </c>
      <c r="CM207" s="21">
        <v>1</v>
      </c>
      <c r="CN207" s="21">
        <v>1</v>
      </c>
      <c r="CO207" s="21">
        <v>1</v>
      </c>
      <c r="CP207" s="17" t="b">
        <v>0</v>
      </c>
      <c r="CQ207" s="17" t="b">
        <v>0</v>
      </c>
      <c r="CR207" s="17" t="b">
        <v>0</v>
      </c>
      <c r="CS207">
        <v>8500</v>
      </c>
      <c r="CT207" t="s">
        <v>1979</v>
      </c>
      <c r="CU207">
        <v>6538.46</v>
      </c>
      <c r="CV207">
        <v>1961.54</v>
      </c>
      <c r="CW207" s="22"/>
    </row>
    <row r="208" spans="1:101" x14ac:dyDescent="0.25">
      <c r="A208" s="20">
        <v>1053</v>
      </c>
      <c r="B208" s="17" t="s">
        <v>530</v>
      </c>
      <c r="C208" s="17" t="s">
        <v>619</v>
      </c>
      <c r="D208" s="17" t="s">
        <v>264</v>
      </c>
      <c r="E208" s="17" t="s">
        <v>1727</v>
      </c>
      <c r="F208" s="17" t="s">
        <v>1728</v>
      </c>
      <c r="G208" s="17" t="s">
        <v>414</v>
      </c>
      <c r="H208" s="17" t="s">
        <v>1729</v>
      </c>
      <c r="I208" s="17" t="s">
        <v>414</v>
      </c>
      <c r="J208" s="17" t="s">
        <v>16</v>
      </c>
      <c r="K208" s="17" t="b">
        <v>0</v>
      </c>
      <c r="L208" s="17" t="s">
        <v>1730</v>
      </c>
      <c r="M208" s="21">
        <v>31260</v>
      </c>
      <c r="N208" s="17" t="s">
        <v>1284</v>
      </c>
      <c r="O208" s="17" t="s">
        <v>17</v>
      </c>
      <c r="P208" s="17" t="s">
        <v>18</v>
      </c>
      <c r="Q208" s="17">
        <v>13</v>
      </c>
      <c r="R208" s="17" t="s">
        <v>243</v>
      </c>
      <c r="S208" s="17">
        <v>47</v>
      </c>
      <c r="T208" s="17" t="s">
        <v>1639</v>
      </c>
      <c r="U208" s="21">
        <v>44154</v>
      </c>
      <c r="V208" s="17" t="s">
        <v>38</v>
      </c>
      <c r="W208" s="21">
        <v>1</v>
      </c>
      <c r="X208" s="17" t="s">
        <v>910</v>
      </c>
      <c r="Y208" s="17" t="s">
        <v>21</v>
      </c>
      <c r="Z208" s="17">
        <v>391400</v>
      </c>
      <c r="AA208" s="17" t="s">
        <v>164</v>
      </c>
      <c r="AB208" s="17" t="s">
        <v>443</v>
      </c>
      <c r="AC208" s="17">
        <v>0</v>
      </c>
      <c r="AD208" s="21">
        <v>45398</v>
      </c>
      <c r="AE208" s="21">
        <v>2</v>
      </c>
      <c r="AF208" s="17"/>
      <c r="AG208" s="21">
        <v>368</v>
      </c>
      <c r="AH208" s="17">
        <v>62066471</v>
      </c>
      <c r="AI208" s="21">
        <v>44866</v>
      </c>
      <c r="AJ208" s="17">
        <v>2702</v>
      </c>
      <c r="AK208" s="17">
        <v>0.29749999999999999</v>
      </c>
      <c r="AL208" s="17">
        <v>803.85</v>
      </c>
      <c r="AM208" s="17" t="b">
        <v>1</v>
      </c>
      <c r="AN208" s="17" t="b">
        <v>0</v>
      </c>
      <c r="AO208" s="21">
        <v>44892</v>
      </c>
      <c r="AP208" s="21">
        <v>44900</v>
      </c>
      <c r="AQ208" s="17" t="b">
        <v>0</v>
      </c>
      <c r="AR208" s="21">
        <v>45398</v>
      </c>
      <c r="AS208" s="21">
        <v>45398</v>
      </c>
      <c r="AT208" s="21">
        <v>44774</v>
      </c>
      <c r="AU208" s="17" t="b">
        <v>1</v>
      </c>
      <c r="AV208" s="21">
        <v>44246</v>
      </c>
      <c r="AW208" s="17" t="s">
        <v>41</v>
      </c>
      <c r="AX208" s="17" t="s">
        <v>23</v>
      </c>
      <c r="AY208" s="17" t="s">
        <v>41</v>
      </c>
      <c r="AZ208" s="17" t="s">
        <v>414</v>
      </c>
      <c r="BA208" s="21">
        <v>45398</v>
      </c>
      <c r="BB208" s="17">
        <v>37692</v>
      </c>
      <c r="BC208" s="17"/>
      <c r="BD208" s="17" t="b">
        <v>0</v>
      </c>
      <c r="BE208" s="17" t="s">
        <v>2264</v>
      </c>
      <c r="BF208" s="21">
        <v>45398</v>
      </c>
      <c r="BG208" s="21">
        <v>45763</v>
      </c>
      <c r="BH208" s="17"/>
      <c r="BI208" s="21">
        <v>47678</v>
      </c>
      <c r="BJ208" s="17">
        <v>0</v>
      </c>
      <c r="BK208" s="17" t="s">
        <v>418</v>
      </c>
      <c r="BL208" s="17" t="s">
        <v>418</v>
      </c>
      <c r="BM208" s="17" t="b">
        <v>1</v>
      </c>
      <c r="BN208" s="17" t="b">
        <v>1</v>
      </c>
      <c r="BO208" s="17" t="b">
        <v>1</v>
      </c>
      <c r="BP208" s="17" t="b">
        <v>1</v>
      </c>
      <c r="BQ208" s="17" t="b">
        <v>1</v>
      </c>
      <c r="BR208" s="17" t="b">
        <v>1</v>
      </c>
      <c r="BS208" s="17" t="b">
        <v>1</v>
      </c>
      <c r="BT208" s="17" t="b">
        <v>1</v>
      </c>
      <c r="BU208" s="17" t="b">
        <v>1</v>
      </c>
      <c r="BV208" s="17">
        <v>0</v>
      </c>
      <c r="BW208" s="21">
        <v>44184</v>
      </c>
      <c r="BX208" s="17" t="s">
        <v>414</v>
      </c>
      <c r="BY208" s="17" t="s">
        <v>414</v>
      </c>
      <c r="BZ208" s="17">
        <v>0</v>
      </c>
      <c r="CA208" s="21">
        <v>45951</v>
      </c>
      <c r="CB208" s="17" t="s">
        <v>419</v>
      </c>
      <c r="CC208" s="17" t="s">
        <v>2265</v>
      </c>
      <c r="CD208" s="21"/>
      <c r="CE208" s="17"/>
      <c r="CF208" s="17" t="s">
        <v>414</v>
      </c>
      <c r="CG208" s="17" t="b">
        <v>1</v>
      </c>
      <c r="CH208" s="17" t="s">
        <v>425</v>
      </c>
      <c r="CI208" s="17">
        <v>0</v>
      </c>
      <c r="CJ208" s="21">
        <v>45610</v>
      </c>
      <c r="CK208" s="21">
        <v>45876</v>
      </c>
      <c r="CL208" s="17" t="s">
        <v>414</v>
      </c>
      <c r="CM208" s="21">
        <v>1</v>
      </c>
      <c r="CN208" s="21">
        <v>1</v>
      </c>
      <c r="CO208" s="21">
        <v>1</v>
      </c>
      <c r="CP208" s="17" t="b">
        <v>0</v>
      </c>
      <c r="CQ208" s="17" t="b">
        <v>0</v>
      </c>
      <c r="CR208" s="17" t="b">
        <v>0</v>
      </c>
      <c r="CS208">
        <v>7400</v>
      </c>
      <c r="CT208" t="s">
        <v>1917</v>
      </c>
      <c r="CU208">
        <v>5692.31</v>
      </c>
      <c r="CV208">
        <v>1707.69</v>
      </c>
      <c r="CW208" s="22"/>
    </row>
    <row r="209" spans="1:101" x14ac:dyDescent="0.25">
      <c r="A209" s="20">
        <v>1057</v>
      </c>
      <c r="B209" s="17" t="s">
        <v>420</v>
      </c>
      <c r="C209" s="17" t="s">
        <v>714</v>
      </c>
      <c r="D209" s="17" t="s">
        <v>265</v>
      </c>
      <c r="E209" s="17" t="s">
        <v>1731</v>
      </c>
      <c r="F209" s="17" t="s">
        <v>1732</v>
      </c>
      <c r="G209" s="17" t="s">
        <v>414</v>
      </c>
      <c r="H209" s="17" t="s">
        <v>1733</v>
      </c>
      <c r="I209" s="17" t="s">
        <v>414</v>
      </c>
      <c r="J209" s="17" t="s">
        <v>16</v>
      </c>
      <c r="K209" s="17" t="b">
        <v>0</v>
      </c>
      <c r="L209" s="17" t="s">
        <v>1734</v>
      </c>
      <c r="M209" s="21">
        <v>35796</v>
      </c>
      <c r="N209" s="17" t="s">
        <v>1735</v>
      </c>
      <c r="O209" s="17" t="s">
        <v>17</v>
      </c>
      <c r="P209" s="17" t="s">
        <v>18</v>
      </c>
      <c r="Q209" s="17">
        <v>13</v>
      </c>
      <c r="R209" s="17" t="s">
        <v>243</v>
      </c>
      <c r="S209" s="17">
        <v>46</v>
      </c>
      <c r="T209" s="17" t="s">
        <v>1630</v>
      </c>
      <c r="U209" s="21">
        <v>44216</v>
      </c>
      <c r="V209" s="17" t="s">
        <v>29</v>
      </c>
      <c r="W209" s="21">
        <v>1.2430555555555554</v>
      </c>
      <c r="X209" s="17" t="s">
        <v>1602</v>
      </c>
      <c r="Y209" s="17" t="s">
        <v>21</v>
      </c>
      <c r="Z209" s="17">
        <v>451700</v>
      </c>
      <c r="AA209" s="17" t="s">
        <v>245</v>
      </c>
      <c r="AB209" s="17" t="s">
        <v>418</v>
      </c>
      <c r="AC209" s="17">
        <v>129</v>
      </c>
      <c r="AD209" s="21">
        <v>44425</v>
      </c>
      <c r="AE209" s="21">
        <v>45159</v>
      </c>
      <c r="AF209" s="17"/>
      <c r="AG209" s="21">
        <v>45525</v>
      </c>
      <c r="AH209" s="17">
        <v>79546777</v>
      </c>
      <c r="AI209" s="21">
        <v>44256</v>
      </c>
      <c r="AJ209" s="17">
        <v>2707</v>
      </c>
      <c r="AK209" s="17">
        <v>0.29749999999999999</v>
      </c>
      <c r="AL209" s="17">
        <v>805.33</v>
      </c>
      <c r="AM209" s="17" t="b">
        <v>1</v>
      </c>
      <c r="AN209" s="17" t="b">
        <v>0</v>
      </c>
      <c r="AO209" s="21">
        <v>44374</v>
      </c>
      <c r="AP209" s="21">
        <v>44381</v>
      </c>
      <c r="AQ209" s="17" t="b">
        <v>0</v>
      </c>
      <c r="AR209" s="21">
        <v>45398</v>
      </c>
      <c r="AS209" s="21">
        <v>45398</v>
      </c>
      <c r="AT209" s="21">
        <v>44166</v>
      </c>
      <c r="AU209" s="17" t="b">
        <v>1</v>
      </c>
      <c r="AV209" s="21">
        <v>44306</v>
      </c>
      <c r="AW209" s="17" t="s">
        <v>23</v>
      </c>
      <c r="AX209" s="17" t="s">
        <v>23</v>
      </c>
      <c r="AY209" s="17" t="s">
        <v>23</v>
      </c>
      <c r="AZ209" s="17" t="s">
        <v>450</v>
      </c>
      <c r="BA209" s="21">
        <v>45398</v>
      </c>
      <c r="BB209" s="17">
        <v>0</v>
      </c>
      <c r="BC209" s="17"/>
      <c r="BD209" s="17" t="b">
        <v>0</v>
      </c>
      <c r="BE209" s="17" t="s">
        <v>2266</v>
      </c>
      <c r="BF209" s="21">
        <v>45398</v>
      </c>
      <c r="BG209" s="21">
        <v>45763</v>
      </c>
      <c r="BH209" s="17"/>
      <c r="BI209" s="21">
        <v>47018</v>
      </c>
      <c r="BJ209" s="17">
        <v>0</v>
      </c>
      <c r="BK209" s="17" t="s">
        <v>418</v>
      </c>
      <c r="BL209" s="17" t="s">
        <v>459</v>
      </c>
      <c r="BM209" s="17" t="b">
        <v>1</v>
      </c>
      <c r="BN209" s="17" t="b">
        <v>1</v>
      </c>
      <c r="BO209" s="17" t="b">
        <v>1</v>
      </c>
      <c r="BP209" s="17" t="b">
        <v>1</v>
      </c>
      <c r="BQ209" s="17" t="b">
        <v>1</v>
      </c>
      <c r="BR209" s="17" t="b">
        <v>1</v>
      </c>
      <c r="BS209" s="17" t="b">
        <v>1</v>
      </c>
      <c r="BT209" s="17" t="b">
        <v>1</v>
      </c>
      <c r="BU209" s="17" t="b">
        <v>1</v>
      </c>
      <c r="BV209" s="17">
        <v>0</v>
      </c>
      <c r="BW209" s="21">
        <v>44247</v>
      </c>
      <c r="BX209" s="17" t="s">
        <v>414</v>
      </c>
      <c r="BY209" s="17" t="s">
        <v>414</v>
      </c>
      <c r="BZ209" s="17">
        <v>0</v>
      </c>
      <c r="CA209" s="21">
        <v>45951</v>
      </c>
      <c r="CB209" s="17" t="s">
        <v>419</v>
      </c>
      <c r="CC209" s="17" t="s">
        <v>2267</v>
      </c>
      <c r="CD209" s="21"/>
      <c r="CE209" s="17"/>
      <c r="CF209" s="17" t="s">
        <v>1518</v>
      </c>
      <c r="CG209" s="17" t="b">
        <v>1</v>
      </c>
      <c r="CH209" s="17" t="s">
        <v>425</v>
      </c>
      <c r="CI209" s="17">
        <v>0</v>
      </c>
      <c r="CJ209" s="21">
        <v>45568</v>
      </c>
      <c r="CK209" s="21">
        <v>45876</v>
      </c>
      <c r="CL209" s="17" t="s">
        <v>414</v>
      </c>
      <c r="CM209" s="21">
        <v>1</v>
      </c>
      <c r="CN209" s="21">
        <v>1</v>
      </c>
      <c r="CO209" s="21">
        <v>1</v>
      </c>
      <c r="CP209" s="17" t="b">
        <v>0</v>
      </c>
      <c r="CQ209" s="17" t="b">
        <v>0</v>
      </c>
      <c r="CR209" s="17" t="b">
        <v>0</v>
      </c>
      <c r="CS209">
        <v>7200</v>
      </c>
      <c r="CT209" t="s">
        <v>1914</v>
      </c>
      <c r="CU209">
        <v>5538.46</v>
      </c>
      <c r="CV209">
        <v>1661.54</v>
      </c>
      <c r="CW209" s="22"/>
    </row>
    <row r="210" spans="1:101" x14ac:dyDescent="0.25">
      <c r="A210" s="20">
        <v>1058</v>
      </c>
      <c r="B210" s="17" t="s">
        <v>426</v>
      </c>
      <c r="C210" s="17" t="s">
        <v>691</v>
      </c>
      <c r="D210" s="17" t="s">
        <v>266</v>
      </c>
      <c r="E210" s="17" t="s">
        <v>1736</v>
      </c>
      <c r="F210" s="17" t="s">
        <v>1737</v>
      </c>
      <c r="G210" s="17" t="s">
        <v>414</v>
      </c>
      <c r="H210" s="17" t="s">
        <v>1738</v>
      </c>
      <c r="I210" s="17" t="s">
        <v>432</v>
      </c>
      <c r="J210" s="17" t="s">
        <v>16</v>
      </c>
      <c r="K210" s="17" t="b">
        <v>0</v>
      </c>
      <c r="L210" s="17" t="s">
        <v>1739</v>
      </c>
      <c r="M210" s="21">
        <v>34098</v>
      </c>
      <c r="N210" s="17" t="s">
        <v>1665</v>
      </c>
      <c r="O210" s="17" t="s">
        <v>17</v>
      </c>
      <c r="P210" s="17" t="s">
        <v>18</v>
      </c>
      <c r="Q210" s="17">
        <v>13</v>
      </c>
      <c r="R210" s="17" t="s">
        <v>243</v>
      </c>
      <c r="S210" s="17">
        <v>49</v>
      </c>
      <c r="T210" s="17" t="s">
        <v>1740</v>
      </c>
      <c r="U210" s="21">
        <v>44805</v>
      </c>
      <c r="V210" s="17" t="s">
        <v>38</v>
      </c>
      <c r="W210" s="21">
        <v>1</v>
      </c>
      <c r="X210" s="17" t="s">
        <v>910</v>
      </c>
      <c r="Y210" s="17" t="s">
        <v>21</v>
      </c>
      <c r="Z210" s="17">
        <v>34130</v>
      </c>
      <c r="AA210" s="17" t="s">
        <v>267</v>
      </c>
      <c r="AB210" s="17" t="s">
        <v>418</v>
      </c>
      <c r="AC210" s="17">
        <v>174</v>
      </c>
      <c r="AD210" s="21">
        <v>44913</v>
      </c>
      <c r="AE210" s="21">
        <v>45277</v>
      </c>
      <c r="AF210" s="17"/>
      <c r="AG210" s="21">
        <v>45643</v>
      </c>
      <c r="AH210" s="17">
        <v>80128538</v>
      </c>
      <c r="AI210" s="21">
        <v>44805</v>
      </c>
      <c r="AJ210" s="17">
        <v>2090</v>
      </c>
      <c r="AK210" s="17">
        <v>0.29749999999999999</v>
      </c>
      <c r="AL210" s="17">
        <v>621.78</v>
      </c>
      <c r="AM210" s="17" t="b">
        <v>1</v>
      </c>
      <c r="AN210" s="17" t="b">
        <v>0</v>
      </c>
      <c r="AO210" s="21">
        <v>44838</v>
      </c>
      <c r="AP210" s="21">
        <v>44844</v>
      </c>
      <c r="AQ210" s="17" t="b">
        <v>0</v>
      </c>
      <c r="AR210" s="21">
        <v>1</v>
      </c>
      <c r="AS210" s="21">
        <v>1</v>
      </c>
      <c r="AT210" s="21">
        <v>44713</v>
      </c>
      <c r="AU210" s="17" t="b">
        <v>0</v>
      </c>
      <c r="AV210" s="21">
        <v>44896</v>
      </c>
      <c r="AW210" s="17" t="s">
        <v>23</v>
      </c>
      <c r="AX210" s="17" t="s">
        <v>23</v>
      </c>
      <c r="AY210" s="17" t="s">
        <v>23</v>
      </c>
      <c r="AZ210" s="17" t="s">
        <v>450</v>
      </c>
      <c r="BA210" s="21">
        <v>45398</v>
      </c>
      <c r="BB210" s="17">
        <v>30700</v>
      </c>
      <c r="BC210" s="17"/>
      <c r="BD210" s="17" t="b">
        <v>0</v>
      </c>
      <c r="BE210" s="17" t="s">
        <v>2268</v>
      </c>
      <c r="BF210" s="21">
        <v>45398</v>
      </c>
      <c r="BG210" s="21">
        <v>45763</v>
      </c>
      <c r="BH210" s="17"/>
      <c r="BI210" s="21">
        <v>45928</v>
      </c>
      <c r="BJ210" s="17">
        <v>0</v>
      </c>
      <c r="BK210" s="17" t="s">
        <v>418</v>
      </c>
      <c r="BL210" s="17" t="s">
        <v>459</v>
      </c>
      <c r="BM210" s="17" t="b">
        <v>1</v>
      </c>
      <c r="BN210" s="17" t="b">
        <v>1</v>
      </c>
      <c r="BO210" s="17" t="b">
        <v>1</v>
      </c>
      <c r="BP210" s="17" t="b">
        <v>1</v>
      </c>
      <c r="BQ210" s="17" t="b">
        <v>0</v>
      </c>
      <c r="BR210" s="17" t="b">
        <v>1</v>
      </c>
      <c r="BS210" s="17" t="b">
        <v>1</v>
      </c>
      <c r="BT210" s="17" t="b">
        <v>1</v>
      </c>
      <c r="BU210" s="17" t="b">
        <v>1</v>
      </c>
      <c r="BV210" s="17">
        <v>0</v>
      </c>
      <c r="BW210" s="21">
        <v>44835</v>
      </c>
      <c r="BX210" s="17" t="s">
        <v>414</v>
      </c>
      <c r="BY210" s="17" t="s">
        <v>414</v>
      </c>
      <c r="BZ210" s="17">
        <v>0</v>
      </c>
      <c r="CA210" s="21">
        <v>45951</v>
      </c>
      <c r="CB210" s="17" t="s">
        <v>419</v>
      </c>
      <c r="CC210" s="17" t="s">
        <v>2269</v>
      </c>
      <c r="CD210" s="21">
        <v>44604</v>
      </c>
      <c r="CE210" s="17" t="s">
        <v>415</v>
      </c>
      <c r="CF210" s="17" t="s">
        <v>414</v>
      </c>
      <c r="CG210" s="17" t="b">
        <v>1</v>
      </c>
      <c r="CH210" s="17" t="s">
        <v>425</v>
      </c>
      <c r="CI210" s="17">
        <v>0</v>
      </c>
      <c r="CJ210" s="21">
        <v>45572</v>
      </c>
      <c r="CK210" s="21">
        <v>45878</v>
      </c>
      <c r="CL210" s="17" t="s">
        <v>414</v>
      </c>
      <c r="CM210" s="21">
        <v>1</v>
      </c>
      <c r="CN210" s="21">
        <v>1</v>
      </c>
      <c r="CO210" s="21">
        <v>1</v>
      </c>
      <c r="CP210" s="17" t="b">
        <v>0</v>
      </c>
      <c r="CQ210" s="17" t="b">
        <v>0</v>
      </c>
      <c r="CR210" s="17" t="b">
        <v>0</v>
      </c>
      <c r="CS210">
        <v>7200</v>
      </c>
      <c r="CT210" t="s">
        <v>1914</v>
      </c>
      <c r="CU210">
        <v>5538.46</v>
      </c>
      <c r="CV210">
        <v>1661.54</v>
      </c>
      <c r="CW210" s="22"/>
    </row>
    <row r="211" spans="1:101" x14ac:dyDescent="0.25">
      <c r="A211" s="20">
        <v>1064</v>
      </c>
      <c r="B211" s="17" t="s">
        <v>414</v>
      </c>
      <c r="C211" s="17" t="s">
        <v>414</v>
      </c>
      <c r="D211" s="17" t="s">
        <v>268</v>
      </c>
      <c r="E211" s="17" t="s">
        <v>414</v>
      </c>
      <c r="F211" s="17" t="s">
        <v>1741</v>
      </c>
      <c r="G211" s="17" t="s">
        <v>414</v>
      </c>
      <c r="H211" s="17" t="s">
        <v>1742</v>
      </c>
      <c r="I211" s="17" t="s">
        <v>432</v>
      </c>
      <c r="J211" s="17" t="s">
        <v>16</v>
      </c>
      <c r="K211" s="17" t="b">
        <v>0</v>
      </c>
      <c r="L211" s="17" t="s">
        <v>1743</v>
      </c>
      <c r="M211" s="21">
        <v>27400</v>
      </c>
      <c r="N211" s="17" t="s">
        <v>1744</v>
      </c>
      <c r="O211" s="17" t="s">
        <v>414</v>
      </c>
      <c r="P211" s="17" t="s">
        <v>18</v>
      </c>
      <c r="Q211" s="17">
        <v>13</v>
      </c>
      <c r="R211" s="17" t="s">
        <v>243</v>
      </c>
      <c r="S211" s="17">
        <v>46</v>
      </c>
      <c r="T211" s="17" t="s">
        <v>1630</v>
      </c>
      <c r="U211" s="21">
        <v>45696</v>
      </c>
      <c r="V211" s="17" t="s">
        <v>38</v>
      </c>
      <c r="W211" s="21">
        <v>1.7881944444444446</v>
      </c>
      <c r="X211" s="17" t="s">
        <v>910</v>
      </c>
      <c r="Y211" s="17" t="s">
        <v>21</v>
      </c>
      <c r="Z211" s="17">
        <v>0</v>
      </c>
      <c r="AA211" s="17" t="s">
        <v>414</v>
      </c>
      <c r="AB211" s="17" t="s">
        <v>414</v>
      </c>
      <c r="AC211" s="17">
        <v>0</v>
      </c>
      <c r="AD211" s="21">
        <v>1</v>
      </c>
      <c r="AE211" s="21">
        <v>1</v>
      </c>
      <c r="AF211" s="17"/>
      <c r="AG211" s="21">
        <v>367</v>
      </c>
      <c r="AH211" s="17">
        <v>47117777</v>
      </c>
      <c r="AI211" s="21">
        <v>45698</v>
      </c>
      <c r="AJ211" s="17">
        <v>0</v>
      </c>
      <c r="AK211" s="17">
        <v>0</v>
      </c>
      <c r="AL211" s="17">
        <v>0</v>
      </c>
      <c r="AM211" s="17" t="b">
        <v>0</v>
      </c>
      <c r="AN211" s="17" t="b">
        <v>0</v>
      </c>
      <c r="AO211" s="21">
        <v>45698</v>
      </c>
      <c r="AP211" s="21">
        <v>45698</v>
      </c>
      <c r="AQ211" s="17" t="b">
        <v>0</v>
      </c>
      <c r="AR211" s="21">
        <v>45698</v>
      </c>
      <c r="AS211" s="21">
        <v>45698</v>
      </c>
      <c r="AT211" s="21">
        <v>45606</v>
      </c>
      <c r="AU211" s="17" t="b">
        <v>0</v>
      </c>
      <c r="AV211" s="21">
        <v>45785</v>
      </c>
      <c r="AW211" s="17" t="s">
        <v>23</v>
      </c>
      <c r="AX211" s="17" t="s">
        <v>41</v>
      </c>
      <c r="AY211" s="17" t="s">
        <v>414</v>
      </c>
      <c r="AZ211" s="17" t="s">
        <v>414</v>
      </c>
      <c r="BA211" s="21">
        <v>45698</v>
      </c>
      <c r="BB211" s="17">
        <v>0</v>
      </c>
      <c r="BC211" s="17"/>
      <c r="BD211" s="17" t="b">
        <v>0</v>
      </c>
      <c r="BE211" s="17" t="s">
        <v>2270</v>
      </c>
      <c r="BF211" s="21">
        <v>45698</v>
      </c>
      <c r="BG211" s="21">
        <v>46063</v>
      </c>
      <c r="BH211" s="17"/>
      <c r="BI211" s="21">
        <v>45786</v>
      </c>
      <c r="BJ211" s="17">
        <v>0</v>
      </c>
      <c r="BK211" s="17" t="s">
        <v>443</v>
      </c>
      <c r="BL211" s="17" t="s">
        <v>1038</v>
      </c>
      <c r="BM211" s="17" t="b">
        <v>1</v>
      </c>
      <c r="BN211" s="17" t="b">
        <v>0</v>
      </c>
      <c r="BO211" s="17" t="b">
        <v>1</v>
      </c>
      <c r="BP211" s="17" t="b">
        <v>1</v>
      </c>
      <c r="BQ211" s="17" t="b">
        <v>0</v>
      </c>
      <c r="BR211" s="17" t="b">
        <v>0</v>
      </c>
      <c r="BS211" s="17" t="b">
        <v>0</v>
      </c>
      <c r="BT211" s="17" t="b">
        <v>0</v>
      </c>
      <c r="BU211" s="17" t="b">
        <v>0</v>
      </c>
      <c r="BV211" s="17">
        <v>0</v>
      </c>
      <c r="BW211" s="21">
        <v>45724</v>
      </c>
      <c r="BX211" s="17" t="s">
        <v>414</v>
      </c>
      <c r="BY211" s="17" t="s">
        <v>414</v>
      </c>
      <c r="BZ211" s="17">
        <v>0</v>
      </c>
      <c r="CA211" s="21">
        <v>45951</v>
      </c>
      <c r="CB211" s="17" t="s">
        <v>419</v>
      </c>
      <c r="CC211" s="17" t="s">
        <v>2271</v>
      </c>
      <c r="CD211" s="21"/>
      <c r="CE211" s="17"/>
      <c r="CF211" s="17" t="s">
        <v>414</v>
      </c>
      <c r="CG211" s="17" t="b">
        <v>0</v>
      </c>
      <c r="CH211" s="17" t="s">
        <v>414</v>
      </c>
      <c r="CI211" s="17">
        <v>0</v>
      </c>
      <c r="CJ211" s="21">
        <v>1</v>
      </c>
      <c r="CK211" s="21">
        <v>45907</v>
      </c>
      <c r="CL211" s="17" t="s">
        <v>414</v>
      </c>
      <c r="CM211" s="21">
        <v>1</v>
      </c>
      <c r="CN211" s="21">
        <v>1</v>
      </c>
      <c r="CO211" s="21">
        <v>1</v>
      </c>
      <c r="CP211" s="17" t="b">
        <v>0</v>
      </c>
      <c r="CQ211" s="17" t="b">
        <v>0</v>
      </c>
      <c r="CR211" s="17" t="b">
        <v>0</v>
      </c>
      <c r="CS211">
        <v>7200</v>
      </c>
      <c r="CT211" t="s">
        <v>1914</v>
      </c>
      <c r="CU211">
        <v>5538.46</v>
      </c>
      <c r="CV211">
        <v>1661.54</v>
      </c>
      <c r="CW211" s="22"/>
    </row>
    <row r="212" spans="1:101" x14ac:dyDescent="0.25">
      <c r="A212" s="20">
        <v>2000</v>
      </c>
      <c r="B212" s="17" t="s">
        <v>1745</v>
      </c>
      <c r="C212" s="17" t="s">
        <v>1746</v>
      </c>
      <c r="D212" s="17" t="s">
        <v>1747</v>
      </c>
      <c r="E212" s="17" t="s">
        <v>1748</v>
      </c>
      <c r="F212" s="17" t="s">
        <v>413</v>
      </c>
      <c r="G212" s="17" t="s">
        <v>414</v>
      </c>
      <c r="H212" s="17" t="s">
        <v>414</v>
      </c>
      <c r="I212" s="17" t="s">
        <v>414</v>
      </c>
      <c r="J212" s="17" t="s">
        <v>96</v>
      </c>
      <c r="K212" s="17" t="b">
        <v>0</v>
      </c>
      <c r="L212" s="17" t="s">
        <v>1749</v>
      </c>
      <c r="M212" s="21">
        <v>45398</v>
      </c>
      <c r="N212" s="17" t="s">
        <v>414</v>
      </c>
      <c r="O212" s="17" t="s">
        <v>17</v>
      </c>
      <c r="P212" s="17" t="s">
        <v>18</v>
      </c>
      <c r="Q212" s="17">
        <v>15</v>
      </c>
      <c r="R212" s="17" t="s">
        <v>1750</v>
      </c>
      <c r="S212" s="17">
        <v>52</v>
      </c>
      <c r="T212" s="17" t="s">
        <v>1751</v>
      </c>
      <c r="U212" s="21">
        <v>41186</v>
      </c>
      <c r="V212" s="17" t="s">
        <v>155</v>
      </c>
      <c r="W212" s="21">
        <v>1</v>
      </c>
      <c r="X212" s="17" t="s">
        <v>1170</v>
      </c>
      <c r="Y212" s="17" t="s">
        <v>45</v>
      </c>
      <c r="Z212" s="17">
        <v>510511</v>
      </c>
      <c r="AA212" s="17" t="s">
        <v>1752</v>
      </c>
      <c r="AB212" s="17" t="s">
        <v>443</v>
      </c>
      <c r="AC212" s="17">
        <v>0</v>
      </c>
      <c r="AD212" s="21">
        <v>45398</v>
      </c>
      <c r="AE212" s="21">
        <v>2</v>
      </c>
      <c r="AF212" s="17"/>
      <c r="AG212" s="21">
        <v>368</v>
      </c>
      <c r="AH212" s="17">
        <v>68628421</v>
      </c>
      <c r="AI212" s="21">
        <v>41186</v>
      </c>
      <c r="AJ212" s="17">
        <v>4500</v>
      </c>
      <c r="AK212" s="17">
        <v>2.0999999999999999E-3</v>
      </c>
      <c r="AL212" s="17">
        <v>9.4499999999999993</v>
      </c>
      <c r="AM212" s="17" t="b">
        <v>0</v>
      </c>
      <c r="AN212" s="17" t="b">
        <v>1</v>
      </c>
      <c r="AO212" s="21">
        <v>45398</v>
      </c>
      <c r="AP212" s="21">
        <v>45398</v>
      </c>
      <c r="AQ212" s="17" t="b">
        <v>1</v>
      </c>
      <c r="AR212" s="21">
        <v>45398</v>
      </c>
      <c r="AS212" s="21">
        <v>45398</v>
      </c>
      <c r="AT212" s="21">
        <v>41094</v>
      </c>
      <c r="AU212" s="17" t="b">
        <v>0</v>
      </c>
      <c r="AV212" s="21">
        <v>41278</v>
      </c>
      <c r="AW212" s="17" t="s">
        <v>101</v>
      </c>
      <c r="AX212" s="17" t="s">
        <v>101</v>
      </c>
      <c r="AY212" s="17" t="s">
        <v>414</v>
      </c>
      <c r="AZ212" s="17" t="s">
        <v>450</v>
      </c>
      <c r="BA212" s="21">
        <v>45398</v>
      </c>
      <c r="BB212" s="17">
        <v>0</v>
      </c>
      <c r="BC212" s="17"/>
      <c r="BD212" s="17" t="b">
        <v>0</v>
      </c>
      <c r="BE212" s="17" t="s">
        <v>2272</v>
      </c>
      <c r="BF212" s="21">
        <v>45398</v>
      </c>
      <c r="BG212" s="21">
        <v>45763</v>
      </c>
      <c r="BH212" s="17"/>
      <c r="BI212" s="21">
        <v>45398</v>
      </c>
      <c r="BJ212" s="17">
        <v>0</v>
      </c>
      <c r="BK212" s="17" t="s">
        <v>443</v>
      </c>
      <c r="BL212" s="17" t="s">
        <v>443</v>
      </c>
      <c r="BM212" s="17" t="b">
        <v>0</v>
      </c>
      <c r="BN212" s="17" t="b">
        <v>0</v>
      </c>
      <c r="BO212" s="17" t="b">
        <v>0</v>
      </c>
      <c r="BP212" s="17" t="b">
        <v>0</v>
      </c>
      <c r="BQ212" s="17" t="b">
        <v>0</v>
      </c>
      <c r="BR212" s="17" t="b">
        <v>0</v>
      </c>
      <c r="BS212" s="17" t="b">
        <v>0</v>
      </c>
      <c r="BT212" s="17" t="b">
        <v>0</v>
      </c>
      <c r="BU212" s="17" t="b">
        <v>0</v>
      </c>
      <c r="BV212" s="17">
        <v>0</v>
      </c>
      <c r="BW212" s="21">
        <v>41217</v>
      </c>
      <c r="BX212" s="17" t="s">
        <v>414</v>
      </c>
      <c r="BY212" s="17" t="s">
        <v>414</v>
      </c>
      <c r="BZ212" s="17">
        <v>0</v>
      </c>
      <c r="CA212" s="21">
        <v>45951</v>
      </c>
      <c r="CB212" s="17" t="s">
        <v>419</v>
      </c>
      <c r="CC212" s="17" t="s">
        <v>2108</v>
      </c>
      <c r="CD212" s="21"/>
      <c r="CE212" s="17"/>
      <c r="CF212" s="17" t="s">
        <v>414</v>
      </c>
      <c r="CG212" s="17" t="b">
        <v>0</v>
      </c>
      <c r="CH212" s="17" t="s">
        <v>414</v>
      </c>
      <c r="CI212" s="17">
        <v>0</v>
      </c>
      <c r="CJ212" s="21">
        <v>1</v>
      </c>
      <c r="CK212" s="21">
        <v>1</v>
      </c>
      <c r="CL212" s="17" t="s">
        <v>414</v>
      </c>
      <c r="CM212" s="21">
        <v>1</v>
      </c>
      <c r="CN212" s="21">
        <v>1</v>
      </c>
      <c r="CO212" s="21">
        <v>1</v>
      </c>
      <c r="CP212" s="17" t="b">
        <v>0</v>
      </c>
      <c r="CQ212" s="17" t="b">
        <v>0</v>
      </c>
      <c r="CR212" s="17" t="b">
        <v>0</v>
      </c>
      <c r="CS212">
        <v>0</v>
      </c>
      <c r="CT212" t="s">
        <v>1934</v>
      </c>
      <c r="CU212">
        <v>0</v>
      </c>
      <c r="CV212">
        <v>0</v>
      </c>
      <c r="CW212" s="22"/>
    </row>
    <row r="213" spans="1:101" x14ac:dyDescent="0.25">
      <c r="A213" s="20">
        <v>2001</v>
      </c>
      <c r="B213" s="17" t="s">
        <v>1745</v>
      </c>
      <c r="C213" s="17" t="s">
        <v>1746</v>
      </c>
      <c r="D213" s="17" t="s">
        <v>1753</v>
      </c>
      <c r="E213" s="17" t="s">
        <v>1754</v>
      </c>
      <c r="F213" s="17" t="s">
        <v>413</v>
      </c>
      <c r="G213" s="17" t="s">
        <v>414</v>
      </c>
      <c r="H213" s="17" t="s">
        <v>414</v>
      </c>
      <c r="I213" s="17" t="s">
        <v>414</v>
      </c>
      <c r="J213" s="17" t="s">
        <v>96</v>
      </c>
      <c r="K213" s="17" t="b">
        <v>0</v>
      </c>
      <c r="L213" s="17" t="s">
        <v>1755</v>
      </c>
      <c r="M213" s="21">
        <v>45398</v>
      </c>
      <c r="N213" s="17" t="s">
        <v>414</v>
      </c>
      <c r="O213" s="17" t="s">
        <v>17</v>
      </c>
      <c r="P213" s="17" t="s">
        <v>18</v>
      </c>
      <c r="Q213" s="17">
        <v>15</v>
      </c>
      <c r="R213" s="17" t="s">
        <v>1750</v>
      </c>
      <c r="S213" s="17">
        <v>52</v>
      </c>
      <c r="T213" s="17" t="s">
        <v>1751</v>
      </c>
      <c r="U213" s="21">
        <v>41186</v>
      </c>
      <c r="V213" s="17" t="s">
        <v>155</v>
      </c>
      <c r="W213" s="21">
        <v>1</v>
      </c>
      <c r="X213" s="17" t="s">
        <v>1170</v>
      </c>
      <c r="Y213" s="17" t="s">
        <v>45</v>
      </c>
      <c r="Z213" s="17">
        <v>510511</v>
      </c>
      <c r="AA213" s="17" t="s">
        <v>1752</v>
      </c>
      <c r="AB213" s="17" t="s">
        <v>443</v>
      </c>
      <c r="AC213" s="17">
        <v>0</v>
      </c>
      <c r="AD213" s="21">
        <v>45398</v>
      </c>
      <c r="AE213" s="21">
        <v>2</v>
      </c>
      <c r="AF213" s="17"/>
      <c r="AG213" s="21">
        <v>368</v>
      </c>
      <c r="AH213" s="17">
        <v>68628443</v>
      </c>
      <c r="AI213" s="21">
        <v>41186</v>
      </c>
      <c r="AJ213" s="17">
        <v>4500</v>
      </c>
      <c r="AK213" s="17">
        <v>0.21</v>
      </c>
      <c r="AL213" s="17">
        <v>945</v>
      </c>
      <c r="AM213" s="17" t="b">
        <v>0</v>
      </c>
      <c r="AN213" s="17" t="b">
        <v>1</v>
      </c>
      <c r="AO213" s="21">
        <v>45398</v>
      </c>
      <c r="AP213" s="21">
        <v>45398</v>
      </c>
      <c r="AQ213" s="17" t="b">
        <v>1</v>
      </c>
      <c r="AR213" s="21">
        <v>45398</v>
      </c>
      <c r="AS213" s="21">
        <v>45398</v>
      </c>
      <c r="AT213" s="21">
        <v>41094</v>
      </c>
      <c r="AU213" s="17" t="b">
        <v>0</v>
      </c>
      <c r="AV213" s="21">
        <v>41278</v>
      </c>
      <c r="AW213" s="17" t="s">
        <v>101</v>
      </c>
      <c r="AX213" s="17" t="s">
        <v>101</v>
      </c>
      <c r="AY213" s="17" t="s">
        <v>414</v>
      </c>
      <c r="AZ213" s="17" t="s">
        <v>450</v>
      </c>
      <c r="BA213" s="21">
        <v>45398</v>
      </c>
      <c r="BB213" s="17">
        <v>0</v>
      </c>
      <c r="BC213" s="17"/>
      <c r="BD213" s="17" t="b">
        <v>0</v>
      </c>
      <c r="BE213" s="17" t="s">
        <v>2272</v>
      </c>
      <c r="BF213" s="21">
        <v>45398</v>
      </c>
      <c r="BG213" s="21">
        <v>45763</v>
      </c>
      <c r="BH213" s="17"/>
      <c r="BI213" s="21">
        <v>45398</v>
      </c>
      <c r="BJ213" s="17">
        <v>0</v>
      </c>
      <c r="BK213" s="17" t="s">
        <v>443</v>
      </c>
      <c r="BL213" s="17" t="s">
        <v>443</v>
      </c>
      <c r="BM213" s="17" t="b">
        <v>0</v>
      </c>
      <c r="BN213" s="17" t="b">
        <v>0</v>
      </c>
      <c r="BO213" s="17" t="b">
        <v>0</v>
      </c>
      <c r="BP213" s="17" t="b">
        <v>0</v>
      </c>
      <c r="BQ213" s="17" t="b">
        <v>0</v>
      </c>
      <c r="BR213" s="17" t="b">
        <v>0</v>
      </c>
      <c r="BS213" s="17" t="b">
        <v>0</v>
      </c>
      <c r="BT213" s="17" t="b">
        <v>0</v>
      </c>
      <c r="BU213" s="17" t="b">
        <v>0</v>
      </c>
      <c r="BV213" s="17">
        <v>0</v>
      </c>
      <c r="BW213" s="21">
        <v>41217</v>
      </c>
      <c r="BX213" s="17" t="s">
        <v>414</v>
      </c>
      <c r="BY213" s="17" t="s">
        <v>414</v>
      </c>
      <c r="BZ213" s="17">
        <v>0</v>
      </c>
      <c r="CA213" s="21">
        <v>45951</v>
      </c>
      <c r="CB213" s="17" t="s">
        <v>419</v>
      </c>
      <c r="CC213" s="17" t="s">
        <v>2108</v>
      </c>
      <c r="CD213" s="21"/>
      <c r="CE213" s="17"/>
      <c r="CF213" s="17" t="s">
        <v>414</v>
      </c>
      <c r="CG213" s="17" t="b">
        <v>0</v>
      </c>
      <c r="CH213" s="17" t="s">
        <v>414</v>
      </c>
      <c r="CI213" s="17">
        <v>0</v>
      </c>
      <c r="CJ213" s="21">
        <v>1</v>
      </c>
      <c r="CK213" s="21">
        <v>1</v>
      </c>
      <c r="CL213" s="17" t="s">
        <v>414</v>
      </c>
      <c r="CM213" s="21">
        <v>1</v>
      </c>
      <c r="CN213" s="21">
        <v>1</v>
      </c>
      <c r="CO213" s="21">
        <v>1</v>
      </c>
      <c r="CP213" s="17" t="b">
        <v>0</v>
      </c>
      <c r="CQ213" s="17" t="b">
        <v>0</v>
      </c>
      <c r="CR213" s="17" t="b">
        <v>0</v>
      </c>
      <c r="CS213">
        <v>0</v>
      </c>
      <c r="CT213" t="s">
        <v>1934</v>
      </c>
      <c r="CU213">
        <v>0</v>
      </c>
      <c r="CV213">
        <v>0</v>
      </c>
      <c r="CW213" s="22"/>
    </row>
    <row r="214" spans="1:101" x14ac:dyDescent="0.25">
      <c r="A214" s="20">
        <v>2002</v>
      </c>
      <c r="B214" s="17" t="s">
        <v>1745</v>
      </c>
      <c r="C214" s="17" t="s">
        <v>1746</v>
      </c>
      <c r="D214" s="17" t="s">
        <v>1756</v>
      </c>
      <c r="E214" s="17" t="s">
        <v>1757</v>
      </c>
      <c r="F214" s="17" t="s">
        <v>413</v>
      </c>
      <c r="G214" s="17" t="s">
        <v>414</v>
      </c>
      <c r="H214" s="17" t="s">
        <v>414</v>
      </c>
      <c r="I214" s="17" t="s">
        <v>414</v>
      </c>
      <c r="J214" s="17" t="s">
        <v>96</v>
      </c>
      <c r="K214" s="17" t="b">
        <v>0</v>
      </c>
      <c r="L214" s="17" t="s">
        <v>1758</v>
      </c>
      <c r="M214" s="21">
        <v>45398</v>
      </c>
      <c r="N214" s="17" t="s">
        <v>414</v>
      </c>
      <c r="O214" s="17" t="s">
        <v>17</v>
      </c>
      <c r="P214" s="17" t="s">
        <v>18</v>
      </c>
      <c r="Q214" s="17">
        <v>15</v>
      </c>
      <c r="R214" s="17" t="s">
        <v>1750</v>
      </c>
      <c r="S214" s="17">
        <v>52</v>
      </c>
      <c r="T214" s="17" t="s">
        <v>1751</v>
      </c>
      <c r="U214" s="21">
        <v>41186</v>
      </c>
      <c r="V214" s="17" t="s">
        <v>155</v>
      </c>
      <c r="W214" s="21">
        <v>1</v>
      </c>
      <c r="X214" s="17" t="s">
        <v>1170</v>
      </c>
      <c r="Y214" s="17" t="s">
        <v>45</v>
      </c>
      <c r="Z214" s="17">
        <v>510511</v>
      </c>
      <c r="AA214" s="17" t="s">
        <v>1752</v>
      </c>
      <c r="AB214" s="17" t="s">
        <v>443</v>
      </c>
      <c r="AC214" s="17">
        <v>0</v>
      </c>
      <c r="AD214" s="21">
        <v>45398</v>
      </c>
      <c r="AE214" s="21">
        <v>2</v>
      </c>
      <c r="AF214" s="17"/>
      <c r="AG214" s="21">
        <v>368</v>
      </c>
      <c r="AH214" s="17">
        <v>68628504</v>
      </c>
      <c r="AI214" s="21">
        <v>41186</v>
      </c>
      <c r="AJ214" s="17">
        <v>4500</v>
      </c>
      <c r="AK214" s="17">
        <v>0.21</v>
      </c>
      <c r="AL214" s="17">
        <v>945</v>
      </c>
      <c r="AM214" s="17" t="b">
        <v>0</v>
      </c>
      <c r="AN214" s="17" t="b">
        <v>1</v>
      </c>
      <c r="AO214" s="21">
        <v>45398</v>
      </c>
      <c r="AP214" s="21">
        <v>45398</v>
      </c>
      <c r="AQ214" s="17" t="b">
        <v>1</v>
      </c>
      <c r="AR214" s="21">
        <v>45398</v>
      </c>
      <c r="AS214" s="21">
        <v>45398</v>
      </c>
      <c r="AT214" s="21">
        <v>41094</v>
      </c>
      <c r="AU214" s="17" t="b">
        <v>0</v>
      </c>
      <c r="AV214" s="21">
        <v>41278</v>
      </c>
      <c r="AW214" s="17" t="s">
        <v>101</v>
      </c>
      <c r="AX214" s="17" t="s">
        <v>101</v>
      </c>
      <c r="AY214" s="17" t="s">
        <v>414</v>
      </c>
      <c r="AZ214" s="17" t="s">
        <v>450</v>
      </c>
      <c r="BA214" s="21">
        <v>45398</v>
      </c>
      <c r="BB214" s="17">
        <v>0</v>
      </c>
      <c r="BC214" s="17"/>
      <c r="BD214" s="17" t="b">
        <v>0</v>
      </c>
      <c r="BE214" s="17" t="s">
        <v>2272</v>
      </c>
      <c r="BF214" s="21">
        <v>45398</v>
      </c>
      <c r="BG214" s="21">
        <v>45763</v>
      </c>
      <c r="BH214" s="17"/>
      <c r="BI214" s="21">
        <v>45398</v>
      </c>
      <c r="BJ214" s="17">
        <v>0</v>
      </c>
      <c r="BK214" s="17" t="s">
        <v>443</v>
      </c>
      <c r="BL214" s="17" t="s">
        <v>443</v>
      </c>
      <c r="BM214" s="17" t="b">
        <v>0</v>
      </c>
      <c r="BN214" s="17" t="b">
        <v>0</v>
      </c>
      <c r="BO214" s="17" t="b">
        <v>0</v>
      </c>
      <c r="BP214" s="17" t="b">
        <v>0</v>
      </c>
      <c r="BQ214" s="17" t="b">
        <v>0</v>
      </c>
      <c r="BR214" s="17" t="b">
        <v>0</v>
      </c>
      <c r="BS214" s="17" t="b">
        <v>0</v>
      </c>
      <c r="BT214" s="17" t="b">
        <v>0</v>
      </c>
      <c r="BU214" s="17" t="b">
        <v>0</v>
      </c>
      <c r="BV214" s="17">
        <v>0</v>
      </c>
      <c r="BW214" s="21">
        <v>41217</v>
      </c>
      <c r="BX214" s="17" t="s">
        <v>414</v>
      </c>
      <c r="BY214" s="17" t="s">
        <v>414</v>
      </c>
      <c r="BZ214" s="17">
        <v>0</v>
      </c>
      <c r="CA214" s="21">
        <v>45951</v>
      </c>
      <c r="CB214" s="17" t="s">
        <v>419</v>
      </c>
      <c r="CC214" s="17" t="s">
        <v>2108</v>
      </c>
      <c r="CD214" s="21"/>
      <c r="CE214" s="17"/>
      <c r="CF214" s="17" t="s">
        <v>414</v>
      </c>
      <c r="CG214" s="17" t="b">
        <v>0</v>
      </c>
      <c r="CH214" s="17" t="s">
        <v>414</v>
      </c>
      <c r="CI214" s="17">
        <v>0</v>
      </c>
      <c r="CJ214" s="21">
        <v>1</v>
      </c>
      <c r="CK214" s="21">
        <v>1</v>
      </c>
      <c r="CL214" s="17" t="s">
        <v>414</v>
      </c>
      <c r="CM214" s="21">
        <v>1</v>
      </c>
      <c r="CN214" s="21">
        <v>1</v>
      </c>
      <c r="CO214" s="21">
        <v>1</v>
      </c>
      <c r="CP214" s="17" t="b">
        <v>0</v>
      </c>
      <c r="CQ214" s="17" t="b">
        <v>0</v>
      </c>
      <c r="CR214" s="17" t="b">
        <v>0</v>
      </c>
      <c r="CS214">
        <v>0</v>
      </c>
      <c r="CT214" t="s">
        <v>1934</v>
      </c>
      <c r="CU214">
        <v>0</v>
      </c>
      <c r="CV214">
        <v>0</v>
      </c>
      <c r="CW214" s="22"/>
    </row>
    <row r="215" spans="1:101" x14ac:dyDescent="0.25">
      <c r="A215" s="20">
        <v>2003</v>
      </c>
      <c r="B215" s="17" t="s">
        <v>420</v>
      </c>
      <c r="C215" s="17" t="s">
        <v>559</v>
      </c>
      <c r="D215" s="17" t="s">
        <v>1759</v>
      </c>
      <c r="E215" s="17" t="s">
        <v>1760</v>
      </c>
      <c r="F215" s="17" t="s">
        <v>414</v>
      </c>
      <c r="G215" s="17" t="s">
        <v>414</v>
      </c>
      <c r="H215" s="17" t="s">
        <v>414</v>
      </c>
      <c r="I215" s="17" t="s">
        <v>432</v>
      </c>
      <c r="J215" s="17" t="s">
        <v>96</v>
      </c>
      <c r="K215" s="17" t="b">
        <v>0</v>
      </c>
      <c r="L215" s="17" t="s">
        <v>414</v>
      </c>
      <c r="M215" s="21">
        <v>1</v>
      </c>
      <c r="N215" s="17" t="s">
        <v>414</v>
      </c>
      <c r="O215" s="17" t="s">
        <v>414</v>
      </c>
      <c r="P215" s="17" t="s">
        <v>18</v>
      </c>
      <c r="Q215" s="17">
        <v>15</v>
      </c>
      <c r="R215" s="17" t="s">
        <v>1750</v>
      </c>
      <c r="S215" s="17">
        <v>52</v>
      </c>
      <c r="T215" s="17" t="s">
        <v>1751</v>
      </c>
      <c r="U215" s="21">
        <v>45431</v>
      </c>
      <c r="V215" s="17" t="s">
        <v>155</v>
      </c>
      <c r="W215" s="21">
        <v>45431</v>
      </c>
      <c r="X215" s="17" t="s">
        <v>1170</v>
      </c>
      <c r="Y215" s="17" t="s">
        <v>45</v>
      </c>
      <c r="Z215" s="17">
        <v>0</v>
      </c>
      <c r="AA215" s="17" t="s">
        <v>414</v>
      </c>
      <c r="AB215" s="17" t="s">
        <v>414</v>
      </c>
      <c r="AC215" s="17">
        <v>0</v>
      </c>
      <c r="AD215" s="21">
        <v>45431</v>
      </c>
      <c r="AE215" s="21">
        <v>2</v>
      </c>
      <c r="AF215" s="17"/>
      <c r="AG215" s="21">
        <v>368</v>
      </c>
      <c r="AH215" s="17">
        <v>84801613</v>
      </c>
      <c r="AI215" s="21">
        <v>45292</v>
      </c>
      <c r="AJ215" s="17">
        <v>4500</v>
      </c>
      <c r="AK215" s="17">
        <v>0.21</v>
      </c>
      <c r="AL215" s="17">
        <v>945</v>
      </c>
      <c r="AM215" s="17" t="b">
        <v>0</v>
      </c>
      <c r="AN215" s="17" t="b">
        <v>1</v>
      </c>
      <c r="AO215" s="21">
        <v>45431</v>
      </c>
      <c r="AP215" s="21">
        <v>45431</v>
      </c>
      <c r="AQ215" s="17" t="b">
        <v>0</v>
      </c>
      <c r="AR215" s="21">
        <v>45431</v>
      </c>
      <c r="AS215" s="21">
        <v>45431</v>
      </c>
      <c r="AT215" s="21">
        <v>45200</v>
      </c>
      <c r="AU215" s="17" t="b">
        <v>0</v>
      </c>
      <c r="AV215" s="21">
        <v>45523</v>
      </c>
      <c r="AW215" s="17" t="s">
        <v>1433</v>
      </c>
      <c r="AX215" s="17" t="s">
        <v>1433</v>
      </c>
      <c r="AY215" s="17" t="s">
        <v>414</v>
      </c>
      <c r="AZ215" s="17" t="s">
        <v>414</v>
      </c>
      <c r="BA215" s="21">
        <v>45431</v>
      </c>
      <c r="BB215" s="17">
        <v>0</v>
      </c>
      <c r="BC215" s="17"/>
      <c r="BD215" s="17" t="b">
        <v>0</v>
      </c>
      <c r="BE215" s="17" t="s">
        <v>2273</v>
      </c>
      <c r="BF215" s="21">
        <v>45431</v>
      </c>
      <c r="BG215" s="21">
        <v>45796</v>
      </c>
      <c r="BH215" s="17"/>
      <c r="BI215" s="21">
        <v>45431</v>
      </c>
      <c r="BJ215" s="17">
        <v>0</v>
      </c>
      <c r="BK215" s="17" t="s">
        <v>443</v>
      </c>
      <c r="BL215" s="17" t="s">
        <v>443</v>
      </c>
      <c r="BM215" s="17" t="b">
        <v>0</v>
      </c>
      <c r="BN215" s="17" t="b">
        <v>0</v>
      </c>
      <c r="BO215" s="17" t="b">
        <v>0</v>
      </c>
      <c r="BP215" s="17" t="b">
        <v>0</v>
      </c>
      <c r="BQ215" s="17" t="b">
        <v>0</v>
      </c>
      <c r="BR215" s="17" t="b">
        <v>0</v>
      </c>
      <c r="BS215" s="17" t="b">
        <v>0</v>
      </c>
      <c r="BT215" s="17" t="b">
        <v>0</v>
      </c>
      <c r="BU215" s="17" t="b">
        <v>0</v>
      </c>
      <c r="BV215" s="17">
        <v>0</v>
      </c>
      <c r="BW215" s="21">
        <v>45462</v>
      </c>
      <c r="BX215" s="17" t="s">
        <v>414</v>
      </c>
      <c r="BY215" s="17" t="s">
        <v>414</v>
      </c>
      <c r="BZ215" s="17">
        <v>0</v>
      </c>
      <c r="CA215" s="21">
        <v>45951</v>
      </c>
      <c r="CB215" s="17" t="s">
        <v>414</v>
      </c>
      <c r="CC215" s="17" t="s">
        <v>2214</v>
      </c>
      <c r="CD215" s="21"/>
      <c r="CE215" s="17"/>
      <c r="CF215" s="17" t="s">
        <v>414</v>
      </c>
      <c r="CG215" s="17" t="b">
        <v>0</v>
      </c>
      <c r="CH215" s="17" t="s">
        <v>414</v>
      </c>
      <c r="CI215" s="17">
        <v>0</v>
      </c>
      <c r="CJ215" s="21">
        <v>1</v>
      </c>
      <c r="CK215" s="21">
        <v>1</v>
      </c>
      <c r="CL215" s="17" t="s">
        <v>414</v>
      </c>
      <c r="CM215" s="21">
        <v>1</v>
      </c>
      <c r="CN215" s="21">
        <v>1</v>
      </c>
      <c r="CO215" s="21">
        <v>1</v>
      </c>
      <c r="CP215" s="17" t="b">
        <v>0</v>
      </c>
      <c r="CQ215" s="17" t="b">
        <v>0</v>
      </c>
      <c r="CR215" s="17" t="b">
        <v>0</v>
      </c>
      <c r="CS215">
        <v>0</v>
      </c>
      <c r="CT215" t="s">
        <v>1934</v>
      </c>
      <c r="CU215">
        <v>0</v>
      </c>
      <c r="CV215">
        <v>0</v>
      </c>
      <c r="CW215" s="22"/>
    </row>
    <row r="216" spans="1:101" x14ac:dyDescent="0.25">
      <c r="A216" s="20">
        <v>2021</v>
      </c>
      <c r="B216" s="17" t="s">
        <v>1762</v>
      </c>
      <c r="C216" s="17" t="s">
        <v>1763</v>
      </c>
      <c r="D216" s="17" t="s">
        <v>269</v>
      </c>
      <c r="E216" s="17" t="s">
        <v>1764</v>
      </c>
      <c r="F216" s="17" t="s">
        <v>413</v>
      </c>
      <c r="G216" s="17" t="s">
        <v>414</v>
      </c>
      <c r="H216" s="17" t="s">
        <v>1765</v>
      </c>
      <c r="I216" s="17" t="s">
        <v>414</v>
      </c>
      <c r="J216" s="17" t="s">
        <v>16</v>
      </c>
      <c r="K216" s="17" t="b">
        <v>0</v>
      </c>
      <c r="L216" s="17" t="s">
        <v>1766</v>
      </c>
      <c r="M216" s="21">
        <v>29780</v>
      </c>
      <c r="N216" s="17" t="s">
        <v>414</v>
      </c>
      <c r="O216" s="17" t="s">
        <v>17</v>
      </c>
      <c r="P216" s="17" t="s">
        <v>18</v>
      </c>
      <c r="Q216" s="17">
        <v>16</v>
      </c>
      <c r="R216" s="17" t="s">
        <v>270</v>
      </c>
      <c r="S216" s="17">
        <v>53</v>
      </c>
      <c r="T216" s="17" t="s">
        <v>1761</v>
      </c>
      <c r="U216" s="21">
        <v>42104</v>
      </c>
      <c r="V216" s="17" t="s">
        <v>155</v>
      </c>
      <c r="W216" s="21">
        <v>1</v>
      </c>
      <c r="X216" s="17" t="s">
        <v>1170</v>
      </c>
      <c r="Y216" s="17" t="s">
        <v>45</v>
      </c>
      <c r="Z216" s="17">
        <v>985100</v>
      </c>
      <c r="AA216" s="17" t="s">
        <v>172</v>
      </c>
      <c r="AB216" s="17" t="s">
        <v>443</v>
      </c>
      <c r="AC216" s="17">
        <v>0</v>
      </c>
      <c r="AD216" s="21">
        <v>45398</v>
      </c>
      <c r="AE216" s="21">
        <v>2</v>
      </c>
      <c r="AF216" s="17"/>
      <c r="AG216" s="21">
        <v>368</v>
      </c>
      <c r="AH216" s="17">
        <v>48337285</v>
      </c>
      <c r="AI216" s="21">
        <v>42104</v>
      </c>
      <c r="AJ216" s="17">
        <v>4100</v>
      </c>
      <c r="AK216" s="17">
        <v>0.29749999999999999</v>
      </c>
      <c r="AL216" s="17">
        <v>1219.75</v>
      </c>
      <c r="AM216" s="17" t="b">
        <v>1</v>
      </c>
      <c r="AN216" s="17" t="b">
        <v>1</v>
      </c>
      <c r="AO216" s="21">
        <v>45398</v>
      </c>
      <c r="AP216" s="21">
        <v>45398</v>
      </c>
      <c r="AQ216" s="17" t="b">
        <v>1</v>
      </c>
      <c r="AR216" s="21">
        <v>45398</v>
      </c>
      <c r="AS216" s="21">
        <v>45398</v>
      </c>
      <c r="AT216" s="21">
        <v>42014</v>
      </c>
      <c r="AU216" s="17" t="b">
        <v>0</v>
      </c>
      <c r="AV216" s="21">
        <v>42195</v>
      </c>
      <c r="AW216" s="17" t="s">
        <v>101</v>
      </c>
      <c r="AX216" s="17" t="s">
        <v>101</v>
      </c>
      <c r="AY216" s="17" t="s">
        <v>414</v>
      </c>
      <c r="AZ216" s="17" t="s">
        <v>450</v>
      </c>
      <c r="BA216" s="21">
        <v>45398</v>
      </c>
      <c r="BB216" s="17">
        <v>0</v>
      </c>
      <c r="BC216" s="17"/>
      <c r="BD216" s="17" t="b">
        <v>0</v>
      </c>
      <c r="BE216" s="17" t="s">
        <v>2274</v>
      </c>
      <c r="BF216" s="21">
        <v>45398</v>
      </c>
      <c r="BG216" s="21">
        <v>45763</v>
      </c>
      <c r="BH216" s="17"/>
      <c r="BI216" s="21">
        <v>45398</v>
      </c>
      <c r="BJ216" s="17">
        <v>0</v>
      </c>
      <c r="BK216" s="17" t="s">
        <v>443</v>
      </c>
      <c r="BL216" s="17" t="s">
        <v>443</v>
      </c>
      <c r="BM216" s="17" t="b">
        <v>0</v>
      </c>
      <c r="BN216" s="17" t="b">
        <v>1</v>
      </c>
      <c r="BO216" s="17" t="b">
        <v>1</v>
      </c>
      <c r="BP216" s="17" t="b">
        <v>0</v>
      </c>
      <c r="BQ216" s="17" t="b">
        <v>0</v>
      </c>
      <c r="BR216" s="17" t="b">
        <v>1</v>
      </c>
      <c r="BS216" s="17" t="b">
        <v>0</v>
      </c>
      <c r="BT216" s="17" t="b">
        <v>1</v>
      </c>
      <c r="BU216" s="17" t="b">
        <v>0</v>
      </c>
      <c r="BV216" s="17">
        <v>0</v>
      </c>
      <c r="BW216" s="21">
        <v>42134</v>
      </c>
      <c r="BX216" s="17" t="s">
        <v>414</v>
      </c>
      <c r="BY216" s="17" t="s">
        <v>414</v>
      </c>
      <c r="BZ216" s="17">
        <v>0</v>
      </c>
      <c r="CA216" s="21">
        <v>45951</v>
      </c>
      <c r="CB216" s="17" t="s">
        <v>419</v>
      </c>
      <c r="CC216" s="17" t="s">
        <v>2275</v>
      </c>
      <c r="CD216" s="21"/>
      <c r="CE216" s="17"/>
      <c r="CF216" s="17" t="s">
        <v>1767</v>
      </c>
      <c r="CG216" s="17" t="b">
        <v>0</v>
      </c>
      <c r="CH216" s="17" t="s">
        <v>414</v>
      </c>
      <c r="CI216" s="17">
        <v>0</v>
      </c>
      <c r="CJ216" s="21">
        <v>1</v>
      </c>
      <c r="CK216" s="21">
        <v>1</v>
      </c>
      <c r="CL216" s="17" t="s">
        <v>414</v>
      </c>
      <c r="CM216" s="21">
        <v>1</v>
      </c>
      <c r="CN216" s="21">
        <v>1</v>
      </c>
      <c r="CO216" s="21">
        <v>1</v>
      </c>
      <c r="CP216" s="17" t="b">
        <v>0</v>
      </c>
      <c r="CQ216" s="17" t="b">
        <v>0</v>
      </c>
      <c r="CR216" s="17" t="b">
        <v>0</v>
      </c>
      <c r="CS216">
        <v>7000</v>
      </c>
      <c r="CT216" t="s">
        <v>1912</v>
      </c>
      <c r="CU216">
        <v>5384.62</v>
      </c>
      <c r="CV216">
        <v>1615.38</v>
      </c>
      <c r="CW216" s="22"/>
    </row>
    <row r="217" spans="1:101" x14ac:dyDescent="0.25">
      <c r="A217" s="20">
        <v>2027</v>
      </c>
      <c r="B217" s="17" t="s">
        <v>1769</v>
      </c>
      <c r="C217" s="17" t="s">
        <v>1770</v>
      </c>
      <c r="D217" s="17" t="s">
        <v>271</v>
      </c>
      <c r="E217" s="17" t="s">
        <v>1771</v>
      </c>
      <c r="F217" s="17" t="s">
        <v>1772</v>
      </c>
      <c r="G217" s="17" t="s">
        <v>414</v>
      </c>
      <c r="H217" s="17" t="s">
        <v>1773</v>
      </c>
      <c r="I217" s="17" t="s">
        <v>414</v>
      </c>
      <c r="J217" s="17" t="s">
        <v>16</v>
      </c>
      <c r="K217" s="17" t="b">
        <v>0</v>
      </c>
      <c r="L217" s="17" t="s">
        <v>1774</v>
      </c>
      <c r="M217" s="21">
        <v>28841</v>
      </c>
      <c r="N217" s="17" t="s">
        <v>861</v>
      </c>
      <c r="O217" s="17" t="s">
        <v>17</v>
      </c>
      <c r="P217" s="17" t="s">
        <v>18</v>
      </c>
      <c r="Q217" s="17">
        <v>16</v>
      </c>
      <c r="R217" s="17" t="s">
        <v>270</v>
      </c>
      <c r="S217" s="17">
        <v>53</v>
      </c>
      <c r="T217" s="17" t="s">
        <v>1761</v>
      </c>
      <c r="U217" s="21">
        <v>44380</v>
      </c>
      <c r="V217" s="17" t="s">
        <v>155</v>
      </c>
      <c r="W217" s="21">
        <v>1</v>
      </c>
      <c r="X217" s="17" t="s">
        <v>1775</v>
      </c>
      <c r="Y217" s="17" t="s">
        <v>45</v>
      </c>
      <c r="Z217" s="17">
        <v>985100</v>
      </c>
      <c r="AA217" s="17" t="s">
        <v>172</v>
      </c>
      <c r="AB217" s="17" t="s">
        <v>418</v>
      </c>
      <c r="AC217" s="17">
        <v>155</v>
      </c>
      <c r="AD217" s="21">
        <v>44705</v>
      </c>
      <c r="AE217" s="21">
        <v>45159</v>
      </c>
      <c r="AF217" s="17"/>
      <c r="AG217" s="21">
        <v>45525</v>
      </c>
      <c r="AH217" s="17">
        <v>61043719</v>
      </c>
      <c r="AI217" s="21">
        <v>44378</v>
      </c>
      <c r="AJ217" s="17">
        <v>4100</v>
      </c>
      <c r="AK217" s="17">
        <v>0.29749999999999999</v>
      </c>
      <c r="AL217" s="17">
        <v>1219.75</v>
      </c>
      <c r="AM217" s="17" t="b">
        <v>1</v>
      </c>
      <c r="AN217" s="17" t="b">
        <v>1</v>
      </c>
      <c r="AO217" s="21">
        <v>44390</v>
      </c>
      <c r="AP217" s="21">
        <v>44405</v>
      </c>
      <c r="AQ217" s="17" t="b">
        <v>1</v>
      </c>
      <c r="AR217" s="21">
        <v>45398</v>
      </c>
      <c r="AS217" s="21">
        <v>45398</v>
      </c>
      <c r="AT217" s="21">
        <v>44287</v>
      </c>
      <c r="AU217" s="17" t="b">
        <v>0</v>
      </c>
      <c r="AV217" s="21">
        <v>44472</v>
      </c>
      <c r="AW217" s="17" t="s">
        <v>101</v>
      </c>
      <c r="AX217" s="17" t="s">
        <v>101</v>
      </c>
      <c r="AY217" s="17" t="s">
        <v>414</v>
      </c>
      <c r="AZ217" s="17" t="s">
        <v>450</v>
      </c>
      <c r="BA217" s="21">
        <v>45398</v>
      </c>
      <c r="BB217" s="17">
        <v>0</v>
      </c>
      <c r="BC217" s="17"/>
      <c r="BD217" s="17" t="b">
        <v>0</v>
      </c>
      <c r="BE217" s="17" t="s">
        <v>2276</v>
      </c>
      <c r="BF217" s="21">
        <v>45398</v>
      </c>
      <c r="BG217" s="21">
        <v>45763</v>
      </c>
      <c r="BH217" s="17"/>
      <c r="BI217" s="21">
        <v>44748</v>
      </c>
      <c r="BJ217" s="17">
        <v>0</v>
      </c>
      <c r="BK217" s="17" t="s">
        <v>443</v>
      </c>
      <c r="BL217" s="17" t="s">
        <v>443</v>
      </c>
      <c r="BM217" s="17" t="b">
        <v>1</v>
      </c>
      <c r="BN217" s="17" t="b">
        <v>1</v>
      </c>
      <c r="BO217" s="17" t="b">
        <v>1</v>
      </c>
      <c r="BP217" s="17" t="b">
        <v>1</v>
      </c>
      <c r="BQ217" s="17" t="b">
        <v>1</v>
      </c>
      <c r="BR217" s="17" t="b">
        <v>1</v>
      </c>
      <c r="BS217" s="17" t="b">
        <v>1</v>
      </c>
      <c r="BT217" s="17" t="b">
        <v>0</v>
      </c>
      <c r="BU217" s="17" t="b">
        <v>1</v>
      </c>
      <c r="BV217" s="17">
        <v>0</v>
      </c>
      <c r="BW217" s="21">
        <v>44411</v>
      </c>
      <c r="BX217" s="17" t="s">
        <v>414</v>
      </c>
      <c r="BY217" s="17" t="s">
        <v>414</v>
      </c>
      <c r="BZ217" s="17">
        <v>0</v>
      </c>
      <c r="CA217" s="21">
        <v>45951</v>
      </c>
      <c r="CB217" s="17" t="s">
        <v>419</v>
      </c>
      <c r="CC217" s="17" t="s">
        <v>2277</v>
      </c>
      <c r="CD217" s="21"/>
      <c r="CE217" s="17"/>
      <c r="CF217" s="17" t="s">
        <v>1776</v>
      </c>
      <c r="CG217" s="17" t="b">
        <v>0</v>
      </c>
      <c r="CH217" s="17" t="s">
        <v>1777</v>
      </c>
      <c r="CI217" s="17">
        <v>0</v>
      </c>
      <c r="CJ217" s="21">
        <v>1</v>
      </c>
      <c r="CK217" s="21">
        <v>1</v>
      </c>
      <c r="CL217" s="17" t="s">
        <v>414</v>
      </c>
      <c r="CM217" s="21">
        <v>1</v>
      </c>
      <c r="CN217" s="21">
        <v>1</v>
      </c>
      <c r="CO217" s="21">
        <v>1</v>
      </c>
      <c r="CP217" s="17" t="b">
        <v>0</v>
      </c>
      <c r="CQ217" s="17" t="b">
        <v>0</v>
      </c>
      <c r="CR217" s="17" t="b">
        <v>0</v>
      </c>
      <c r="CS217">
        <v>7000</v>
      </c>
      <c r="CT217" t="s">
        <v>1912</v>
      </c>
      <c r="CU217">
        <v>5384.62</v>
      </c>
      <c r="CV217">
        <v>1615.38</v>
      </c>
      <c r="CW217" s="22"/>
    </row>
    <row r="218" spans="1:101" x14ac:dyDescent="0.25">
      <c r="A218" s="20">
        <v>2037</v>
      </c>
      <c r="B218" s="17" t="s">
        <v>764</v>
      </c>
      <c r="C218" s="17" t="s">
        <v>1778</v>
      </c>
      <c r="D218" s="17" t="s">
        <v>272</v>
      </c>
      <c r="E218" s="17" t="s">
        <v>1779</v>
      </c>
      <c r="F218" s="17" t="s">
        <v>1780</v>
      </c>
      <c r="G218" s="17" t="s">
        <v>414</v>
      </c>
      <c r="H218" s="17" t="s">
        <v>1781</v>
      </c>
      <c r="I218" s="17" t="s">
        <v>414</v>
      </c>
      <c r="J218" s="17" t="s">
        <v>16</v>
      </c>
      <c r="K218" s="17" t="b">
        <v>0</v>
      </c>
      <c r="L218" s="17" t="s">
        <v>1782</v>
      </c>
      <c r="M218" s="21">
        <v>32515</v>
      </c>
      <c r="N218" s="17" t="s">
        <v>1783</v>
      </c>
      <c r="O218" s="17" t="s">
        <v>17</v>
      </c>
      <c r="P218" s="17" t="s">
        <v>18</v>
      </c>
      <c r="Q218" s="17">
        <v>16</v>
      </c>
      <c r="R218" s="17" t="s">
        <v>270</v>
      </c>
      <c r="S218" s="17">
        <v>53</v>
      </c>
      <c r="T218" s="17" t="s">
        <v>1761</v>
      </c>
      <c r="U218" s="21">
        <v>45174</v>
      </c>
      <c r="V218" s="17" t="s">
        <v>155</v>
      </c>
      <c r="W218" s="21">
        <v>1</v>
      </c>
      <c r="X218" s="17" t="s">
        <v>1170</v>
      </c>
      <c r="Y218" s="17" t="s">
        <v>45</v>
      </c>
      <c r="Z218" s="17">
        <v>985100</v>
      </c>
      <c r="AA218" s="17" t="s">
        <v>172</v>
      </c>
      <c r="AB218" s="17" t="s">
        <v>443</v>
      </c>
      <c r="AC218" s="17">
        <v>0</v>
      </c>
      <c r="AD218" s="21">
        <v>45398</v>
      </c>
      <c r="AE218" s="21">
        <v>2</v>
      </c>
      <c r="AF218" s="17"/>
      <c r="AG218" s="21">
        <v>368</v>
      </c>
      <c r="AH218" s="17">
        <v>21344592</v>
      </c>
      <c r="AI218" s="21">
        <v>45174</v>
      </c>
      <c r="AJ218" s="17">
        <v>4100</v>
      </c>
      <c r="AK218" s="17">
        <v>0.29749999999999999</v>
      </c>
      <c r="AL218" s="17">
        <v>1219.75</v>
      </c>
      <c r="AM218" s="17" t="b">
        <v>1</v>
      </c>
      <c r="AN218" s="17" t="b">
        <v>1</v>
      </c>
      <c r="AO218" s="21">
        <v>45179</v>
      </c>
      <c r="AP218" s="21">
        <v>45186</v>
      </c>
      <c r="AQ218" s="17" t="b">
        <v>1</v>
      </c>
      <c r="AR218" s="21">
        <v>45398</v>
      </c>
      <c r="AS218" s="21">
        <v>45398</v>
      </c>
      <c r="AT218" s="21">
        <v>45082</v>
      </c>
      <c r="AU218" s="17" t="b">
        <v>0</v>
      </c>
      <c r="AV218" s="21">
        <v>45265</v>
      </c>
      <c r="AW218" s="17" t="s">
        <v>101</v>
      </c>
      <c r="AX218" s="17" t="s">
        <v>101</v>
      </c>
      <c r="AY218" s="17" t="s">
        <v>414</v>
      </c>
      <c r="AZ218" s="17" t="s">
        <v>450</v>
      </c>
      <c r="BA218" s="21">
        <v>45398</v>
      </c>
      <c r="BB218" s="17">
        <v>27266</v>
      </c>
      <c r="BC218" s="17"/>
      <c r="BD218" s="17" t="b">
        <v>0</v>
      </c>
      <c r="BE218" s="17" t="s">
        <v>2278</v>
      </c>
      <c r="BF218" s="21">
        <v>45398</v>
      </c>
      <c r="BG218" s="21">
        <v>45763</v>
      </c>
      <c r="BH218" s="17"/>
      <c r="BI218" s="21">
        <v>47023</v>
      </c>
      <c r="BJ218" s="17">
        <v>0</v>
      </c>
      <c r="BK218" s="17" t="s">
        <v>423</v>
      </c>
      <c r="BL218" s="17" t="s">
        <v>459</v>
      </c>
      <c r="BM218" s="17" t="b">
        <v>1</v>
      </c>
      <c r="BN218" s="17" t="b">
        <v>0</v>
      </c>
      <c r="BO218" s="17" t="b">
        <v>1</v>
      </c>
      <c r="BP218" s="17" t="b">
        <v>1</v>
      </c>
      <c r="BQ218" s="17" t="b">
        <v>1</v>
      </c>
      <c r="BR218" s="17" t="b">
        <v>1</v>
      </c>
      <c r="BS218" s="17" t="b">
        <v>1</v>
      </c>
      <c r="BT218" s="17" t="b">
        <v>1</v>
      </c>
      <c r="BU218" s="17" t="b">
        <v>1</v>
      </c>
      <c r="BV218" s="17">
        <v>0</v>
      </c>
      <c r="BW218" s="21">
        <v>45204</v>
      </c>
      <c r="BX218" s="17" t="s">
        <v>414</v>
      </c>
      <c r="BY218" s="17" t="s">
        <v>414</v>
      </c>
      <c r="BZ218" s="17">
        <v>0</v>
      </c>
      <c r="CA218" s="21">
        <v>45951</v>
      </c>
      <c r="CB218" s="17" t="s">
        <v>419</v>
      </c>
      <c r="CC218" s="17" t="s">
        <v>2279</v>
      </c>
      <c r="CD218" s="21"/>
      <c r="CE218" s="17"/>
      <c r="CF218" s="17" t="s">
        <v>1784</v>
      </c>
      <c r="CG218" s="17" t="b">
        <v>0</v>
      </c>
      <c r="CH218" s="17" t="s">
        <v>1317</v>
      </c>
      <c r="CI218" s="17">
        <v>0</v>
      </c>
      <c r="CJ218" s="21">
        <v>1</v>
      </c>
      <c r="CK218" s="21">
        <v>1</v>
      </c>
      <c r="CL218" s="17" t="s">
        <v>414</v>
      </c>
      <c r="CM218" s="21">
        <v>1</v>
      </c>
      <c r="CN218" s="21">
        <v>1</v>
      </c>
      <c r="CO218" s="21">
        <v>1</v>
      </c>
      <c r="CP218" s="17" t="b">
        <v>0</v>
      </c>
      <c r="CQ218" s="17" t="b">
        <v>0</v>
      </c>
      <c r="CR218" s="17" t="b">
        <v>0</v>
      </c>
      <c r="CS218">
        <v>7000</v>
      </c>
      <c r="CT218" t="s">
        <v>1912</v>
      </c>
      <c r="CU218">
        <v>5384.62</v>
      </c>
      <c r="CV218">
        <v>1615.38</v>
      </c>
      <c r="CW218" s="22"/>
    </row>
    <row r="219" spans="1:101" x14ac:dyDescent="0.25">
      <c r="A219" s="20">
        <v>3001</v>
      </c>
      <c r="B219" s="17" t="s">
        <v>669</v>
      </c>
      <c r="C219" s="17" t="s">
        <v>412</v>
      </c>
      <c r="D219" s="17" t="s">
        <v>273</v>
      </c>
      <c r="E219" s="17" t="s">
        <v>1785</v>
      </c>
      <c r="F219" s="17" t="s">
        <v>1786</v>
      </c>
      <c r="G219" s="17" t="s">
        <v>414</v>
      </c>
      <c r="H219" s="17" t="s">
        <v>1787</v>
      </c>
      <c r="I219" s="17" t="s">
        <v>414</v>
      </c>
      <c r="J219" s="17" t="s">
        <v>16</v>
      </c>
      <c r="K219" s="17" t="b">
        <v>0</v>
      </c>
      <c r="L219" s="17" t="s">
        <v>1788</v>
      </c>
      <c r="M219" s="21">
        <v>31841</v>
      </c>
      <c r="N219" s="17" t="s">
        <v>414</v>
      </c>
      <c r="O219" s="17" t="s">
        <v>17</v>
      </c>
      <c r="P219" s="17" t="s">
        <v>18</v>
      </c>
      <c r="Q219" s="17">
        <v>17</v>
      </c>
      <c r="R219" s="17" t="s">
        <v>154</v>
      </c>
      <c r="S219" s="17">
        <v>54</v>
      </c>
      <c r="T219" s="17" t="s">
        <v>1789</v>
      </c>
      <c r="U219" s="21">
        <v>41944</v>
      </c>
      <c r="V219" s="17" t="s">
        <v>108</v>
      </c>
      <c r="W219" s="21">
        <v>1.3368055555555554</v>
      </c>
      <c r="X219" s="17" t="s">
        <v>1170</v>
      </c>
      <c r="Y219" s="17" t="s">
        <v>45</v>
      </c>
      <c r="Z219" s="17">
        <v>219100</v>
      </c>
      <c r="AA219" s="17" t="s">
        <v>274</v>
      </c>
      <c r="AB219" s="17" t="s">
        <v>418</v>
      </c>
      <c r="AC219" s="17">
        <v>6</v>
      </c>
      <c r="AD219" s="21">
        <v>42878</v>
      </c>
      <c r="AE219" s="21">
        <v>45012</v>
      </c>
      <c r="AF219" s="17"/>
      <c r="AG219" s="21">
        <v>45378</v>
      </c>
      <c r="AH219" s="17">
        <v>15956457</v>
      </c>
      <c r="AI219" s="21">
        <v>41944</v>
      </c>
      <c r="AJ219" s="17">
        <v>4423</v>
      </c>
      <c r="AK219" s="17">
        <v>0.29749999999999999</v>
      </c>
      <c r="AL219" s="17">
        <v>1315.84</v>
      </c>
      <c r="AM219" s="17" t="b">
        <v>0</v>
      </c>
      <c r="AN219" s="17" t="b">
        <v>1</v>
      </c>
      <c r="AO219" s="21">
        <v>45398</v>
      </c>
      <c r="AP219" s="21">
        <v>45398</v>
      </c>
      <c r="AQ219" s="17" t="b">
        <v>1</v>
      </c>
      <c r="AR219" s="21">
        <v>45398</v>
      </c>
      <c r="AS219" s="21">
        <v>45398</v>
      </c>
      <c r="AT219" s="21">
        <v>41852</v>
      </c>
      <c r="AU219" s="17" t="b">
        <v>0</v>
      </c>
      <c r="AV219" s="21">
        <v>42036</v>
      </c>
      <c r="AW219" s="17" t="s">
        <v>275</v>
      </c>
      <c r="AX219" s="17" t="s">
        <v>275</v>
      </c>
      <c r="AY219" s="17" t="s">
        <v>414</v>
      </c>
      <c r="AZ219" s="17" t="s">
        <v>450</v>
      </c>
      <c r="BA219" s="21">
        <v>45398</v>
      </c>
      <c r="BB219" s="17">
        <v>0</v>
      </c>
      <c r="BC219" s="17"/>
      <c r="BD219" s="17" t="b">
        <v>0</v>
      </c>
      <c r="BE219" s="17" t="s">
        <v>2280</v>
      </c>
      <c r="BF219" s="21">
        <v>45398</v>
      </c>
      <c r="BG219" s="21">
        <v>45763</v>
      </c>
      <c r="BH219" s="17"/>
      <c r="BI219" s="21">
        <v>44649</v>
      </c>
      <c r="BJ219" s="17">
        <v>0</v>
      </c>
      <c r="BK219" s="17" t="s">
        <v>443</v>
      </c>
      <c r="BL219" s="17" t="s">
        <v>443</v>
      </c>
      <c r="BM219" s="17" t="b">
        <v>0</v>
      </c>
      <c r="BN219" s="17" t="b">
        <v>1</v>
      </c>
      <c r="BO219" s="17" t="b">
        <v>1</v>
      </c>
      <c r="BP219" s="17" t="b">
        <v>0</v>
      </c>
      <c r="BQ219" s="17" t="b">
        <v>0</v>
      </c>
      <c r="BR219" s="17" t="b">
        <v>1</v>
      </c>
      <c r="BS219" s="17" t="b">
        <v>0</v>
      </c>
      <c r="BT219" s="17" t="b">
        <v>1</v>
      </c>
      <c r="BU219" s="17" t="b">
        <v>0</v>
      </c>
      <c r="BV219" s="17">
        <v>0</v>
      </c>
      <c r="BW219" s="21">
        <v>41974</v>
      </c>
      <c r="BX219" s="17" t="s">
        <v>414</v>
      </c>
      <c r="BY219" s="17" t="s">
        <v>414</v>
      </c>
      <c r="BZ219" s="17">
        <v>0</v>
      </c>
      <c r="CA219" s="21">
        <v>45959</v>
      </c>
      <c r="CB219" s="17" t="s">
        <v>419</v>
      </c>
      <c r="CC219" s="17" t="s">
        <v>2281</v>
      </c>
      <c r="CD219" s="21"/>
      <c r="CE219" s="17"/>
      <c r="CF219" s="17" t="s">
        <v>894</v>
      </c>
      <c r="CG219" s="17" t="b">
        <v>0</v>
      </c>
      <c r="CH219" s="17" t="s">
        <v>425</v>
      </c>
      <c r="CI219" s="17">
        <v>2001</v>
      </c>
      <c r="CJ219" s="21">
        <v>1</v>
      </c>
      <c r="CK219" s="21">
        <v>1</v>
      </c>
      <c r="CL219" s="17" t="s">
        <v>414</v>
      </c>
      <c r="CM219" s="21">
        <v>1</v>
      </c>
      <c r="CN219" s="21">
        <v>1</v>
      </c>
      <c r="CO219" s="21">
        <v>1</v>
      </c>
      <c r="CP219" s="17" t="b">
        <v>0</v>
      </c>
      <c r="CQ219" s="17" t="b">
        <v>0</v>
      </c>
      <c r="CR219" s="17" t="b">
        <v>0</v>
      </c>
      <c r="CS219">
        <v>8500</v>
      </c>
      <c r="CT219" t="s">
        <v>1979</v>
      </c>
      <c r="CU219">
        <v>6538.46</v>
      </c>
      <c r="CV219">
        <v>1961.54</v>
      </c>
      <c r="CW219" s="22"/>
    </row>
    <row r="220" spans="1:101" x14ac:dyDescent="0.25">
      <c r="A220" s="20">
        <v>3003</v>
      </c>
      <c r="B220" s="17" t="s">
        <v>427</v>
      </c>
      <c r="C220" s="17" t="s">
        <v>568</v>
      </c>
      <c r="D220" s="17" t="s">
        <v>276</v>
      </c>
      <c r="E220" s="17" t="s">
        <v>1790</v>
      </c>
      <c r="F220" s="17" t="s">
        <v>1791</v>
      </c>
      <c r="G220" s="17" t="s">
        <v>414</v>
      </c>
      <c r="H220" s="17" t="s">
        <v>1792</v>
      </c>
      <c r="I220" s="17" t="s">
        <v>414</v>
      </c>
      <c r="J220" s="17" t="s">
        <v>16</v>
      </c>
      <c r="K220" s="17" t="b">
        <v>0</v>
      </c>
      <c r="L220" s="17" t="s">
        <v>1793</v>
      </c>
      <c r="M220" s="21">
        <v>34201</v>
      </c>
      <c r="N220" s="17" t="s">
        <v>414</v>
      </c>
      <c r="O220" s="17" t="s">
        <v>17</v>
      </c>
      <c r="P220" s="17" t="s">
        <v>18</v>
      </c>
      <c r="Q220" s="17">
        <v>17</v>
      </c>
      <c r="R220" s="17" t="s">
        <v>154</v>
      </c>
      <c r="S220" s="17">
        <v>55</v>
      </c>
      <c r="T220" s="17" t="s">
        <v>277</v>
      </c>
      <c r="U220" s="21">
        <v>42583</v>
      </c>
      <c r="V220" s="17" t="s">
        <v>108</v>
      </c>
      <c r="W220" s="21">
        <v>1.34375</v>
      </c>
      <c r="X220" s="17" t="s">
        <v>1179</v>
      </c>
      <c r="Y220" s="17" t="s">
        <v>45</v>
      </c>
      <c r="Z220" s="17">
        <v>110200</v>
      </c>
      <c r="AA220" s="17" t="s">
        <v>277</v>
      </c>
      <c r="AB220" s="17" t="s">
        <v>443</v>
      </c>
      <c r="AC220" s="17">
        <v>0</v>
      </c>
      <c r="AD220" s="21">
        <v>45398</v>
      </c>
      <c r="AE220" s="21">
        <v>2</v>
      </c>
      <c r="AF220" s="17"/>
      <c r="AG220" s="21">
        <v>368</v>
      </c>
      <c r="AH220" s="17">
        <v>73564971</v>
      </c>
      <c r="AI220" s="21">
        <v>42675</v>
      </c>
      <c r="AJ220" s="17">
        <v>4423</v>
      </c>
      <c r="AK220" s="17">
        <v>0.29749999999999999</v>
      </c>
      <c r="AL220" s="17">
        <v>1315.84</v>
      </c>
      <c r="AM220" s="17" t="b">
        <v>1</v>
      </c>
      <c r="AN220" s="17" t="b">
        <v>1</v>
      </c>
      <c r="AO220" s="21">
        <v>45398</v>
      </c>
      <c r="AP220" s="21">
        <v>45398</v>
      </c>
      <c r="AQ220" s="17" t="b">
        <v>1</v>
      </c>
      <c r="AR220" s="21">
        <v>45398</v>
      </c>
      <c r="AS220" s="21">
        <v>45398</v>
      </c>
      <c r="AT220" s="21">
        <v>42583</v>
      </c>
      <c r="AU220" s="17" t="b">
        <v>0</v>
      </c>
      <c r="AV220" s="21">
        <v>42675</v>
      </c>
      <c r="AW220" s="17" t="s">
        <v>101</v>
      </c>
      <c r="AX220" s="17" t="s">
        <v>101</v>
      </c>
      <c r="AY220" s="17" t="s">
        <v>414</v>
      </c>
      <c r="AZ220" s="17" t="s">
        <v>450</v>
      </c>
      <c r="BA220" s="21">
        <v>45398</v>
      </c>
      <c r="BB220" s="17">
        <v>0</v>
      </c>
      <c r="BC220" s="17"/>
      <c r="BD220" s="17" t="b">
        <v>0</v>
      </c>
      <c r="BE220" s="17" t="s">
        <v>2282</v>
      </c>
      <c r="BF220" s="21">
        <v>45398</v>
      </c>
      <c r="BG220" s="21">
        <v>45763</v>
      </c>
      <c r="BH220" s="17"/>
      <c r="BI220" s="21">
        <v>44886</v>
      </c>
      <c r="BJ220" s="17">
        <v>0</v>
      </c>
      <c r="BK220" s="17" t="s">
        <v>443</v>
      </c>
      <c r="BL220" s="17" t="s">
        <v>443</v>
      </c>
      <c r="BM220" s="17" t="b">
        <v>0</v>
      </c>
      <c r="BN220" s="17" t="b">
        <v>0</v>
      </c>
      <c r="BO220" s="17" t="b">
        <v>1</v>
      </c>
      <c r="BP220" s="17" t="b">
        <v>0</v>
      </c>
      <c r="BQ220" s="17" t="b">
        <v>0</v>
      </c>
      <c r="BR220" s="17" t="b">
        <v>1</v>
      </c>
      <c r="BS220" s="17" t="b">
        <v>0</v>
      </c>
      <c r="BT220" s="17" t="b">
        <v>0</v>
      </c>
      <c r="BU220" s="17" t="b">
        <v>0</v>
      </c>
      <c r="BV220" s="17">
        <v>0</v>
      </c>
      <c r="BW220" s="21">
        <v>42614</v>
      </c>
      <c r="BX220" s="17" t="s">
        <v>414</v>
      </c>
      <c r="BY220" s="17" t="s">
        <v>414</v>
      </c>
      <c r="BZ220" s="17">
        <v>0</v>
      </c>
      <c r="CA220" s="21">
        <v>45959</v>
      </c>
      <c r="CB220" s="17" t="s">
        <v>419</v>
      </c>
      <c r="CC220" s="17" t="s">
        <v>1923</v>
      </c>
      <c r="CD220" s="21"/>
      <c r="CE220" s="17"/>
      <c r="CF220" s="17" t="s">
        <v>1794</v>
      </c>
      <c r="CG220" s="17" t="b">
        <v>0</v>
      </c>
      <c r="CH220" s="17" t="s">
        <v>425</v>
      </c>
      <c r="CI220" s="17">
        <v>3001</v>
      </c>
      <c r="CJ220" s="21">
        <v>1</v>
      </c>
      <c r="CK220" s="21">
        <v>1</v>
      </c>
      <c r="CL220" s="17" t="s">
        <v>414</v>
      </c>
      <c r="CM220" s="21">
        <v>1</v>
      </c>
      <c r="CN220" s="21">
        <v>1</v>
      </c>
      <c r="CO220" s="21">
        <v>1</v>
      </c>
      <c r="CP220" s="17" t="b">
        <v>0</v>
      </c>
      <c r="CQ220" s="17" t="b">
        <v>0</v>
      </c>
      <c r="CR220" s="17" t="b">
        <v>0</v>
      </c>
      <c r="CS220">
        <v>8500</v>
      </c>
      <c r="CT220" t="s">
        <v>1979</v>
      </c>
      <c r="CU220">
        <v>6538.46</v>
      </c>
      <c r="CV220">
        <v>1961.54</v>
      </c>
      <c r="CW220" s="22"/>
    </row>
    <row r="221" spans="1:101" x14ac:dyDescent="0.25">
      <c r="A221" s="20">
        <v>3004</v>
      </c>
      <c r="B221" s="17" t="s">
        <v>426</v>
      </c>
      <c r="C221" s="17" t="s">
        <v>426</v>
      </c>
      <c r="D221" s="17" t="s">
        <v>278</v>
      </c>
      <c r="E221" s="17" t="s">
        <v>1795</v>
      </c>
      <c r="F221" s="17" t="s">
        <v>1796</v>
      </c>
      <c r="G221" s="17" t="s">
        <v>414</v>
      </c>
      <c r="H221" s="17" t="s">
        <v>1797</v>
      </c>
      <c r="I221" s="17" t="s">
        <v>414</v>
      </c>
      <c r="J221" s="17" t="s">
        <v>16</v>
      </c>
      <c r="K221" s="17" t="b">
        <v>0</v>
      </c>
      <c r="L221" s="17" t="s">
        <v>1798</v>
      </c>
      <c r="M221" s="21">
        <v>33604</v>
      </c>
      <c r="N221" s="17" t="s">
        <v>414</v>
      </c>
      <c r="O221" s="17" t="s">
        <v>17</v>
      </c>
      <c r="P221" s="17" t="s">
        <v>18</v>
      </c>
      <c r="Q221" s="17">
        <v>17</v>
      </c>
      <c r="R221" s="17" t="s">
        <v>154</v>
      </c>
      <c r="S221" s="17">
        <v>55</v>
      </c>
      <c r="T221" s="17" t="s">
        <v>277</v>
      </c>
      <c r="U221" s="21">
        <v>43466</v>
      </c>
      <c r="V221" s="17" t="s">
        <v>108</v>
      </c>
      <c r="W221" s="21">
        <v>1.3402777777777777</v>
      </c>
      <c r="X221" s="17" t="s">
        <v>1799</v>
      </c>
      <c r="Y221" s="17" t="s">
        <v>45</v>
      </c>
      <c r="Z221" s="17">
        <v>110200</v>
      </c>
      <c r="AA221" s="17" t="s">
        <v>277</v>
      </c>
      <c r="AB221" s="17" t="s">
        <v>418</v>
      </c>
      <c r="AC221" s="17">
        <v>0</v>
      </c>
      <c r="AD221" s="21">
        <v>45398</v>
      </c>
      <c r="AE221" s="21">
        <v>2</v>
      </c>
      <c r="AF221" s="17"/>
      <c r="AG221" s="21">
        <v>368</v>
      </c>
      <c r="AH221" s="17">
        <v>72795051</v>
      </c>
      <c r="AI221" s="21">
        <v>42401</v>
      </c>
      <c r="AJ221" s="17">
        <v>4423</v>
      </c>
      <c r="AK221" s="17">
        <v>0.29749999999999999</v>
      </c>
      <c r="AL221" s="17">
        <v>1315.84</v>
      </c>
      <c r="AM221" s="17" t="b">
        <v>1</v>
      </c>
      <c r="AN221" s="17" t="b">
        <v>1</v>
      </c>
      <c r="AO221" s="21">
        <v>45398</v>
      </c>
      <c r="AP221" s="21">
        <v>45398</v>
      </c>
      <c r="AQ221" s="17" t="b">
        <v>1</v>
      </c>
      <c r="AR221" s="21">
        <v>45398</v>
      </c>
      <c r="AS221" s="21">
        <v>45398</v>
      </c>
      <c r="AT221" s="21">
        <v>42309</v>
      </c>
      <c r="AU221" s="17" t="b">
        <v>0</v>
      </c>
      <c r="AV221" s="21">
        <v>43556</v>
      </c>
      <c r="AW221" s="17" t="s">
        <v>101</v>
      </c>
      <c r="AX221" s="17" t="s">
        <v>101</v>
      </c>
      <c r="AY221" s="17" t="s">
        <v>414</v>
      </c>
      <c r="AZ221" s="17" t="s">
        <v>450</v>
      </c>
      <c r="BA221" s="21">
        <v>45398</v>
      </c>
      <c r="BB221" s="17">
        <v>0</v>
      </c>
      <c r="BC221" s="17"/>
      <c r="BD221" s="17" t="b">
        <v>0</v>
      </c>
      <c r="BE221" s="17" t="s">
        <v>2030</v>
      </c>
      <c r="BF221" s="21">
        <v>45398</v>
      </c>
      <c r="BG221" s="21">
        <v>45763</v>
      </c>
      <c r="BH221" s="17"/>
      <c r="BI221" s="21">
        <v>44431</v>
      </c>
      <c r="BJ221" s="17">
        <v>0</v>
      </c>
      <c r="BK221" s="17" t="s">
        <v>443</v>
      </c>
      <c r="BL221" s="17" t="s">
        <v>443</v>
      </c>
      <c r="BM221" s="17" t="b">
        <v>1</v>
      </c>
      <c r="BN221" s="17" t="b">
        <v>0</v>
      </c>
      <c r="BO221" s="17" t="b">
        <v>1</v>
      </c>
      <c r="BP221" s="17" t="b">
        <v>0</v>
      </c>
      <c r="BQ221" s="17" t="b">
        <v>0</v>
      </c>
      <c r="BR221" s="17" t="b">
        <v>0</v>
      </c>
      <c r="BS221" s="17" t="b">
        <v>1</v>
      </c>
      <c r="BT221" s="17" t="b">
        <v>1</v>
      </c>
      <c r="BU221" s="17" t="b">
        <v>0</v>
      </c>
      <c r="BV221" s="17">
        <v>0</v>
      </c>
      <c r="BW221" s="21">
        <v>43497</v>
      </c>
      <c r="BX221" s="17" t="s">
        <v>414</v>
      </c>
      <c r="BY221" s="17" t="s">
        <v>414</v>
      </c>
      <c r="BZ221" s="17">
        <v>0</v>
      </c>
      <c r="CA221" s="21">
        <v>45959</v>
      </c>
      <c r="CB221" s="17" t="s">
        <v>419</v>
      </c>
      <c r="CC221" s="17" t="s">
        <v>2283</v>
      </c>
      <c r="CD221" s="21"/>
      <c r="CE221" s="17"/>
      <c r="CF221" s="17" t="s">
        <v>601</v>
      </c>
      <c r="CG221" s="17" t="b">
        <v>0</v>
      </c>
      <c r="CH221" s="17" t="s">
        <v>425</v>
      </c>
      <c r="CI221" s="17">
        <v>3001</v>
      </c>
      <c r="CJ221" s="21">
        <v>1</v>
      </c>
      <c r="CK221" s="21">
        <v>1</v>
      </c>
      <c r="CL221" s="17" t="s">
        <v>414</v>
      </c>
      <c r="CM221" s="21">
        <v>1</v>
      </c>
      <c r="CN221" s="21">
        <v>1</v>
      </c>
      <c r="CO221" s="21">
        <v>1</v>
      </c>
      <c r="CP221" s="17" t="b">
        <v>0</v>
      </c>
      <c r="CQ221" s="17" t="b">
        <v>0</v>
      </c>
      <c r="CR221" s="17" t="b">
        <v>0</v>
      </c>
      <c r="CS221">
        <v>8500</v>
      </c>
      <c r="CT221" t="s">
        <v>1979</v>
      </c>
      <c r="CU221">
        <v>6538.46</v>
      </c>
      <c r="CV221">
        <v>1961.54</v>
      </c>
      <c r="CW221" s="22"/>
    </row>
    <row r="222" spans="1:101" x14ac:dyDescent="0.25">
      <c r="A222" s="20">
        <v>3005</v>
      </c>
      <c r="B222" s="17" t="s">
        <v>620</v>
      </c>
      <c r="C222" s="17" t="s">
        <v>426</v>
      </c>
      <c r="D222" s="17" t="s">
        <v>279</v>
      </c>
      <c r="E222" s="17" t="s">
        <v>1800</v>
      </c>
      <c r="F222" s="17" t="s">
        <v>1801</v>
      </c>
      <c r="G222" s="17" t="s">
        <v>414</v>
      </c>
      <c r="H222" s="17" t="s">
        <v>1802</v>
      </c>
      <c r="I222" s="17" t="s">
        <v>414</v>
      </c>
      <c r="J222" s="17" t="s">
        <v>16</v>
      </c>
      <c r="K222" s="17" t="b">
        <v>0</v>
      </c>
      <c r="L222" s="17" t="s">
        <v>1803</v>
      </c>
      <c r="M222" s="21">
        <v>33878</v>
      </c>
      <c r="N222" s="17" t="s">
        <v>414</v>
      </c>
      <c r="O222" s="17" t="s">
        <v>17</v>
      </c>
      <c r="P222" s="17" t="s">
        <v>18</v>
      </c>
      <c r="Q222" s="17">
        <v>8</v>
      </c>
      <c r="R222" s="17" t="s">
        <v>107</v>
      </c>
      <c r="S222" s="17">
        <v>56</v>
      </c>
      <c r="T222" s="17" t="s">
        <v>1768</v>
      </c>
      <c r="U222" s="21">
        <v>42789</v>
      </c>
      <c r="V222" s="17" t="s">
        <v>155</v>
      </c>
      <c r="W222" s="21">
        <v>1</v>
      </c>
      <c r="X222" s="17" t="s">
        <v>1170</v>
      </c>
      <c r="Y222" s="17" t="s">
        <v>45</v>
      </c>
      <c r="Z222" s="17">
        <v>985100</v>
      </c>
      <c r="AA222" s="17" t="s">
        <v>172</v>
      </c>
      <c r="AB222" s="17" t="s">
        <v>418</v>
      </c>
      <c r="AC222" s="17">
        <v>47</v>
      </c>
      <c r="AD222" s="21">
        <v>43465</v>
      </c>
      <c r="AE222" s="21">
        <v>45159</v>
      </c>
      <c r="AF222" s="17"/>
      <c r="AG222" s="21">
        <v>45525</v>
      </c>
      <c r="AH222" s="17">
        <v>60517322</v>
      </c>
      <c r="AI222" s="21">
        <v>42878</v>
      </c>
      <c r="AJ222" s="17">
        <v>4100</v>
      </c>
      <c r="AK222" s="17">
        <v>0.29749999999999999</v>
      </c>
      <c r="AL222" s="17">
        <v>1219.75</v>
      </c>
      <c r="AM222" s="17" t="b">
        <v>1</v>
      </c>
      <c r="AN222" s="17" t="b">
        <v>1</v>
      </c>
      <c r="AO222" s="21">
        <v>45398</v>
      </c>
      <c r="AP222" s="21">
        <v>45398</v>
      </c>
      <c r="AQ222" s="17" t="b">
        <v>1</v>
      </c>
      <c r="AR222" s="21">
        <v>45398</v>
      </c>
      <c r="AS222" s="21">
        <v>45398</v>
      </c>
      <c r="AT222" s="21">
        <v>42789</v>
      </c>
      <c r="AU222" s="17" t="b">
        <v>0</v>
      </c>
      <c r="AV222" s="21">
        <v>42878</v>
      </c>
      <c r="AW222" s="17" t="s">
        <v>101</v>
      </c>
      <c r="AX222" s="17" t="s">
        <v>101</v>
      </c>
      <c r="AY222" s="17" t="s">
        <v>414</v>
      </c>
      <c r="AZ222" s="17" t="s">
        <v>450</v>
      </c>
      <c r="BA222" s="21">
        <v>45398</v>
      </c>
      <c r="BB222" s="17">
        <v>0</v>
      </c>
      <c r="BC222" s="17"/>
      <c r="BD222" s="17" t="b">
        <v>0</v>
      </c>
      <c r="BE222" s="17" t="s">
        <v>2284</v>
      </c>
      <c r="BF222" s="21">
        <v>45398</v>
      </c>
      <c r="BG222" s="21">
        <v>45763</v>
      </c>
      <c r="BH222" s="17"/>
      <c r="BI222" s="21">
        <v>45377</v>
      </c>
      <c r="BJ222" s="17">
        <v>0</v>
      </c>
      <c r="BK222" s="17" t="s">
        <v>443</v>
      </c>
      <c r="BL222" s="17" t="s">
        <v>443</v>
      </c>
      <c r="BM222" s="17" t="b">
        <v>0</v>
      </c>
      <c r="BN222" s="17" t="b">
        <v>0</v>
      </c>
      <c r="BO222" s="17" t="b">
        <v>1</v>
      </c>
      <c r="BP222" s="17" t="b">
        <v>0</v>
      </c>
      <c r="BQ222" s="17" t="b">
        <v>1</v>
      </c>
      <c r="BR222" s="17" t="b">
        <v>1</v>
      </c>
      <c r="BS222" s="17" t="b">
        <v>0</v>
      </c>
      <c r="BT222" s="17" t="b">
        <v>1</v>
      </c>
      <c r="BU222" s="17" t="b">
        <v>0</v>
      </c>
      <c r="BV222" s="17">
        <v>0</v>
      </c>
      <c r="BW222" s="21">
        <v>42817</v>
      </c>
      <c r="BX222" s="17" t="s">
        <v>414</v>
      </c>
      <c r="BY222" s="17" t="s">
        <v>414</v>
      </c>
      <c r="BZ222" s="17">
        <v>0</v>
      </c>
      <c r="CA222" s="21">
        <v>45951</v>
      </c>
      <c r="CB222" s="17" t="s">
        <v>419</v>
      </c>
      <c r="CC222" s="17" t="s">
        <v>2125</v>
      </c>
      <c r="CD222" s="21"/>
      <c r="CE222" s="17"/>
      <c r="CF222" s="17" t="s">
        <v>601</v>
      </c>
      <c r="CG222" s="17" t="b">
        <v>0</v>
      </c>
      <c r="CH222" s="17" t="s">
        <v>425</v>
      </c>
      <c r="CI222" s="17">
        <v>0</v>
      </c>
      <c r="CJ222" s="21">
        <v>1</v>
      </c>
      <c r="CK222" s="21">
        <v>1</v>
      </c>
      <c r="CL222" s="17" t="s">
        <v>414</v>
      </c>
      <c r="CM222" s="21">
        <v>1</v>
      </c>
      <c r="CN222" s="21">
        <v>1</v>
      </c>
      <c r="CO222" s="21">
        <v>1</v>
      </c>
      <c r="CP222" s="17" t="b">
        <v>0</v>
      </c>
      <c r="CQ222" s="17" t="b">
        <v>0</v>
      </c>
      <c r="CR222" s="17" t="b">
        <v>0</v>
      </c>
      <c r="CS222">
        <v>7300</v>
      </c>
      <c r="CT222" t="s">
        <v>1911</v>
      </c>
      <c r="CU222">
        <v>5615.38</v>
      </c>
      <c r="CV222">
        <v>1684.62</v>
      </c>
      <c r="CW222" s="22"/>
    </row>
    <row r="223" spans="1:101" x14ac:dyDescent="0.25">
      <c r="A223" s="20">
        <v>3006</v>
      </c>
      <c r="B223" s="17" t="s">
        <v>637</v>
      </c>
      <c r="C223" s="17" t="s">
        <v>1804</v>
      </c>
      <c r="D223" s="17" t="s">
        <v>280</v>
      </c>
      <c r="E223" s="17" t="s">
        <v>1805</v>
      </c>
      <c r="F223" s="17" t="s">
        <v>413</v>
      </c>
      <c r="G223" s="17" t="s">
        <v>414</v>
      </c>
      <c r="H223" s="17" t="s">
        <v>1806</v>
      </c>
      <c r="I223" s="17" t="s">
        <v>414</v>
      </c>
      <c r="J223" s="17" t="s">
        <v>16</v>
      </c>
      <c r="K223" s="17" t="b">
        <v>0</v>
      </c>
      <c r="L223" s="17" t="s">
        <v>1807</v>
      </c>
      <c r="M223" s="21">
        <v>24631</v>
      </c>
      <c r="N223" s="17" t="s">
        <v>414</v>
      </c>
      <c r="O223" s="17" t="s">
        <v>17</v>
      </c>
      <c r="P223" s="17" t="s">
        <v>18</v>
      </c>
      <c r="Q223" s="17">
        <v>8</v>
      </c>
      <c r="R223" s="17" t="s">
        <v>107</v>
      </c>
      <c r="S223" s="17">
        <v>35</v>
      </c>
      <c r="T223" s="17" t="s">
        <v>172</v>
      </c>
      <c r="U223" s="21">
        <v>42282</v>
      </c>
      <c r="V223" s="17" t="s">
        <v>155</v>
      </c>
      <c r="W223" s="21">
        <v>1</v>
      </c>
      <c r="X223" s="17" t="s">
        <v>1170</v>
      </c>
      <c r="Y223" s="17" t="s">
        <v>45</v>
      </c>
      <c r="Z223" s="17">
        <v>586100</v>
      </c>
      <c r="AA223" s="17" t="s">
        <v>186</v>
      </c>
      <c r="AB223" s="17" t="s">
        <v>418</v>
      </c>
      <c r="AC223" s="17">
        <v>71</v>
      </c>
      <c r="AD223" s="21">
        <v>43488</v>
      </c>
      <c r="AE223" s="21">
        <v>45383</v>
      </c>
      <c r="AF223" s="17"/>
      <c r="AG223" s="21">
        <v>45748</v>
      </c>
      <c r="AH223" s="17">
        <v>6087553</v>
      </c>
      <c r="AI223" s="21">
        <v>42374</v>
      </c>
      <c r="AJ223" s="17">
        <v>4100</v>
      </c>
      <c r="AK223" s="17">
        <v>0.29749999999999999</v>
      </c>
      <c r="AL223" s="17">
        <v>1219.75</v>
      </c>
      <c r="AM223" s="17" t="b">
        <v>1</v>
      </c>
      <c r="AN223" s="17" t="b">
        <v>1</v>
      </c>
      <c r="AO223" s="21">
        <v>45398</v>
      </c>
      <c r="AP223" s="21">
        <v>45398</v>
      </c>
      <c r="AQ223" s="17" t="b">
        <v>1</v>
      </c>
      <c r="AR223" s="21">
        <v>45398</v>
      </c>
      <c r="AS223" s="21">
        <v>45398</v>
      </c>
      <c r="AT223" s="21">
        <v>42282</v>
      </c>
      <c r="AU223" s="17" t="b">
        <v>0</v>
      </c>
      <c r="AV223" s="21">
        <v>42374</v>
      </c>
      <c r="AW223" s="17" t="s">
        <v>101</v>
      </c>
      <c r="AX223" s="17" t="s">
        <v>101</v>
      </c>
      <c r="AY223" s="17" t="s">
        <v>414</v>
      </c>
      <c r="AZ223" s="17" t="s">
        <v>450</v>
      </c>
      <c r="BA223" s="21">
        <v>45398</v>
      </c>
      <c r="BB223" s="17">
        <v>0</v>
      </c>
      <c r="BC223" s="17"/>
      <c r="BD223" s="17" t="b">
        <v>0</v>
      </c>
      <c r="BE223" s="17" t="s">
        <v>2285</v>
      </c>
      <c r="BF223" s="21">
        <v>45398</v>
      </c>
      <c r="BG223" s="21">
        <v>45763</v>
      </c>
      <c r="BH223" s="17"/>
      <c r="BI223" s="21">
        <v>42747</v>
      </c>
      <c r="BJ223" s="17">
        <v>0</v>
      </c>
      <c r="BK223" s="17" t="s">
        <v>443</v>
      </c>
      <c r="BL223" s="17" t="s">
        <v>443</v>
      </c>
      <c r="BM223" s="17" t="b">
        <v>0</v>
      </c>
      <c r="BN223" s="17" t="b">
        <v>0</v>
      </c>
      <c r="BO223" s="17" t="b">
        <v>1</v>
      </c>
      <c r="BP223" s="17" t="b">
        <v>0</v>
      </c>
      <c r="BQ223" s="17" t="b">
        <v>1</v>
      </c>
      <c r="BR223" s="17" t="b">
        <v>1</v>
      </c>
      <c r="BS223" s="17" t="b">
        <v>0</v>
      </c>
      <c r="BT223" s="17" t="b">
        <v>0</v>
      </c>
      <c r="BU223" s="17" t="b">
        <v>0</v>
      </c>
      <c r="BV223" s="17">
        <v>0</v>
      </c>
      <c r="BW223" s="21">
        <v>42313</v>
      </c>
      <c r="BX223" s="17" t="s">
        <v>414</v>
      </c>
      <c r="BY223" s="17" t="s">
        <v>414</v>
      </c>
      <c r="BZ223" s="17">
        <v>0</v>
      </c>
      <c r="CA223" s="21">
        <v>45951</v>
      </c>
      <c r="CB223" s="17" t="s">
        <v>419</v>
      </c>
      <c r="CC223" s="17" t="s">
        <v>2286</v>
      </c>
      <c r="CD223" s="21"/>
      <c r="CE223" s="17"/>
      <c r="CF223" s="17" t="s">
        <v>1794</v>
      </c>
      <c r="CG223" s="17" t="b">
        <v>0</v>
      </c>
      <c r="CH223" s="17" t="s">
        <v>425</v>
      </c>
      <c r="CI223" s="17">
        <v>0</v>
      </c>
      <c r="CJ223" s="21">
        <v>1</v>
      </c>
      <c r="CK223" s="21">
        <v>1</v>
      </c>
      <c r="CL223" s="17" t="s">
        <v>414</v>
      </c>
      <c r="CM223" s="21">
        <v>1</v>
      </c>
      <c r="CN223" s="21">
        <v>1</v>
      </c>
      <c r="CO223" s="21">
        <v>1</v>
      </c>
      <c r="CP223" s="17" t="b">
        <v>0</v>
      </c>
      <c r="CQ223" s="17" t="b">
        <v>0</v>
      </c>
      <c r="CR223" s="17" t="b">
        <v>0</v>
      </c>
      <c r="CS223">
        <v>7300</v>
      </c>
      <c r="CT223" t="s">
        <v>1911</v>
      </c>
      <c r="CU223">
        <v>5615.38</v>
      </c>
      <c r="CV223">
        <v>1684.62</v>
      </c>
      <c r="CW223" s="22"/>
    </row>
    <row r="224" spans="1:101" x14ac:dyDescent="0.25">
      <c r="A224" s="20">
        <v>3007</v>
      </c>
      <c r="B224" s="17" t="s">
        <v>1808</v>
      </c>
      <c r="C224" s="17" t="s">
        <v>1809</v>
      </c>
      <c r="D224" s="17" t="s">
        <v>281</v>
      </c>
      <c r="E224" s="17" t="s">
        <v>1810</v>
      </c>
      <c r="F224" s="17" t="s">
        <v>414</v>
      </c>
      <c r="G224" s="17" t="s">
        <v>414</v>
      </c>
      <c r="H224" s="17" t="s">
        <v>1811</v>
      </c>
      <c r="I224" s="17" t="s">
        <v>432</v>
      </c>
      <c r="J224" s="17" t="s">
        <v>25</v>
      </c>
      <c r="K224" s="17" t="b">
        <v>0</v>
      </c>
      <c r="L224" s="17" t="s">
        <v>1812</v>
      </c>
      <c r="M224" s="21">
        <v>34688</v>
      </c>
      <c r="N224" s="17" t="s">
        <v>642</v>
      </c>
      <c r="O224" s="17" t="s">
        <v>26</v>
      </c>
      <c r="P224" s="17" t="s">
        <v>18</v>
      </c>
      <c r="Q224" s="17">
        <v>8</v>
      </c>
      <c r="R224" s="17" t="s">
        <v>107</v>
      </c>
      <c r="S224" s="17">
        <v>15</v>
      </c>
      <c r="T224" s="17" t="s">
        <v>1086</v>
      </c>
      <c r="U224" s="21">
        <v>42092</v>
      </c>
      <c r="V224" s="17" t="s">
        <v>108</v>
      </c>
      <c r="W224" s="21">
        <v>1.3284722222222221</v>
      </c>
      <c r="X224" s="17" t="s">
        <v>1813</v>
      </c>
      <c r="Y224" s="17" t="s">
        <v>45</v>
      </c>
      <c r="Z224" s="17">
        <v>949900</v>
      </c>
      <c r="AA224" s="17" t="s">
        <v>22</v>
      </c>
      <c r="AB224" s="17" t="s">
        <v>418</v>
      </c>
      <c r="AC224" s="17">
        <v>10</v>
      </c>
      <c r="AD224" s="21">
        <v>42878</v>
      </c>
      <c r="AE224" s="21">
        <v>45159</v>
      </c>
      <c r="AF224" s="17"/>
      <c r="AG224" s="21">
        <v>45525</v>
      </c>
      <c r="AH224" s="17">
        <v>78957713</v>
      </c>
      <c r="AI224" s="21">
        <v>42185</v>
      </c>
      <c r="AJ224" s="17">
        <v>4121</v>
      </c>
      <c r="AK224" s="17">
        <v>0.29749999999999999</v>
      </c>
      <c r="AL224" s="17">
        <v>1226</v>
      </c>
      <c r="AM224" s="17" t="b">
        <v>1</v>
      </c>
      <c r="AN224" s="17" t="b">
        <v>1</v>
      </c>
      <c r="AO224" s="21">
        <v>45398</v>
      </c>
      <c r="AP224" s="21">
        <v>45398</v>
      </c>
      <c r="AQ224" s="17" t="b">
        <v>0</v>
      </c>
      <c r="AR224" s="21">
        <v>45398</v>
      </c>
      <c r="AS224" s="21">
        <v>45398</v>
      </c>
      <c r="AT224" s="21">
        <v>42093</v>
      </c>
      <c r="AU224" s="17" t="b">
        <v>0</v>
      </c>
      <c r="AV224" s="21">
        <v>42184</v>
      </c>
      <c r="AW224" s="17" t="s">
        <v>27</v>
      </c>
      <c r="AX224" s="17" t="s">
        <v>27</v>
      </c>
      <c r="AY224" s="17" t="s">
        <v>414</v>
      </c>
      <c r="AZ224" s="17" t="s">
        <v>450</v>
      </c>
      <c r="BA224" s="21">
        <v>45398</v>
      </c>
      <c r="BB224" s="17">
        <v>0</v>
      </c>
      <c r="BC224" s="17"/>
      <c r="BD224" s="17" t="b">
        <v>0</v>
      </c>
      <c r="BE224" s="17" t="s">
        <v>2287</v>
      </c>
      <c r="BF224" s="21">
        <v>45398</v>
      </c>
      <c r="BG224" s="21">
        <v>45763</v>
      </c>
      <c r="BH224" s="17"/>
      <c r="BI224" s="21">
        <v>46414</v>
      </c>
      <c r="BJ224" s="17">
        <v>0</v>
      </c>
      <c r="BK224" s="17" t="s">
        <v>443</v>
      </c>
      <c r="BL224" s="17" t="s">
        <v>1038</v>
      </c>
      <c r="BM224" s="17" t="b">
        <v>1</v>
      </c>
      <c r="BN224" s="17" t="b">
        <v>0</v>
      </c>
      <c r="BO224" s="17" t="b">
        <v>1</v>
      </c>
      <c r="BP224" s="17" t="b">
        <v>0</v>
      </c>
      <c r="BQ224" s="17" t="b">
        <v>1</v>
      </c>
      <c r="BR224" s="17" t="b">
        <v>1</v>
      </c>
      <c r="BS224" s="17" t="b">
        <v>1</v>
      </c>
      <c r="BT224" s="17" t="b">
        <v>1</v>
      </c>
      <c r="BU224" s="17" t="b">
        <v>0</v>
      </c>
      <c r="BV224" s="17">
        <v>0</v>
      </c>
      <c r="BW224" s="21">
        <v>42123</v>
      </c>
      <c r="BX224" s="17" t="s">
        <v>414</v>
      </c>
      <c r="BY224" s="17" t="s">
        <v>414</v>
      </c>
      <c r="BZ224" s="17">
        <v>0</v>
      </c>
      <c r="CA224" s="21">
        <v>45951</v>
      </c>
      <c r="CB224" s="17" t="s">
        <v>419</v>
      </c>
      <c r="CC224" s="17" t="s">
        <v>2288</v>
      </c>
      <c r="CD224" s="21"/>
      <c r="CE224" s="17"/>
      <c r="CF224" s="17" t="s">
        <v>1814</v>
      </c>
      <c r="CG224" s="17" t="b">
        <v>0</v>
      </c>
      <c r="CH224" s="17" t="s">
        <v>425</v>
      </c>
      <c r="CI224" s="17">
        <v>0</v>
      </c>
      <c r="CJ224" s="21">
        <v>1</v>
      </c>
      <c r="CK224" s="21">
        <v>1</v>
      </c>
      <c r="CL224" s="17" t="s">
        <v>414</v>
      </c>
      <c r="CM224" s="21">
        <v>1</v>
      </c>
      <c r="CN224" s="21">
        <v>1</v>
      </c>
      <c r="CO224" s="21">
        <v>1</v>
      </c>
      <c r="CP224" s="17" t="b">
        <v>0</v>
      </c>
      <c r="CQ224" s="17" t="b">
        <v>0</v>
      </c>
      <c r="CR224" s="17" t="b">
        <v>0</v>
      </c>
      <c r="CS224">
        <v>7000</v>
      </c>
      <c r="CT224" t="s">
        <v>1912</v>
      </c>
      <c r="CU224">
        <v>5384.62</v>
      </c>
      <c r="CV224">
        <v>1615.38</v>
      </c>
      <c r="CW224" s="22"/>
    </row>
    <row r="225" spans="1:101" x14ac:dyDescent="0.25">
      <c r="A225" s="20">
        <v>3008</v>
      </c>
      <c r="B225" s="17" t="s">
        <v>1815</v>
      </c>
      <c r="C225" s="17" t="s">
        <v>530</v>
      </c>
      <c r="D225" s="17" t="s">
        <v>282</v>
      </c>
      <c r="E225" s="17" t="s">
        <v>1816</v>
      </c>
      <c r="F225" s="17" t="s">
        <v>413</v>
      </c>
      <c r="G225" s="17" t="s">
        <v>414</v>
      </c>
      <c r="H225" s="17" t="s">
        <v>1817</v>
      </c>
      <c r="I225" s="17" t="s">
        <v>432</v>
      </c>
      <c r="J225" s="17" t="s">
        <v>25</v>
      </c>
      <c r="K225" s="17" t="b">
        <v>0</v>
      </c>
      <c r="L225" s="17" t="s">
        <v>1818</v>
      </c>
      <c r="M225" s="21">
        <v>27472</v>
      </c>
      <c r="N225" s="17" t="s">
        <v>414</v>
      </c>
      <c r="O225" s="17" t="s">
        <v>26</v>
      </c>
      <c r="P225" s="17" t="s">
        <v>18</v>
      </c>
      <c r="Q225" s="17">
        <v>8</v>
      </c>
      <c r="R225" s="17" t="s">
        <v>107</v>
      </c>
      <c r="S225" s="17">
        <v>15</v>
      </c>
      <c r="T225" s="17" t="s">
        <v>1086</v>
      </c>
      <c r="U225" s="21">
        <v>42092</v>
      </c>
      <c r="V225" s="17" t="s">
        <v>108</v>
      </c>
      <c r="W225" s="21">
        <v>1</v>
      </c>
      <c r="X225" s="17" t="s">
        <v>414</v>
      </c>
      <c r="Y225" s="17" t="s">
        <v>45</v>
      </c>
      <c r="Z225" s="17">
        <v>949900</v>
      </c>
      <c r="AA225" s="17" t="s">
        <v>22</v>
      </c>
      <c r="AB225" s="17" t="s">
        <v>418</v>
      </c>
      <c r="AC225" s="17">
        <v>23</v>
      </c>
      <c r="AD225" s="21">
        <v>42878</v>
      </c>
      <c r="AE225" s="21">
        <v>45383</v>
      </c>
      <c r="AF225" s="17"/>
      <c r="AG225" s="21">
        <v>45748</v>
      </c>
      <c r="AH225" s="17">
        <v>69162809</v>
      </c>
      <c r="AI225" s="21">
        <v>42185</v>
      </c>
      <c r="AJ225" s="17">
        <v>4121</v>
      </c>
      <c r="AK225" s="17">
        <v>0.29749999999999999</v>
      </c>
      <c r="AL225" s="17">
        <v>1226</v>
      </c>
      <c r="AM225" s="17" t="b">
        <v>1</v>
      </c>
      <c r="AN225" s="17" t="b">
        <v>1</v>
      </c>
      <c r="AO225" s="21">
        <v>45398</v>
      </c>
      <c r="AP225" s="21">
        <v>45398</v>
      </c>
      <c r="AQ225" s="17" t="b">
        <v>1</v>
      </c>
      <c r="AR225" s="21">
        <v>45398</v>
      </c>
      <c r="AS225" s="21">
        <v>45398</v>
      </c>
      <c r="AT225" s="21">
        <v>42093</v>
      </c>
      <c r="AU225" s="17" t="b">
        <v>0</v>
      </c>
      <c r="AV225" s="21">
        <v>42184</v>
      </c>
      <c r="AW225" s="17" t="s">
        <v>27</v>
      </c>
      <c r="AX225" s="17" t="s">
        <v>27</v>
      </c>
      <c r="AY225" s="17" t="s">
        <v>414</v>
      </c>
      <c r="AZ225" s="17" t="s">
        <v>450</v>
      </c>
      <c r="BA225" s="21">
        <v>45398</v>
      </c>
      <c r="BB225" s="17">
        <v>0</v>
      </c>
      <c r="BC225" s="17"/>
      <c r="BD225" s="17" t="b">
        <v>0</v>
      </c>
      <c r="BE225" s="17" t="s">
        <v>2287</v>
      </c>
      <c r="BF225" s="21">
        <v>45398</v>
      </c>
      <c r="BG225" s="21">
        <v>45763</v>
      </c>
      <c r="BH225" s="17"/>
      <c r="BI225" s="21">
        <v>44312</v>
      </c>
      <c r="BJ225" s="17">
        <v>0</v>
      </c>
      <c r="BK225" s="17" t="s">
        <v>443</v>
      </c>
      <c r="BL225" s="17" t="s">
        <v>443</v>
      </c>
      <c r="BM225" s="17" t="b">
        <v>1</v>
      </c>
      <c r="BN225" s="17" t="b">
        <v>0</v>
      </c>
      <c r="BO225" s="17" t="b">
        <v>1</v>
      </c>
      <c r="BP225" s="17" t="b">
        <v>1</v>
      </c>
      <c r="BQ225" s="17" t="b">
        <v>1</v>
      </c>
      <c r="BR225" s="17" t="b">
        <v>1</v>
      </c>
      <c r="BS225" s="17" t="b">
        <v>1</v>
      </c>
      <c r="BT225" s="17" t="b">
        <v>1</v>
      </c>
      <c r="BU225" s="17" t="b">
        <v>0</v>
      </c>
      <c r="BV225" s="17">
        <v>0</v>
      </c>
      <c r="BW225" s="21">
        <v>42123</v>
      </c>
      <c r="BX225" s="17" t="s">
        <v>414</v>
      </c>
      <c r="BY225" s="17" t="s">
        <v>414</v>
      </c>
      <c r="BZ225" s="17">
        <v>0</v>
      </c>
      <c r="CA225" s="21">
        <v>45951</v>
      </c>
      <c r="CB225" s="17" t="s">
        <v>419</v>
      </c>
      <c r="CC225" s="17" t="s">
        <v>2289</v>
      </c>
      <c r="CD225" s="21"/>
      <c r="CE225" s="17"/>
      <c r="CF225" s="17" t="s">
        <v>1819</v>
      </c>
      <c r="CG225" s="17" t="b">
        <v>0</v>
      </c>
      <c r="CH225" s="17" t="s">
        <v>425</v>
      </c>
      <c r="CI225" s="17">
        <v>0</v>
      </c>
      <c r="CJ225" s="21">
        <v>1</v>
      </c>
      <c r="CK225" s="21">
        <v>1</v>
      </c>
      <c r="CL225" s="17" t="s">
        <v>414</v>
      </c>
      <c r="CM225" s="21">
        <v>1</v>
      </c>
      <c r="CN225" s="21">
        <v>1</v>
      </c>
      <c r="CO225" s="21">
        <v>1</v>
      </c>
      <c r="CP225" s="17" t="b">
        <v>0</v>
      </c>
      <c r="CQ225" s="17" t="b">
        <v>0</v>
      </c>
      <c r="CR225" s="17" t="b">
        <v>0</v>
      </c>
      <c r="CS225">
        <v>7000</v>
      </c>
      <c r="CT225" t="s">
        <v>1912</v>
      </c>
      <c r="CU225">
        <v>5384.62</v>
      </c>
      <c r="CV225">
        <v>1615.38</v>
      </c>
      <c r="CW225" s="22"/>
    </row>
    <row r="226" spans="1:101" x14ac:dyDescent="0.25">
      <c r="A226" s="20">
        <v>3009</v>
      </c>
      <c r="B226" s="17" t="s">
        <v>564</v>
      </c>
      <c r="C226" s="17" t="s">
        <v>411</v>
      </c>
      <c r="D226" s="17" t="s">
        <v>283</v>
      </c>
      <c r="E226" s="17" t="s">
        <v>1820</v>
      </c>
      <c r="F226" s="17" t="s">
        <v>1821</v>
      </c>
      <c r="G226" s="17" t="s">
        <v>414</v>
      </c>
      <c r="H226" s="17" t="s">
        <v>1822</v>
      </c>
      <c r="I226" s="17" t="s">
        <v>432</v>
      </c>
      <c r="J226" s="17" t="s">
        <v>16</v>
      </c>
      <c r="K226" s="17" t="b">
        <v>0</v>
      </c>
      <c r="L226" s="17" t="s">
        <v>1823</v>
      </c>
      <c r="M226" s="21">
        <v>32256</v>
      </c>
      <c r="N226" s="17" t="s">
        <v>414</v>
      </c>
      <c r="O226" s="17" t="s">
        <v>17</v>
      </c>
      <c r="P226" s="17" t="s">
        <v>18</v>
      </c>
      <c r="Q226" s="17">
        <v>18</v>
      </c>
      <c r="R226" s="17" t="s">
        <v>284</v>
      </c>
      <c r="S226" s="17">
        <v>57</v>
      </c>
      <c r="T226" s="17" t="s">
        <v>1824</v>
      </c>
      <c r="U226" s="21">
        <v>43313</v>
      </c>
      <c r="V226" s="17" t="s">
        <v>20</v>
      </c>
      <c r="W226" s="21">
        <v>1.2916666666666665</v>
      </c>
      <c r="X226" s="17" t="s">
        <v>789</v>
      </c>
      <c r="Y226" s="17" t="s">
        <v>45</v>
      </c>
      <c r="Z226" s="17">
        <v>83300</v>
      </c>
      <c r="AA226" s="17" t="s">
        <v>285</v>
      </c>
      <c r="AB226" s="17" t="s">
        <v>418</v>
      </c>
      <c r="AC226" s="17">
        <v>93</v>
      </c>
      <c r="AD226" s="21">
        <v>43503</v>
      </c>
      <c r="AE226" s="21">
        <v>45159</v>
      </c>
      <c r="AF226" s="17"/>
      <c r="AG226" s="21">
        <v>45525</v>
      </c>
      <c r="AH226" s="17">
        <v>19432108</v>
      </c>
      <c r="AI226" s="21">
        <v>43313</v>
      </c>
      <c r="AJ226" s="17">
        <v>4423</v>
      </c>
      <c r="AK226" s="17">
        <v>0.29749999999999999</v>
      </c>
      <c r="AL226" s="17">
        <v>1315.84</v>
      </c>
      <c r="AM226" s="17" t="b">
        <v>1</v>
      </c>
      <c r="AN226" s="17" t="b">
        <v>1</v>
      </c>
      <c r="AO226" s="21">
        <v>45388</v>
      </c>
      <c r="AP226" s="21">
        <v>45388</v>
      </c>
      <c r="AQ226" s="17" t="b">
        <v>0</v>
      </c>
      <c r="AR226" s="21">
        <v>45388</v>
      </c>
      <c r="AS226" s="21">
        <v>45388</v>
      </c>
      <c r="AT226" s="21">
        <v>43221</v>
      </c>
      <c r="AU226" s="17" t="b">
        <v>0</v>
      </c>
      <c r="AV226" s="21">
        <v>43405</v>
      </c>
      <c r="AW226" s="17" t="s">
        <v>27</v>
      </c>
      <c r="AX226" s="17" t="s">
        <v>27</v>
      </c>
      <c r="AY226" s="17" t="s">
        <v>414</v>
      </c>
      <c r="AZ226" s="17" t="s">
        <v>450</v>
      </c>
      <c r="BA226" s="21">
        <v>45388</v>
      </c>
      <c r="BB226" s="17">
        <v>0</v>
      </c>
      <c r="BC226" s="17"/>
      <c r="BD226" s="17" t="b">
        <v>0</v>
      </c>
      <c r="BE226" s="17" t="s">
        <v>2161</v>
      </c>
      <c r="BF226" s="21">
        <v>45388</v>
      </c>
      <c r="BG226" s="21">
        <v>45753</v>
      </c>
      <c r="BH226" s="17"/>
      <c r="BI226" s="21">
        <v>45844</v>
      </c>
      <c r="BJ226" s="17">
        <v>0</v>
      </c>
      <c r="BK226" s="17" t="s">
        <v>443</v>
      </c>
      <c r="BL226" s="17" t="s">
        <v>428</v>
      </c>
      <c r="BM226" s="17" t="b">
        <v>0</v>
      </c>
      <c r="BN226" s="17" t="b">
        <v>0</v>
      </c>
      <c r="BO226" s="17" t="b">
        <v>1</v>
      </c>
      <c r="BP226" s="17" t="b">
        <v>0</v>
      </c>
      <c r="BQ226" s="17" t="b">
        <v>1</v>
      </c>
      <c r="BR226" s="17" t="b">
        <v>1</v>
      </c>
      <c r="BS226" s="17" t="b">
        <v>0</v>
      </c>
      <c r="BT226" s="17" t="b">
        <v>1</v>
      </c>
      <c r="BU226" s="17" t="b">
        <v>1</v>
      </c>
      <c r="BV226" s="17">
        <v>0</v>
      </c>
      <c r="BW226" s="21">
        <v>43344</v>
      </c>
      <c r="BX226" s="17" t="s">
        <v>414</v>
      </c>
      <c r="BY226" s="17" t="s">
        <v>414</v>
      </c>
      <c r="BZ226" s="17">
        <v>0</v>
      </c>
      <c r="CA226" s="21">
        <v>45959</v>
      </c>
      <c r="CB226" s="17" t="s">
        <v>419</v>
      </c>
      <c r="CC226" s="17" t="s">
        <v>2290</v>
      </c>
      <c r="CD226" s="21"/>
      <c r="CE226" s="17"/>
      <c r="CF226" s="17" t="s">
        <v>601</v>
      </c>
      <c r="CG226" s="17" t="b">
        <v>0</v>
      </c>
      <c r="CH226" s="17" t="s">
        <v>1317</v>
      </c>
      <c r="CI226" s="17">
        <v>0</v>
      </c>
      <c r="CJ226" s="21">
        <v>1</v>
      </c>
      <c r="CK226" s="21">
        <v>1</v>
      </c>
      <c r="CL226" s="17" t="s">
        <v>414</v>
      </c>
      <c r="CM226" s="21">
        <v>1</v>
      </c>
      <c r="CN226" s="21">
        <v>1</v>
      </c>
      <c r="CO226" s="21">
        <v>1</v>
      </c>
      <c r="CP226" s="17" t="b">
        <v>0</v>
      </c>
      <c r="CQ226" s="17" t="b">
        <v>0</v>
      </c>
      <c r="CR226" s="17" t="b">
        <v>0</v>
      </c>
      <c r="CS226">
        <v>8500</v>
      </c>
      <c r="CT226" t="s">
        <v>1979</v>
      </c>
      <c r="CU226">
        <v>6538.46</v>
      </c>
      <c r="CV226">
        <v>1961.54</v>
      </c>
      <c r="CW226" s="22"/>
    </row>
    <row r="227" spans="1:101" x14ac:dyDescent="0.25">
      <c r="A227" s="20">
        <v>3012</v>
      </c>
      <c r="B227" s="17" t="s">
        <v>567</v>
      </c>
      <c r="C227" s="17" t="s">
        <v>426</v>
      </c>
      <c r="D227" s="17" t="s">
        <v>286</v>
      </c>
      <c r="E227" s="17" t="s">
        <v>1826</v>
      </c>
      <c r="F227" s="17" t="s">
        <v>1827</v>
      </c>
      <c r="G227" s="17" t="s">
        <v>414</v>
      </c>
      <c r="H227" s="17" t="s">
        <v>1828</v>
      </c>
      <c r="I227" s="17" t="s">
        <v>414</v>
      </c>
      <c r="J227" s="17" t="s">
        <v>16</v>
      </c>
      <c r="K227" s="17" t="b">
        <v>0</v>
      </c>
      <c r="L227" s="17" t="s">
        <v>1829</v>
      </c>
      <c r="M227" s="21">
        <v>32112</v>
      </c>
      <c r="N227" s="17" t="s">
        <v>414</v>
      </c>
      <c r="O227" s="17" t="s">
        <v>17</v>
      </c>
      <c r="P227" s="17" t="s">
        <v>18</v>
      </c>
      <c r="Q227" s="17">
        <v>14</v>
      </c>
      <c r="R227" s="17" t="s">
        <v>287</v>
      </c>
      <c r="S227" s="17">
        <v>58</v>
      </c>
      <c r="T227" s="17" t="s">
        <v>1830</v>
      </c>
      <c r="U227" s="21">
        <v>43585</v>
      </c>
      <c r="V227" s="17" t="s">
        <v>108</v>
      </c>
      <c r="W227" s="21">
        <v>1.3381944444444445</v>
      </c>
      <c r="X227" s="17" t="s">
        <v>1209</v>
      </c>
      <c r="Y227" s="17" t="s">
        <v>45</v>
      </c>
      <c r="Z227" s="17">
        <v>212310</v>
      </c>
      <c r="AA227" s="17" t="s">
        <v>288</v>
      </c>
      <c r="AB227" s="17" t="s">
        <v>443</v>
      </c>
      <c r="AC227" s="17">
        <v>0</v>
      </c>
      <c r="AD227" s="21">
        <v>45398</v>
      </c>
      <c r="AE227" s="21">
        <v>2</v>
      </c>
      <c r="AF227" s="17"/>
      <c r="AG227" s="21">
        <v>368</v>
      </c>
      <c r="AH227" s="17">
        <v>17323472</v>
      </c>
      <c r="AI227" s="21">
        <v>43831</v>
      </c>
      <c r="AJ227" s="17">
        <v>4423</v>
      </c>
      <c r="AK227" s="17">
        <v>0.29749999999999999</v>
      </c>
      <c r="AL227" s="17">
        <v>1315.84</v>
      </c>
      <c r="AM227" s="17" t="b">
        <v>1</v>
      </c>
      <c r="AN227" s="17" t="b">
        <v>1</v>
      </c>
      <c r="AO227" s="21">
        <v>45398</v>
      </c>
      <c r="AP227" s="21">
        <v>45398</v>
      </c>
      <c r="AQ227" s="17" t="b">
        <v>0</v>
      </c>
      <c r="AR227" s="21">
        <v>45398</v>
      </c>
      <c r="AS227" s="21">
        <v>45398</v>
      </c>
      <c r="AT227" s="21">
        <v>43739</v>
      </c>
      <c r="AU227" s="17" t="b">
        <v>0</v>
      </c>
      <c r="AV227" s="21">
        <v>43676</v>
      </c>
      <c r="AW227" s="17" t="s">
        <v>101</v>
      </c>
      <c r="AX227" s="17" t="s">
        <v>101</v>
      </c>
      <c r="AY227" s="17" t="s">
        <v>414</v>
      </c>
      <c r="AZ227" s="17" t="s">
        <v>450</v>
      </c>
      <c r="BA227" s="21">
        <v>45398</v>
      </c>
      <c r="BB227" s="17">
        <v>0</v>
      </c>
      <c r="BC227" s="17"/>
      <c r="BD227" s="17" t="b">
        <v>0</v>
      </c>
      <c r="BE227" s="17" t="s">
        <v>2291</v>
      </c>
      <c r="BF227" s="21">
        <v>45398</v>
      </c>
      <c r="BG227" s="21">
        <v>45763</v>
      </c>
      <c r="BH227" s="17"/>
      <c r="BI227" s="21">
        <v>45398</v>
      </c>
      <c r="BJ227" s="17">
        <v>0</v>
      </c>
      <c r="BK227" s="17" t="s">
        <v>443</v>
      </c>
      <c r="BL227" s="17" t="s">
        <v>443</v>
      </c>
      <c r="BM227" s="17" t="b">
        <v>0</v>
      </c>
      <c r="BN227" s="17" t="b">
        <v>0</v>
      </c>
      <c r="BO227" s="17" t="b">
        <v>0</v>
      </c>
      <c r="BP227" s="17" t="b">
        <v>0</v>
      </c>
      <c r="BQ227" s="17" t="b">
        <v>0</v>
      </c>
      <c r="BR227" s="17" t="b">
        <v>0</v>
      </c>
      <c r="BS227" s="17" t="b">
        <v>0</v>
      </c>
      <c r="BT227" s="17" t="b">
        <v>0</v>
      </c>
      <c r="BU227" s="17" t="b">
        <v>0</v>
      </c>
      <c r="BV227" s="17">
        <v>0</v>
      </c>
      <c r="BW227" s="21">
        <v>43615</v>
      </c>
      <c r="BX227" s="17" t="s">
        <v>414</v>
      </c>
      <c r="BY227" s="17" t="s">
        <v>414</v>
      </c>
      <c r="BZ227" s="17">
        <v>0</v>
      </c>
      <c r="CA227" s="21">
        <v>45959</v>
      </c>
      <c r="CB227" s="17" t="s">
        <v>419</v>
      </c>
      <c r="CC227" s="17" t="s">
        <v>2292</v>
      </c>
      <c r="CD227" s="21"/>
      <c r="CE227" s="17"/>
      <c r="CF227" s="17" t="s">
        <v>601</v>
      </c>
      <c r="CG227" s="17" t="b">
        <v>0</v>
      </c>
      <c r="CH227" s="17" t="s">
        <v>414</v>
      </c>
      <c r="CI227" s="17">
        <v>0</v>
      </c>
      <c r="CJ227" s="21">
        <v>1</v>
      </c>
      <c r="CK227" s="21">
        <v>1</v>
      </c>
      <c r="CL227" s="17" t="s">
        <v>414</v>
      </c>
      <c r="CM227" s="21">
        <v>1</v>
      </c>
      <c r="CN227" s="21">
        <v>1</v>
      </c>
      <c r="CO227" s="21">
        <v>1</v>
      </c>
      <c r="CP227" s="17" t="b">
        <v>0</v>
      </c>
      <c r="CQ227" s="17" t="b">
        <v>0</v>
      </c>
      <c r="CR227" s="17" t="b">
        <v>0</v>
      </c>
      <c r="CS227">
        <v>8500</v>
      </c>
      <c r="CT227" t="s">
        <v>1979</v>
      </c>
      <c r="CU227">
        <v>6538.46</v>
      </c>
      <c r="CV227">
        <v>1961.54</v>
      </c>
      <c r="CW227" s="22"/>
    </row>
    <row r="228" spans="1:101" x14ac:dyDescent="0.25">
      <c r="A228" s="20">
        <v>3017</v>
      </c>
      <c r="B228" s="17" t="s">
        <v>1831</v>
      </c>
      <c r="C228" s="17" t="s">
        <v>1832</v>
      </c>
      <c r="D228" s="17" t="s">
        <v>289</v>
      </c>
      <c r="E228" s="17" t="s">
        <v>1833</v>
      </c>
      <c r="F228" s="17" t="s">
        <v>1834</v>
      </c>
      <c r="G228" s="17" t="s">
        <v>414</v>
      </c>
      <c r="H228" s="17" t="s">
        <v>1835</v>
      </c>
      <c r="I228" s="17" t="s">
        <v>414</v>
      </c>
      <c r="J228" s="17" t="s">
        <v>25</v>
      </c>
      <c r="K228" s="17" t="b">
        <v>0</v>
      </c>
      <c r="L228" s="17" t="s">
        <v>1836</v>
      </c>
      <c r="M228" s="21">
        <v>34560</v>
      </c>
      <c r="N228" s="17" t="s">
        <v>642</v>
      </c>
      <c r="O228" s="17" t="s">
        <v>26</v>
      </c>
      <c r="P228" s="17" t="s">
        <v>18</v>
      </c>
      <c r="Q228" s="17">
        <v>10</v>
      </c>
      <c r="R228" s="17" t="s">
        <v>152</v>
      </c>
      <c r="S228" s="17">
        <v>59</v>
      </c>
      <c r="T228" s="17" t="s">
        <v>1837</v>
      </c>
      <c r="U228" s="21">
        <v>44454</v>
      </c>
      <c r="V228" s="17" t="s">
        <v>108</v>
      </c>
      <c r="W228" s="21">
        <v>1</v>
      </c>
      <c r="X228" s="17" t="s">
        <v>1838</v>
      </c>
      <c r="Y228" s="17" t="s">
        <v>45</v>
      </c>
      <c r="Z228" s="17">
        <v>157400</v>
      </c>
      <c r="AA228" s="17" t="s">
        <v>290</v>
      </c>
      <c r="AB228" s="17" t="s">
        <v>443</v>
      </c>
      <c r="AC228" s="17">
        <v>0</v>
      </c>
      <c r="AD228" s="21">
        <v>45398</v>
      </c>
      <c r="AE228" s="21">
        <v>2</v>
      </c>
      <c r="AF228" s="17"/>
      <c r="AG228" s="21">
        <v>368</v>
      </c>
      <c r="AH228" s="17">
        <v>80653930</v>
      </c>
      <c r="AI228" s="21">
        <v>44454</v>
      </c>
      <c r="AJ228" s="17">
        <v>4423</v>
      </c>
      <c r="AK228" s="17">
        <v>0.29749999999999999</v>
      </c>
      <c r="AL228" s="17">
        <v>1315.84</v>
      </c>
      <c r="AM228" s="17" t="b">
        <v>1</v>
      </c>
      <c r="AN228" s="17" t="b">
        <v>1</v>
      </c>
      <c r="AO228" s="21">
        <v>44556</v>
      </c>
      <c r="AP228" s="21">
        <v>44559</v>
      </c>
      <c r="AQ228" s="17" t="b">
        <v>0</v>
      </c>
      <c r="AR228" s="21">
        <v>45398</v>
      </c>
      <c r="AS228" s="21">
        <v>45398</v>
      </c>
      <c r="AT228" s="21">
        <v>44362</v>
      </c>
      <c r="AU228" s="17" t="b">
        <v>0</v>
      </c>
      <c r="AV228" s="21">
        <v>44545</v>
      </c>
      <c r="AW228" s="17" t="s">
        <v>27</v>
      </c>
      <c r="AX228" s="17" t="s">
        <v>27</v>
      </c>
      <c r="AY228" s="17" t="s">
        <v>414</v>
      </c>
      <c r="AZ228" s="17" t="s">
        <v>450</v>
      </c>
      <c r="BA228" s="21">
        <v>45398</v>
      </c>
      <c r="BB228" s="17">
        <v>0</v>
      </c>
      <c r="BC228" s="17"/>
      <c r="BD228" s="17" t="b">
        <v>0</v>
      </c>
      <c r="BE228" s="17" t="s">
        <v>2293</v>
      </c>
      <c r="BF228" s="21">
        <v>45398</v>
      </c>
      <c r="BG228" s="21">
        <v>45763</v>
      </c>
      <c r="BH228" s="17"/>
      <c r="BI228" s="21">
        <v>46554</v>
      </c>
      <c r="BJ228" s="17">
        <v>0</v>
      </c>
      <c r="BK228" s="17" t="s">
        <v>443</v>
      </c>
      <c r="BL228" s="17" t="s">
        <v>418</v>
      </c>
      <c r="BM228" s="17" t="b">
        <v>1</v>
      </c>
      <c r="BN228" s="17" t="b">
        <v>0</v>
      </c>
      <c r="BO228" s="17" t="b">
        <v>1</v>
      </c>
      <c r="BP228" s="17" t="b">
        <v>1</v>
      </c>
      <c r="BQ228" s="17" t="b">
        <v>1</v>
      </c>
      <c r="BR228" s="17" t="b">
        <v>1</v>
      </c>
      <c r="BS228" s="17" t="b">
        <v>1</v>
      </c>
      <c r="BT228" s="17" t="b">
        <v>1</v>
      </c>
      <c r="BU228" s="17" t="b">
        <v>1</v>
      </c>
      <c r="BV228" s="17">
        <v>0</v>
      </c>
      <c r="BW228" s="21">
        <v>44484</v>
      </c>
      <c r="BX228" s="17" t="s">
        <v>414</v>
      </c>
      <c r="BY228" s="17" t="s">
        <v>414</v>
      </c>
      <c r="BZ228" s="17">
        <v>0</v>
      </c>
      <c r="CA228" s="21">
        <v>45951</v>
      </c>
      <c r="CB228" s="17" t="s">
        <v>419</v>
      </c>
      <c r="CC228" s="17" t="s">
        <v>2294</v>
      </c>
      <c r="CD228" s="21"/>
      <c r="CE228" s="17"/>
      <c r="CF228" s="17" t="s">
        <v>414</v>
      </c>
      <c r="CG228" s="17" t="b">
        <v>0</v>
      </c>
      <c r="CH228" s="17" t="s">
        <v>425</v>
      </c>
      <c r="CI228" s="17">
        <v>0</v>
      </c>
      <c r="CJ228" s="21">
        <v>1</v>
      </c>
      <c r="CK228" s="21">
        <v>1</v>
      </c>
      <c r="CL228" s="17" t="s">
        <v>414</v>
      </c>
      <c r="CM228" s="21">
        <v>1</v>
      </c>
      <c r="CN228" s="21">
        <v>1</v>
      </c>
      <c r="CO228" s="21">
        <v>1</v>
      </c>
      <c r="CP228" s="17" t="b">
        <v>0</v>
      </c>
      <c r="CQ228" s="17" t="b">
        <v>0</v>
      </c>
      <c r="CR228" s="17" t="b">
        <v>0</v>
      </c>
      <c r="CS228">
        <v>7500</v>
      </c>
      <c r="CT228" t="s">
        <v>1916</v>
      </c>
      <c r="CU228">
        <v>5769.23</v>
      </c>
      <c r="CV228">
        <v>1730.77</v>
      </c>
      <c r="CW228" s="22"/>
    </row>
    <row r="229" spans="1:101" x14ac:dyDescent="0.25">
      <c r="A229" s="20">
        <v>3020</v>
      </c>
      <c r="B229" s="17" t="s">
        <v>420</v>
      </c>
      <c r="C229" s="17" t="s">
        <v>1840</v>
      </c>
      <c r="D229" s="17" t="s">
        <v>291</v>
      </c>
      <c r="E229" s="17" t="s">
        <v>1841</v>
      </c>
      <c r="F229" s="17" t="s">
        <v>1842</v>
      </c>
      <c r="G229" s="17" t="s">
        <v>414</v>
      </c>
      <c r="H229" s="17" t="s">
        <v>1843</v>
      </c>
      <c r="I229" s="17" t="s">
        <v>414</v>
      </c>
      <c r="J229" s="17" t="s">
        <v>16</v>
      </c>
      <c r="K229" s="17" t="b">
        <v>0</v>
      </c>
      <c r="L229" s="17" t="s">
        <v>1844</v>
      </c>
      <c r="M229" s="21">
        <v>36126</v>
      </c>
      <c r="N229" s="17" t="s">
        <v>1845</v>
      </c>
      <c r="O229" s="17" t="s">
        <v>17</v>
      </c>
      <c r="P229" s="17" t="s">
        <v>18</v>
      </c>
      <c r="Q229" s="17">
        <v>17</v>
      </c>
      <c r="R229" s="17" t="s">
        <v>154</v>
      </c>
      <c r="S229" s="17">
        <v>55</v>
      </c>
      <c r="T229" s="17" t="s">
        <v>277</v>
      </c>
      <c r="U229" s="21">
        <v>44937</v>
      </c>
      <c r="V229" s="17" t="s">
        <v>108</v>
      </c>
      <c r="W229" s="21">
        <v>1.3333333333333335</v>
      </c>
      <c r="X229" s="17" t="s">
        <v>1839</v>
      </c>
      <c r="Y229" s="17" t="s">
        <v>45</v>
      </c>
      <c r="Z229" s="17">
        <v>110200</v>
      </c>
      <c r="AA229" s="17" t="s">
        <v>277</v>
      </c>
      <c r="AB229" s="17" t="s">
        <v>418</v>
      </c>
      <c r="AC229" s="17">
        <v>240</v>
      </c>
      <c r="AD229" s="21">
        <v>45189</v>
      </c>
      <c r="AE229" s="21">
        <v>45189</v>
      </c>
      <c r="AF229" s="17"/>
      <c r="AG229" s="21">
        <v>45555</v>
      </c>
      <c r="AH229" s="17">
        <v>68356925</v>
      </c>
      <c r="AI229" s="21">
        <v>45090</v>
      </c>
      <c r="AJ229" s="17">
        <v>4423</v>
      </c>
      <c r="AK229" s="17">
        <v>0.29749999999999999</v>
      </c>
      <c r="AL229" s="17">
        <v>1315.84</v>
      </c>
      <c r="AM229" s="17" t="b">
        <v>1</v>
      </c>
      <c r="AN229" s="17" t="b">
        <v>1</v>
      </c>
      <c r="AO229" s="21">
        <v>45098</v>
      </c>
      <c r="AP229" s="21">
        <v>45131</v>
      </c>
      <c r="AQ229" s="17" t="b">
        <v>0</v>
      </c>
      <c r="AR229" s="21">
        <v>45398</v>
      </c>
      <c r="AS229" s="21">
        <v>45398</v>
      </c>
      <c r="AT229" s="21">
        <v>44998</v>
      </c>
      <c r="AU229" s="17" t="b">
        <v>0</v>
      </c>
      <c r="AV229" s="21">
        <v>45027</v>
      </c>
      <c r="AW229" s="17" t="s">
        <v>101</v>
      </c>
      <c r="AX229" s="17" t="s">
        <v>101</v>
      </c>
      <c r="AY229" s="17" t="s">
        <v>414</v>
      </c>
      <c r="AZ229" s="17" t="s">
        <v>450</v>
      </c>
      <c r="BA229" s="21">
        <v>45398</v>
      </c>
      <c r="BB229" s="17">
        <v>19609</v>
      </c>
      <c r="BC229" s="17"/>
      <c r="BD229" s="17" t="b">
        <v>0</v>
      </c>
      <c r="BE229" s="17" t="s">
        <v>2295</v>
      </c>
      <c r="BF229" s="21">
        <v>45398</v>
      </c>
      <c r="BG229" s="21">
        <v>45763</v>
      </c>
      <c r="BH229" s="17"/>
      <c r="BI229" s="21">
        <v>47160</v>
      </c>
      <c r="BJ229" s="17">
        <v>0</v>
      </c>
      <c r="BK229" s="17" t="s">
        <v>423</v>
      </c>
      <c r="BL229" s="17" t="s">
        <v>428</v>
      </c>
      <c r="BM229" s="17" t="b">
        <v>1</v>
      </c>
      <c r="BN229" s="17" t="b">
        <v>1</v>
      </c>
      <c r="BO229" s="17" t="b">
        <v>1</v>
      </c>
      <c r="BP229" s="17" t="b">
        <v>1</v>
      </c>
      <c r="BQ229" s="17" t="b">
        <v>1</v>
      </c>
      <c r="BR229" s="17" t="b">
        <v>1</v>
      </c>
      <c r="BS229" s="17" t="b">
        <v>1</v>
      </c>
      <c r="BT229" s="17" t="b">
        <v>1</v>
      </c>
      <c r="BU229" s="17" t="b">
        <v>1</v>
      </c>
      <c r="BV229" s="17">
        <v>0</v>
      </c>
      <c r="BW229" s="21">
        <v>44968</v>
      </c>
      <c r="BX229" s="17" t="s">
        <v>414</v>
      </c>
      <c r="BY229" s="17" t="s">
        <v>414</v>
      </c>
      <c r="BZ229" s="17">
        <v>0</v>
      </c>
      <c r="CA229" s="21">
        <v>45959</v>
      </c>
      <c r="CB229" s="17" t="s">
        <v>419</v>
      </c>
      <c r="CC229" s="17" t="s">
        <v>2296</v>
      </c>
      <c r="CD229" s="21"/>
      <c r="CE229" s="17"/>
      <c r="CF229" s="17" t="s">
        <v>1846</v>
      </c>
      <c r="CG229" s="17" t="b">
        <v>0</v>
      </c>
      <c r="CH229" s="17" t="s">
        <v>425</v>
      </c>
      <c r="CI229" s="17">
        <v>3001</v>
      </c>
      <c r="CJ229" s="21">
        <v>1</v>
      </c>
      <c r="CK229" s="21">
        <v>1</v>
      </c>
      <c r="CL229" s="17" t="s">
        <v>414</v>
      </c>
      <c r="CM229" s="21">
        <v>1</v>
      </c>
      <c r="CN229" s="21">
        <v>1</v>
      </c>
      <c r="CO229" s="21">
        <v>1</v>
      </c>
      <c r="CP229" s="17" t="b">
        <v>0</v>
      </c>
      <c r="CQ229" s="17" t="b">
        <v>0</v>
      </c>
      <c r="CR229" s="17" t="b">
        <v>0</v>
      </c>
      <c r="CS229">
        <v>8500</v>
      </c>
      <c r="CT229" t="s">
        <v>1979</v>
      </c>
      <c r="CU229">
        <v>6538.46</v>
      </c>
      <c r="CV229">
        <v>1961.54</v>
      </c>
      <c r="CW229" s="22"/>
    </row>
    <row r="230" spans="1:101" x14ac:dyDescent="0.25">
      <c r="A230" s="20">
        <v>3021</v>
      </c>
      <c r="B230" s="17" t="s">
        <v>411</v>
      </c>
      <c r="C230" s="17" t="s">
        <v>862</v>
      </c>
      <c r="D230" s="17" t="s">
        <v>292</v>
      </c>
      <c r="E230" s="17" t="s">
        <v>1847</v>
      </c>
      <c r="F230" s="17" t="s">
        <v>1848</v>
      </c>
      <c r="G230" s="17" t="s">
        <v>414</v>
      </c>
      <c r="H230" s="17" t="s">
        <v>1849</v>
      </c>
      <c r="I230" s="17" t="s">
        <v>414</v>
      </c>
      <c r="J230" s="17" t="s">
        <v>16</v>
      </c>
      <c r="K230" s="17" t="b">
        <v>0</v>
      </c>
      <c r="L230" s="17" t="s">
        <v>1850</v>
      </c>
      <c r="M230" s="21">
        <v>35304</v>
      </c>
      <c r="N230" s="17" t="s">
        <v>414</v>
      </c>
      <c r="O230" s="17" t="s">
        <v>17</v>
      </c>
      <c r="P230" s="17" t="s">
        <v>18</v>
      </c>
      <c r="Q230" s="17">
        <v>14</v>
      </c>
      <c r="R230" s="17" t="s">
        <v>287</v>
      </c>
      <c r="S230" s="17">
        <v>60</v>
      </c>
      <c r="T230" s="17" t="s">
        <v>1825</v>
      </c>
      <c r="U230" s="21">
        <v>45118</v>
      </c>
      <c r="V230" s="17" t="s">
        <v>31</v>
      </c>
      <c r="W230" s="21">
        <v>1.3402777777777777</v>
      </c>
      <c r="X230" s="17" t="s">
        <v>1851</v>
      </c>
      <c r="Y230" s="17" t="s">
        <v>45</v>
      </c>
      <c r="Z230" s="17">
        <v>110522</v>
      </c>
      <c r="AA230" s="17" t="s">
        <v>294</v>
      </c>
      <c r="AB230" s="17" t="s">
        <v>443</v>
      </c>
      <c r="AC230" s="17">
        <v>0</v>
      </c>
      <c r="AD230" s="21">
        <v>45398</v>
      </c>
      <c r="AE230" s="21">
        <v>2</v>
      </c>
      <c r="AF230" s="17"/>
      <c r="AG230" s="21">
        <v>368</v>
      </c>
      <c r="AH230" s="17">
        <v>80873265</v>
      </c>
      <c r="AI230" s="21">
        <v>45231</v>
      </c>
      <c r="AJ230" s="17">
        <v>3015</v>
      </c>
      <c r="AK230" s="17">
        <v>0.29749999999999999</v>
      </c>
      <c r="AL230" s="17">
        <v>896.96</v>
      </c>
      <c r="AM230" s="17" t="b">
        <v>1</v>
      </c>
      <c r="AN230" s="17" t="b">
        <v>1</v>
      </c>
      <c r="AO230" s="21">
        <v>45267</v>
      </c>
      <c r="AP230" s="21">
        <v>45398</v>
      </c>
      <c r="AQ230" s="17" t="b">
        <v>0</v>
      </c>
      <c r="AR230" s="21">
        <v>45398</v>
      </c>
      <c r="AS230" s="21">
        <v>45398</v>
      </c>
      <c r="AT230" s="21">
        <v>45139</v>
      </c>
      <c r="AU230" s="17" t="b">
        <v>0</v>
      </c>
      <c r="AV230" s="21">
        <v>45210</v>
      </c>
      <c r="AW230" s="17" t="s">
        <v>101</v>
      </c>
      <c r="AX230" s="17" t="s">
        <v>101</v>
      </c>
      <c r="AY230" s="17" t="s">
        <v>414</v>
      </c>
      <c r="AZ230" s="17" t="s">
        <v>450</v>
      </c>
      <c r="BA230" s="21">
        <v>45398</v>
      </c>
      <c r="BB230" s="17">
        <v>0</v>
      </c>
      <c r="BC230" s="17"/>
      <c r="BD230" s="17" t="b">
        <v>0</v>
      </c>
      <c r="BE230" s="17" t="s">
        <v>2297</v>
      </c>
      <c r="BF230" s="21">
        <v>45398</v>
      </c>
      <c r="BG230" s="21">
        <v>45763</v>
      </c>
      <c r="BH230" s="17"/>
      <c r="BI230" s="21">
        <v>46704</v>
      </c>
      <c r="BJ230" s="17">
        <v>0</v>
      </c>
      <c r="BK230" s="17" t="s">
        <v>436</v>
      </c>
      <c r="BL230" s="17" t="s">
        <v>428</v>
      </c>
      <c r="BM230" s="17" t="b">
        <v>1</v>
      </c>
      <c r="BN230" s="17" t="b">
        <v>1</v>
      </c>
      <c r="BO230" s="17" t="b">
        <v>1</v>
      </c>
      <c r="BP230" s="17" t="b">
        <v>1</v>
      </c>
      <c r="BQ230" s="17" t="b">
        <v>1</v>
      </c>
      <c r="BR230" s="17" t="b">
        <v>1</v>
      </c>
      <c r="BS230" s="17" t="b">
        <v>1</v>
      </c>
      <c r="BT230" s="17" t="b">
        <v>1</v>
      </c>
      <c r="BU230" s="17" t="b">
        <v>1</v>
      </c>
      <c r="BV230" s="17">
        <v>0</v>
      </c>
      <c r="BW230" s="21">
        <v>45149</v>
      </c>
      <c r="BX230" s="17" t="s">
        <v>414</v>
      </c>
      <c r="BY230" s="17" t="s">
        <v>414</v>
      </c>
      <c r="BZ230" s="17">
        <v>0</v>
      </c>
      <c r="CA230" s="21">
        <v>45959</v>
      </c>
      <c r="CB230" s="17" t="s">
        <v>419</v>
      </c>
      <c r="CC230" s="17" t="s">
        <v>2298</v>
      </c>
      <c r="CD230" s="21"/>
      <c r="CE230" s="17"/>
      <c r="CF230" s="17" t="s">
        <v>1852</v>
      </c>
      <c r="CG230" s="17" t="b">
        <v>0</v>
      </c>
      <c r="CH230" s="17" t="s">
        <v>425</v>
      </c>
      <c r="CI230" s="17">
        <v>0</v>
      </c>
      <c r="CJ230" s="21">
        <v>1</v>
      </c>
      <c r="CK230" s="21">
        <v>1</v>
      </c>
      <c r="CL230" s="17" t="s">
        <v>414</v>
      </c>
      <c r="CM230" s="21">
        <v>1</v>
      </c>
      <c r="CN230" s="21">
        <v>1</v>
      </c>
      <c r="CO230" s="21">
        <v>1</v>
      </c>
      <c r="CP230" s="17" t="b">
        <v>0</v>
      </c>
      <c r="CQ230" s="17" t="b">
        <v>0</v>
      </c>
      <c r="CR230" s="17" t="b">
        <v>0</v>
      </c>
      <c r="CS230">
        <v>8500</v>
      </c>
      <c r="CT230" t="s">
        <v>1979</v>
      </c>
      <c r="CU230">
        <v>6538.46</v>
      </c>
      <c r="CV230">
        <v>1961.54</v>
      </c>
      <c r="CW230" s="22"/>
    </row>
    <row r="231" spans="1:101" x14ac:dyDescent="0.25">
      <c r="A231" s="20">
        <v>3022</v>
      </c>
      <c r="B231" s="17" t="s">
        <v>705</v>
      </c>
      <c r="C231" s="17" t="s">
        <v>1853</v>
      </c>
      <c r="D231" s="17" t="s">
        <v>295</v>
      </c>
      <c r="E231" s="17" t="s">
        <v>1854</v>
      </c>
      <c r="F231" s="17" t="s">
        <v>1855</v>
      </c>
      <c r="G231" s="17" t="s">
        <v>414</v>
      </c>
      <c r="H231" s="17" t="s">
        <v>1856</v>
      </c>
      <c r="I231" s="17" t="s">
        <v>432</v>
      </c>
      <c r="J231" s="17" t="s">
        <v>16</v>
      </c>
      <c r="K231" s="17" t="b">
        <v>0</v>
      </c>
      <c r="L231" s="17" t="s">
        <v>1857</v>
      </c>
      <c r="M231" s="21">
        <v>35108</v>
      </c>
      <c r="N231" s="17" t="s">
        <v>642</v>
      </c>
      <c r="O231" s="17" t="s">
        <v>17</v>
      </c>
      <c r="P231" s="17" t="s">
        <v>18</v>
      </c>
      <c r="Q231" s="17">
        <v>14</v>
      </c>
      <c r="R231" s="17" t="s">
        <v>287</v>
      </c>
      <c r="S231" s="17">
        <v>60</v>
      </c>
      <c r="T231" s="17" t="s">
        <v>1825</v>
      </c>
      <c r="U231" s="21">
        <v>45127</v>
      </c>
      <c r="V231" s="17" t="s">
        <v>293</v>
      </c>
      <c r="W231" s="21">
        <v>1.34375</v>
      </c>
      <c r="X231" s="17" t="s">
        <v>1851</v>
      </c>
      <c r="Y231" s="17" t="s">
        <v>45</v>
      </c>
      <c r="Z231" s="17">
        <v>110522</v>
      </c>
      <c r="AA231" s="17" t="s">
        <v>294</v>
      </c>
      <c r="AB231" s="17" t="s">
        <v>443</v>
      </c>
      <c r="AC231" s="17">
        <v>0</v>
      </c>
      <c r="AD231" s="21">
        <v>45398</v>
      </c>
      <c r="AE231" s="21">
        <v>2</v>
      </c>
      <c r="AF231" s="17"/>
      <c r="AG231" s="21">
        <v>368</v>
      </c>
      <c r="AH231" s="17">
        <v>74693662</v>
      </c>
      <c r="AI231" s="21">
        <v>45231</v>
      </c>
      <c r="AJ231" s="17">
        <v>4423</v>
      </c>
      <c r="AK231" s="17">
        <v>0.29749999999999999</v>
      </c>
      <c r="AL231" s="17">
        <v>1315.84</v>
      </c>
      <c r="AM231" s="17" t="b">
        <v>1</v>
      </c>
      <c r="AN231" s="17" t="b">
        <v>1</v>
      </c>
      <c r="AO231" s="21">
        <v>45267</v>
      </c>
      <c r="AP231" s="21">
        <v>45398</v>
      </c>
      <c r="AQ231" s="17" t="b">
        <v>0</v>
      </c>
      <c r="AR231" s="21">
        <v>45398</v>
      </c>
      <c r="AS231" s="21">
        <v>45398</v>
      </c>
      <c r="AT231" s="21">
        <v>45139</v>
      </c>
      <c r="AU231" s="17" t="b">
        <v>0</v>
      </c>
      <c r="AV231" s="21">
        <v>45219</v>
      </c>
      <c r="AW231" s="17" t="s">
        <v>275</v>
      </c>
      <c r="AX231" s="17" t="s">
        <v>275</v>
      </c>
      <c r="AY231" s="17" t="s">
        <v>414</v>
      </c>
      <c r="AZ231" s="17" t="s">
        <v>450</v>
      </c>
      <c r="BA231" s="21">
        <v>45398</v>
      </c>
      <c r="BB231" s="17">
        <v>0</v>
      </c>
      <c r="BC231" s="17"/>
      <c r="BD231" s="17" t="b">
        <v>0</v>
      </c>
      <c r="BE231" s="17" t="s">
        <v>2299</v>
      </c>
      <c r="BF231" s="21">
        <v>45398</v>
      </c>
      <c r="BG231" s="21">
        <v>45763</v>
      </c>
      <c r="BH231" s="17"/>
      <c r="BI231" s="21">
        <v>47470</v>
      </c>
      <c r="BJ231" s="17">
        <v>0</v>
      </c>
      <c r="BK231" s="17" t="s">
        <v>436</v>
      </c>
      <c r="BL231" s="17" t="s">
        <v>428</v>
      </c>
      <c r="BM231" s="17" t="b">
        <v>1</v>
      </c>
      <c r="BN231" s="17" t="b">
        <v>1</v>
      </c>
      <c r="BO231" s="17" t="b">
        <v>1</v>
      </c>
      <c r="BP231" s="17" t="b">
        <v>1</v>
      </c>
      <c r="BQ231" s="17" t="b">
        <v>1</v>
      </c>
      <c r="BR231" s="17" t="b">
        <v>1</v>
      </c>
      <c r="BS231" s="17" t="b">
        <v>1</v>
      </c>
      <c r="BT231" s="17" t="b">
        <v>1</v>
      </c>
      <c r="BU231" s="17" t="b">
        <v>1</v>
      </c>
      <c r="BV231" s="17">
        <v>0</v>
      </c>
      <c r="BW231" s="21">
        <v>45158</v>
      </c>
      <c r="BX231" s="17" t="s">
        <v>414</v>
      </c>
      <c r="BY231" s="17" t="s">
        <v>414</v>
      </c>
      <c r="BZ231" s="17">
        <v>0</v>
      </c>
      <c r="CA231" s="21">
        <v>45959</v>
      </c>
      <c r="CB231" s="17" t="s">
        <v>419</v>
      </c>
      <c r="CC231" s="17" t="s">
        <v>2300</v>
      </c>
      <c r="CD231" s="21"/>
      <c r="CE231" s="17"/>
      <c r="CF231" s="17" t="s">
        <v>414</v>
      </c>
      <c r="CG231" s="17" t="b">
        <v>0</v>
      </c>
      <c r="CH231" s="17" t="s">
        <v>425</v>
      </c>
      <c r="CI231" s="17">
        <v>0</v>
      </c>
      <c r="CJ231" s="21">
        <v>1</v>
      </c>
      <c r="CK231" s="21">
        <v>1</v>
      </c>
      <c r="CL231" s="17" t="s">
        <v>414</v>
      </c>
      <c r="CM231" s="21">
        <v>1</v>
      </c>
      <c r="CN231" s="21">
        <v>1</v>
      </c>
      <c r="CO231" s="21">
        <v>1</v>
      </c>
      <c r="CP231" s="17" t="b">
        <v>0</v>
      </c>
      <c r="CQ231" s="17" t="b">
        <v>0</v>
      </c>
      <c r="CR231" s="17" t="b">
        <v>0</v>
      </c>
      <c r="CS231">
        <v>8500</v>
      </c>
      <c r="CT231" t="s">
        <v>1979</v>
      </c>
      <c r="CU231">
        <v>6538.46</v>
      </c>
      <c r="CV231">
        <v>1961.54</v>
      </c>
      <c r="CW231" s="22"/>
    </row>
    <row r="232" spans="1:101" x14ac:dyDescent="0.25">
      <c r="A232" s="20">
        <v>3027</v>
      </c>
      <c r="B232" s="17" t="s">
        <v>426</v>
      </c>
      <c r="C232" s="17" t="s">
        <v>1222</v>
      </c>
      <c r="D232" s="17" t="s">
        <v>262</v>
      </c>
      <c r="E232" s="17" t="s">
        <v>1721</v>
      </c>
      <c r="F232" s="17" t="s">
        <v>1722</v>
      </c>
      <c r="G232" s="17" t="s">
        <v>414</v>
      </c>
      <c r="H232" s="17" t="s">
        <v>1723</v>
      </c>
      <c r="I232" s="17" t="s">
        <v>414</v>
      </c>
      <c r="J232" s="17" t="s">
        <v>16</v>
      </c>
      <c r="K232" s="17" t="b">
        <v>0</v>
      </c>
      <c r="L232" s="17" t="s">
        <v>1724</v>
      </c>
      <c r="M232" s="21">
        <v>33143</v>
      </c>
      <c r="N232" s="17" t="s">
        <v>414</v>
      </c>
      <c r="O232" s="17" t="s">
        <v>17</v>
      </c>
      <c r="P232" s="17" t="s">
        <v>18</v>
      </c>
      <c r="Q232" s="17">
        <v>13</v>
      </c>
      <c r="R232" s="17" t="s">
        <v>243</v>
      </c>
      <c r="S232" s="17">
        <v>48</v>
      </c>
      <c r="T232" s="17" t="s">
        <v>1725</v>
      </c>
      <c r="U232" s="21">
        <v>41470</v>
      </c>
      <c r="V232" s="17" t="s">
        <v>155</v>
      </c>
      <c r="W232" s="21">
        <v>1</v>
      </c>
      <c r="X232" s="17" t="s">
        <v>417</v>
      </c>
      <c r="Y232" s="17" t="s">
        <v>21</v>
      </c>
      <c r="Z232" s="17">
        <v>212720</v>
      </c>
      <c r="AA232" s="17" t="s">
        <v>263</v>
      </c>
      <c r="AB232" s="17" t="s">
        <v>418</v>
      </c>
      <c r="AC232" s="17">
        <v>12</v>
      </c>
      <c r="AD232" s="21">
        <v>42882</v>
      </c>
      <c r="AE232" s="21">
        <v>45012</v>
      </c>
      <c r="AF232" s="17"/>
      <c r="AG232" s="21">
        <v>45378</v>
      </c>
      <c r="AH232" s="17">
        <v>68488622</v>
      </c>
      <c r="AI232" s="21">
        <v>41532</v>
      </c>
      <c r="AJ232" s="17">
        <v>3015</v>
      </c>
      <c r="AK232" s="17">
        <v>0.29749999999999999</v>
      </c>
      <c r="AL232" s="17">
        <v>896.96</v>
      </c>
      <c r="AM232" s="17" t="b">
        <v>1</v>
      </c>
      <c r="AN232" s="17" t="b">
        <v>0</v>
      </c>
      <c r="AO232" s="21">
        <v>45398</v>
      </c>
      <c r="AP232" s="21">
        <v>45398</v>
      </c>
      <c r="AQ232" s="17" t="b">
        <v>0</v>
      </c>
      <c r="AR232" s="21">
        <v>45398</v>
      </c>
      <c r="AS232" s="21">
        <v>45398</v>
      </c>
      <c r="AT232" s="21">
        <v>41440</v>
      </c>
      <c r="AU232" s="17" t="b">
        <v>1</v>
      </c>
      <c r="AV232" s="21">
        <v>41562</v>
      </c>
      <c r="AW232" s="17" t="s">
        <v>101</v>
      </c>
      <c r="AX232" s="17"/>
      <c r="AY232" s="17" t="s">
        <v>414</v>
      </c>
      <c r="AZ232" s="17" t="s">
        <v>450</v>
      </c>
      <c r="BA232" s="21">
        <v>45398</v>
      </c>
      <c r="BB232" s="17">
        <v>0</v>
      </c>
      <c r="BC232" s="17"/>
      <c r="BD232" s="17" t="b">
        <v>0</v>
      </c>
      <c r="BE232" s="17" t="s">
        <v>2301</v>
      </c>
      <c r="BF232" s="21">
        <v>45398</v>
      </c>
      <c r="BG232" s="21">
        <v>45763</v>
      </c>
      <c r="BH232" s="17"/>
      <c r="BI232" s="21">
        <v>47338</v>
      </c>
      <c r="BJ232" s="17">
        <v>0</v>
      </c>
      <c r="BK232" s="17" t="s">
        <v>443</v>
      </c>
      <c r="BL232" s="17" t="s">
        <v>443</v>
      </c>
      <c r="BM232" s="17" t="b">
        <v>0</v>
      </c>
      <c r="BN232" s="17" t="b">
        <v>1</v>
      </c>
      <c r="BO232" s="17" t="b">
        <v>1</v>
      </c>
      <c r="BP232" s="17" t="b">
        <v>0</v>
      </c>
      <c r="BQ232" s="17" t="b">
        <v>0</v>
      </c>
      <c r="BR232" s="17" t="b">
        <v>0</v>
      </c>
      <c r="BS232" s="17" t="b">
        <v>0</v>
      </c>
      <c r="BT232" s="17" t="b">
        <v>1</v>
      </c>
      <c r="BU232" s="17" t="b">
        <v>0</v>
      </c>
      <c r="BV232" s="17">
        <v>0</v>
      </c>
      <c r="BW232" s="21">
        <v>41501</v>
      </c>
      <c r="BX232" s="17" t="s">
        <v>414</v>
      </c>
      <c r="BY232" s="17" t="s">
        <v>414</v>
      </c>
      <c r="BZ232" s="17">
        <v>0</v>
      </c>
      <c r="CA232" s="21">
        <v>45959</v>
      </c>
      <c r="CB232" s="17" t="s">
        <v>419</v>
      </c>
      <c r="CC232" s="17" t="s">
        <v>2302</v>
      </c>
      <c r="CD232" s="21"/>
      <c r="CE232" s="17"/>
      <c r="CF232" s="17" t="s">
        <v>1726</v>
      </c>
      <c r="CG232" s="17" t="b">
        <v>1</v>
      </c>
      <c r="CH232" s="17" t="s">
        <v>425</v>
      </c>
      <c r="CI232" s="17">
        <v>0</v>
      </c>
      <c r="CJ232" s="21">
        <v>45608</v>
      </c>
      <c r="CK232" s="21">
        <v>45878</v>
      </c>
      <c r="CL232" s="17" t="s">
        <v>414</v>
      </c>
      <c r="CM232" s="21">
        <v>1</v>
      </c>
      <c r="CN232" s="21">
        <v>1</v>
      </c>
      <c r="CO232" s="21">
        <v>1</v>
      </c>
      <c r="CP232" s="17" t="b">
        <v>0</v>
      </c>
      <c r="CQ232" s="17" t="b">
        <v>0</v>
      </c>
      <c r="CR232" s="17" t="b">
        <v>0</v>
      </c>
      <c r="CS232">
        <v>8500</v>
      </c>
      <c r="CT232" t="s">
        <v>1979</v>
      </c>
      <c r="CU232">
        <v>6538.46</v>
      </c>
      <c r="CV232">
        <v>1961.54</v>
      </c>
      <c r="CW232" s="22"/>
    </row>
    <row r="233" spans="1:101" x14ac:dyDescent="0.25">
      <c r="A233" s="20">
        <v>6000</v>
      </c>
      <c r="B233" s="17" t="s">
        <v>414</v>
      </c>
      <c r="C233" s="17" t="s">
        <v>414</v>
      </c>
      <c r="D233" s="17" t="s">
        <v>1858</v>
      </c>
      <c r="E233" s="17" t="s">
        <v>414</v>
      </c>
      <c r="F233" s="17" t="s">
        <v>1859</v>
      </c>
      <c r="G233" s="17" t="s">
        <v>414</v>
      </c>
      <c r="H233" s="17" t="s">
        <v>1860</v>
      </c>
      <c r="I233" s="17" t="s">
        <v>739</v>
      </c>
      <c r="J233" s="17" t="s">
        <v>16</v>
      </c>
      <c r="K233" s="17" t="b">
        <v>0</v>
      </c>
      <c r="L233" s="17" t="s">
        <v>1861</v>
      </c>
      <c r="M233" s="21">
        <v>37693</v>
      </c>
      <c r="N233" s="17" t="s">
        <v>414</v>
      </c>
      <c r="O233" s="17" t="s">
        <v>414</v>
      </c>
      <c r="P233" s="17" t="s">
        <v>18</v>
      </c>
      <c r="Q233" s="17">
        <v>1</v>
      </c>
      <c r="R233" s="17" t="s">
        <v>19</v>
      </c>
      <c r="S233" s="17">
        <v>1</v>
      </c>
      <c r="T233" s="17" t="s">
        <v>422</v>
      </c>
      <c r="U233" s="21">
        <v>45943</v>
      </c>
      <c r="V233" s="17" t="s">
        <v>29</v>
      </c>
      <c r="W233" s="21">
        <v>45945</v>
      </c>
      <c r="X233" s="17" t="s">
        <v>414</v>
      </c>
      <c r="Y233" s="17" t="s">
        <v>21</v>
      </c>
      <c r="Z233" s="17">
        <v>0</v>
      </c>
      <c r="AA233" s="17" t="s">
        <v>414</v>
      </c>
      <c r="AB233" s="17" t="s">
        <v>414</v>
      </c>
      <c r="AC233" s="17">
        <v>0</v>
      </c>
      <c r="AD233" s="21">
        <v>1</v>
      </c>
      <c r="AE233" s="21">
        <v>1</v>
      </c>
      <c r="AF233" s="17"/>
      <c r="AG233" s="21">
        <v>367</v>
      </c>
      <c r="AH233" s="17">
        <v>0</v>
      </c>
      <c r="AI233" s="21">
        <v>45945</v>
      </c>
      <c r="AJ233" s="17">
        <v>0</v>
      </c>
      <c r="AK233" s="17">
        <v>0</v>
      </c>
      <c r="AL233" s="17">
        <v>0</v>
      </c>
      <c r="AM233" s="17" t="b">
        <v>0</v>
      </c>
      <c r="AN233" s="17" t="b">
        <v>0</v>
      </c>
      <c r="AO233" s="21">
        <v>45945</v>
      </c>
      <c r="AP233" s="21">
        <v>45945</v>
      </c>
      <c r="AQ233" s="17" t="b">
        <v>0</v>
      </c>
      <c r="AR233" s="21">
        <v>45945</v>
      </c>
      <c r="AS233" s="21">
        <v>45945</v>
      </c>
      <c r="AT233" s="21">
        <v>45853</v>
      </c>
      <c r="AU233" s="17" t="b">
        <v>0</v>
      </c>
      <c r="AV233" s="21">
        <v>46035</v>
      </c>
      <c r="AW233" s="17" t="s">
        <v>23</v>
      </c>
      <c r="AX233" s="17" t="s">
        <v>41</v>
      </c>
      <c r="AY233" s="17" t="s">
        <v>414</v>
      </c>
      <c r="AZ233" s="17" t="s">
        <v>414</v>
      </c>
      <c r="BA233" s="21">
        <v>45945</v>
      </c>
      <c r="BB233" s="17">
        <v>0</v>
      </c>
      <c r="BC233" s="17"/>
      <c r="BD233" s="17" t="b">
        <v>0</v>
      </c>
      <c r="BE233" s="17" t="s">
        <v>2303</v>
      </c>
      <c r="BF233" s="21">
        <v>45945</v>
      </c>
      <c r="BG233" s="21">
        <v>46310</v>
      </c>
      <c r="BH233" s="17"/>
      <c r="BI233" s="21">
        <v>45945</v>
      </c>
      <c r="BJ233" s="17">
        <v>0</v>
      </c>
      <c r="BK233" s="17" t="s">
        <v>414</v>
      </c>
      <c r="BL233" s="17" t="s">
        <v>414</v>
      </c>
      <c r="BM233" s="17" t="b">
        <v>0</v>
      </c>
      <c r="BN233" s="17" t="b">
        <v>0</v>
      </c>
      <c r="BO233" s="17" t="b">
        <v>0</v>
      </c>
      <c r="BP233" s="17" t="b">
        <v>0</v>
      </c>
      <c r="BQ233" s="17" t="b">
        <v>0</v>
      </c>
      <c r="BR233" s="17" t="b">
        <v>0</v>
      </c>
      <c r="BS233" s="17" t="b">
        <v>0</v>
      </c>
      <c r="BT233" s="17" t="b">
        <v>0</v>
      </c>
      <c r="BU233" s="17" t="b">
        <v>0</v>
      </c>
      <c r="BV233" s="17">
        <v>0</v>
      </c>
      <c r="BW233" s="21">
        <v>45974</v>
      </c>
      <c r="BX233" s="17" t="s">
        <v>414</v>
      </c>
      <c r="BY233" s="17" t="s">
        <v>414</v>
      </c>
      <c r="BZ233" s="17">
        <v>0</v>
      </c>
      <c r="CA233" s="21">
        <v>45959</v>
      </c>
      <c r="CB233" s="17" t="s">
        <v>438</v>
      </c>
      <c r="CC233" s="17" t="s">
        <v>2304</v>
      </c>
      <c r="CD233" s="21"/>
      <c r="CE233" s="17"/>
      <c r="CF233" s="17" t="s">
        <v>414</v>
      </c>
      <c r="CG233" s="17" t="b">
        <v>0</v>
      </c>
      <c r="CH233" s="17" t="s">
        <v>414</v>
      </c>
      <c r="CI233" s="17">
        <v>0</v>
      </c>
      <c r="CJ233" s="21">
        <v>1</v>
      </c>
      <c r="CK233" s="21">
        <v>1</v>
      </c>
      <c r="CL233" s="17" t="s">
        <v>414</v>
      </c>
      <c r="CM233" s="21">
        <v>1</v>
      </c>
      <c r="CN233" s="21">
        <v>1</v>
      </c>
      <c r="CO233" s="21">
        <v>1</v>
      </c>
      <c r="CP233" s="17" t="b">
        <v>0</v>
      </c>
      <c r="CQ233" s="17" t="b">
        <v>0</v>
      </c>
      <c r="CR233" s="17" t="b">
        <v>0</v>
      </c>
      <c r="CW233" s="22"/>
    </row>
    <row r="234" spans="1:101" x14ac:dyDescent="0.25">
      <c r="A234" s="20">
        <v>6001</v>
      </c>
      <c r="B234" s="17" t="s">
        <v>414</v>
      </c>
      <c r="C234" s="17" t="s">
        <v>414</v>
      </c>
      <c r="D234" s="17" t="s">
        <v>1862</v>
      </c>
      <c r="E234" s="17" t="s">
        <v>414</v>
      </c>
      <c r="F234" s="17" t="s">
        <v>1863</v>
      </c>
      <c r="G234" s="17" t="s">
        <v>414</v>
      </c>
      <c r="H234" s="17" t="s">
        <v>1864</v>
      </c>
      <c r="I234" s="17" t="s">
        <v>432</v>
      </c>
      <c r="J234" s="17" t="s">
        <v>16</v>
      </c>
      <c r="K234" s="17" t="b">
        <v>0</v>
      </c>
      <c r="L234" s="17" t="s">
        <v>1865</v>
      </c>
      <c r="M234" s="21">
        <v>35490</v>
      </c>
      <c r="N234" s="17" t="s">
        <v>414</v>
      </c>
      <c r="O234" s="17" t="s">
        <v>414</v>
      </c>
      <c r="P234" s="17" t="s">
        <v>18</v>
      </c>
      <c r="Q234" s="17">
        <v>1</v>
      </c>
      <c r="R234" s="17" t="s">
        <v>19</v>
      </c>
      <c r="S234" s="17">
        <v>1</v>
      </c>
      <c r="T234" s="17" t="s">
        <v>422</v>
      </c>
      <c r="U234" s="21">
        <v>45943</v>
      </c>
      <c r="V234" s="17" t="s">
        <v>116</v>
      </c>
      <c r="W234" s="21">
        <v>45945</v>
      </c>
      <c r="X234" s="17" t="s">
        <v>414</v>
      </c>
      <c r="Y234" s="17" t="s">
        <v>21</v>
      </c>
      <c r="Z234" s="17">
        <v>0</v>
      </c>
      <c r="AA234" s="17" t="s">
        <v>414</v>
      </c>
      <c r="AB234" s="17" t="s">
        <v>414</v>
      </c>
      <c r="AC234" s="17">
        <v>0</v>
      </c>
      <c r="AD234" s="21">
        <v>1</v>
      </c>
      <c r="AE234" s="21">
        <v>1</v>
      </c>
      <c r="AF234" s="17"/>
      <c r="AG234" s="21">
        <v>367</v>
      </c>
      <c r="AH234" s="17">
        <v>0</v>
      </c>
      <c r="AI234" s="21">
        <v>45945</v>
      </c>
      <c r="AJ234" s="17">
        <v>0</v>
      </c>
      <c r="AK234" s="17">
        <v>0</v>
      </c>
      <c r="AL234" s="17">
        <v>0</v>
      </c>
      <c r="AM234" s="17" t="b">
        <v>0</v>
      </c>
      <c r="AN234" s="17" t="b">
        <v>0</v>
      </c>
      <c r="AO234" s="21">
        <v>45945</v>
      </c>
      <c r="AP234" s="21">
        <v>45945</v>
      </c>
      <c r="AQ234" s="17" t="b">
        <v>0</v>
      </c>
      <c r="AR234" s="21">
        <v>45945</v>
      </c>
      <c r="AS234" s="21">
        <v>45945</v>
      </c>
      <c r="AT234" s="21">
        <v>45853</v>
      </c>
      <c r="AU234" s="17" t="b">
        <v>0</v>
      </c>
      <c r="AV234" s="21">
        <v>46035</v>
      </c>
      <c r="AW234" s="17" t="s">
        <v>41</v>
      </c>
      <c r="AX234" s="17" t="s">
        <v>23</v>
      </c>
      <c r="AY234" s="17" t="s">
        <v>414</v>
      </c>
      <c r="AZ234" s="17" t="s">
        <v>414</v>
      </c>
      <c r="BA234" s="21">
        <v>45945</v>
      </c>
      <c r="BB234" s="17">
        <v>0</v>
      </c>
      <c r="BC234" s="17"/>
      <c r="BD234" s="17" t="b">
        <v>0</v>
      </c>
      <c r="BE234" s="17" t="s">
        <v>2303</v>
      </c>
      <c r="BF234" s="21">
        <v>45945</v>
      </c>
      <c r="BG234" s="21">
        <v>46310</v>
      </c>
      <c r="BH234" s="17"/>
      <c r="BI234" s="21">
        <v>45945</v>
      </c>
      <c r="BJ234" s="17">
        <v>0</v>
      </c>
      <c r="BK234" s="17" t="s">
        <v>414</v>
      </c>
      <c r="BL234" s="17" t="s">
        <v>414</v>
      </c>
      <c r="BM234" s="17" t="b">
        <v>0</v>
      </c>
      <c r="BN234" s="17" t="b">
        <v>0</v>
      </c>
      <c r="BO234" s="17" t="b">
        <v>0</v>
      </c>
      <c r="BP234" s="17" t="b">
        <v>0</v>
      </c>
      <c r="BQ234" s="17" t="b">
        <v>0</v>
      </c>
      <c r="BR234" s="17" t="b">
        <v>0</v>
      </c>
      <c r="BS234" s="17" t="b">
        <v>0</v>
      </c>
      <c r="BT234" s="17" t="b">
        <v>0</v>
      </c>
      <c r="BU234" s="17" t="b">
        <v>0</v>
      </c>
      <c r="BV234" s="17">
        <v>0</v>
      </c>
      <c r="BW234" s="21">
        <v>45974</v>
      </c>
      <c r="BX234" s="17" t="s">
        <v>414</v>
      </c>
      <c r="BY234" s="17" t="s">
        <v>414</v>
      </c>
      <c r="BZ234" s="17">
        <v>0</v>
      </c>
      <c r="CA234" s="21">
        <v>45951</v>
      </c>
      <c r="CB234" s="17" t="s">
        <v>438</v>
      </c>
      <c r="CC234" s="17" t="s">
        <v>2305</v>
      </c>
      <c r="CD234" s="21"/>
      <c r="CE234" s="17"/>
      <c r="CF234" s="17" t="s">
        <v>414</v>
      </c>
      <c r="CG234" s="17" t="b">
        <v>0</v>
      </c>
      <c r="CH234" s="17" t="s">
        <v>414</v>
      </c>
      <c r="CI234" s="17">
        <v>0</v>
      </c>
      <c r="CJ234" s="21">
        <v>1</v>
      </c>
      <c r="CK234" s="21">
        <v>1</v>
      </c>
      <c r="CL234" s="17" t="s">
        <v>414</v>
      </c>
      <c r="CM234" s="21">
        <v>1</v>
      </c>
      <c r="CN234" s="21">
        <v>1</v>
      </c>
      <c r="CO234" s="21">
        <v>1</v>
      </c>
      <c r="CP234" s="17" t="b">
        <v>0</v>
      </c>
      <c r="CQ234" s="17" t="b">
        <v>0</v>
      </c>
      <c r="CR234" s="17" t="b">
        <v>0</v>
      </c>
      <c r="CW234" s="22"/>
    </row>
    <row r="235" spans="1:101" x14ac:dyDescent="0.25">
      <c r="A235" s="20">
        <v>6002</v>
      </c>
      <c r="B235" s="17" t="s">
        <v>414</v>
      </c>
      <c r="C235" s="17" t="s">
        <v>414</v>
      </c>
      <c r="D235" s="17" t="s">
        <v>1866</v>
      </c>
      <c r="E235" s="17" t="s">
        <v>414</v>
      </c>
      <c r="F235" s="17" t="s">
        <v>1867</v>
      </c>
      <c r="G235" s="17" t="s">
        <v>414</v>
      </c>
      <c r="H235" s="17" t="s">
        <v>1868</v>
      </c>
      <c r="I235" s="17" t="s">
        <v>739</v>
      </c>
      <c r="J235" s="17" t="s">
        <v>16</v>
      </c>
      <c r="K235" s="17" t="b">
        <v>0</v>
      </c>
      <c r="L235" s="17" t="s">
        <v>1869</v>
      </c>
      <c r="M235" s="21">
        <v>38878</v>
      </c>
      <c r="N235" s="17" t="s">
        <v>414</v>
      </c>
      <c r="O235" s="17" t="s">
        <v>414</v>
      </c>
      <c r="P235" s="17" t="s">
        <v>18</v>
      </c>
      <c r="Q235" s="17">
        <v>1</v>
      </c>
      <c r="R235" s="17" t="s">
        <v>19</v>
      </c>
      <c r="S235" s="17">
        <v>1</v>
      </c>
      <c r="T235" s="17" t="s">
        <v>422</v>
      </c>
      <c r="U235" s="21">
        <v>45943</v>
      </c>
      <c r="V235" s="17" t="s">
        <v>116</v>
      </c>
      <c r="W235" s="21">
        <v>45945</v>
      </c>
      <c r="X235" s="17" t="s">
        <v>414</v>
      </c>
      <c r="Y235" s="17" t="s">
        <v>21</v>
      </c>
      <c r="Z235" s="17">
        <v>0</v>
      </c>
      <c r="AA235" s="17" t="s">
        <v>414</v>
      </c>
      <c r="AB235" s="17" t="s">
        <v>414</v>
      </c>
      <c r="AC235" s="17">
        <v>0</v>
      </c>
      <c r="AD235" s="21">
        <v>1</v>
      </c>
      <c r="AE235" s="21">
        <v>1</v>
      </c>
      <c r="AF235" s="17"/>
      <c r="AG235" s="21">
        <v>367</v>
      </c>
      <c r="AH235" s="17">
        <v>0</v>
      </c>
      <c r="AI235" s="21">
        <v>45945</v>
      </c>
      <c r="AJ235" s="17">
        <v>0</v>
      </c>
      <c r="AK235" s="17">
        <v>0</v>
      </c>
      <c r="AL235" s="17">
        <v>0</v>
      </c>
      <c r="AM235" s="17" t="b">
        <v>0</v>
      </c>
      <c r="AN235" s="17" t="b">
        <v>0</v>
      </c>
      <c r="AO235" s="21">
        <v>45945</v>
      </c>
      <c r="AP235" s="21">
        <v>45945</v>
      </c>
      <c r="AQ235" s="17" t="b">
        <v>0</v>
      </c>
      <c r="AR235" s="21">
        <v>45945</v>
      </c>
      <c r="AS235" s="21">
        <v>45945</v>
      </c>
      <c r="AT235" s="21">
        <v>45853</v>
      </c>
      <c r="AU235" s="17" t="b">
        <v>0</v>
      </c>
      <c r="AV235" s="21">
        <v>46035</v>
      </c>
      <c r="AW235" s="17" t="s">
        <v>41</v>
      </c>
      <c r="AX235" s="17" t="s">
        <v>23</v>
      </c>
      <c r="AY235" s="17" t="s">
        <v>414</v>
      </c>
      <c r="AZ235" s="17" t="s">
        <v>414</v>
      </c>
      <c r="BA235" s="21">
        <v>45945</v>
      </c>
      <c r="BB235" s="17">
        <v>0</v>
      </c>
      <c r="BC235" s="17"/>
      <c r="BD235" s="17" t="b">
        <v>0</v>
      </c>
      <c r="BE235" s="17" t="s">
        <v>2303</v>
      </c>
      <c r="BF235" s="21">
        <v>45945</v>
      </c>
      <c r="BG235" s="21">
        <v>46310</v>
      </c>
      <c r="BH235" s="17"/>
      <c r="BI235" s="21">
        <v>45945</v>
      </c>
      <c r="BJ235" s="17">
        <v>0</v>
      </c>
      <c r="BK235" s="17" t="s">
        <v>414</v>
      </c>
      <c r="BL235" s="17" t="s">
        <v>414</v>
      </c>
      <c r="BM235" s="17" t="b">
        <v>0</v>
      </c>
      <c r="BN235" s="17" t="b">
        <v>0</v>
      </c>
      <c r="BO235" s="17" t="b">
        <v>0</v>
      </c>
      <c r="BP235" s="17" t="b">
        <v>0</v>
      </c>
      <c r="BQ235" s="17" t="b">
        <v>0</v>
      </c>
      <c r="BR235" s="17" t="b">
        <v>0</v>
      </c>
      <c r="BS235" s="17" t="b">
        <v>0</v>
      </c>
      <c r="BT235" s="17" t="b">
        <v>0</v>
      </c>
      <c r="BU235" s="17" t="b">
        <v>0</v>
      </c>
      <c r="BV235" s="17">
        <v>0</v>
      </c>
      <c r="BW235" s="21">
        <v>45974</v>
      </c>
      <c r="BX235" s="17" t="s">
        <v>414</v>
      </c>
      <c r="BY235" s="17" t="s">
        <v>414</v>
      </c>
      <c r="BZ235" s="17">
        <v>0</v>
      </c>
      <c r="CA235" s="21">
        <v>45951</v>
      </c>
      <c r="CB235" s="17" t="s">
        <v>438</v>
      </c>
      <c r="CC235" s="17" t="s">
        <v>2306</v>
      </c>
      <c r="CD235" s="21"/>
      <c r="CE235" s="17"/>
      <c r="CF235" s="17" t="s">
        <v>414</v>
      </c>
      <c r="CG235" s="17" t="b">
        <v>0</v>
      </c>
      <c r="CH235" s="17" t="s">
        <v>414</v>
      </c>
      <c r="CI235" s="17">
        <v>0</v>
      </c>
      <c r="CJ235" s="21">
        <v>1</v>
      </c>
      <c r="CK235" s="21">
        <v>1</v>
      </c>
      <c r="CL235" s="17" t="s">
        <v>414</v>
      </c>
      <c r="CM235" s="21">
        <v>1</v>
      </c>
      <c r="CN235" s="21">
        <v>1</v>
      </c>
      <c r="CO235" s="21">
        <v>1</v>
      </c>
      <c r="CP235" s="17" t="b">
        <v>0</v>
      </c>
      <c r="CQ235" s="17" t="b">
        <v>0</v>
      </c>
      <c r="CR235" s="17" t="b">
        <v>0</v>
      </c>
      <c r="CW235" s="22"/>
    </row>
    <row r="236" spans="1:101" x14ac:dyDescent="0.25">
      <c r="A236" s="20">
        <v>6004</v>
      </c>
      <c r="B236" s="17" t="s">
        <v>414</v>
      </c>
      <c r="C236" s="17" t="s">
        <v>414</v>
      </c>
      <c r="D236" s="17" t="s">
        <v>1870</v>
      </c>
      <c r="E236" s="17" t="s">
        <v>414</v>
      </c>
      <c r="F236" s="17" t="s">
        <v>1871</v>
      </c>
      <c r="G236" s="17" t="s">
        <v>414</v>
      </c>
      <c r="H236" s="17" t="s">
        <v>1872</v>
      </c>
      <c r="I236" s="17" t="s">
        <v>739</v>
      </c>
      <c r="J236" s="17" t="s">
        <v>16</v>
      </c>
      <c r="K236" s="17" t="b">
        <v>0</v>
      </c>
      <c r="L236" s="17" t="s">
        <v>1873</v>
      </c>
      <c r="M236" s="21">
        <v>35446</v>
      </c>
      <c r="N236" s="17" t="s">
        <v>414</v>
      </c>
      <c r="O236" s="17" t="s">
        <v>414</v>
      </c>
      <c r="P236" s="17" t="s">
        <v>18</v>
      </c>
      <c r="Q236" s="17">
        <v>1</v>
      </c>
      <c r="R236" s="17" t="s">
        <v>19</v>
      </c>
      <c r="S236" s="17">
        <v>1</v>
      </c>
      <c r="T236" s="17" t="s">
        <v>422</v>
      </c>
      <c r="U236" s="21">
        <v>45945</v>
      </c>
      <c r="V236" s="17" t="s">
        <v>29</v>
      </c>
      <c r="W236" s="21">
        <v>45945</v>
      </c>
      <c r="X236" s="17" t="s">
        <v>414</v>
      </c>
      <c r="Y236" s="17" t="s">
        <v>21</v>
      </c>
      <c r="Z236" s="17">
        <v>0</v>
      </c>
      <c r="AA236" s="17" t="s">
        <v>414</v>
      </c>
      <c r="AB236" s="17" t="s">
        <v>414</v>
      </c>
      <c r="AC236" s="17">
        <v>0</v>
      </c>
      <c r="AD236" s="21">
        <v>1</v>
      </c>
      <c r="AE236" s="21">
        <v>1</v>
      </c>
      <c r="AF236" s="17"/>
      <c r="AG236" s="21">
        <v>367</v>
      </c>
      <c r="AH236" s="17">
        <v>0</v>
      </c>
      <c r="AI236" s="21">
        <v>45945</v>
      </c>
      <c r="AJ236" s="17">
        <v>0</v>
      </c>
      <c r="AK236" s="17">
        <v>0</v>
      </c>
      <c r="AL236" s="17">
        <v>0</v>
      </c>
      <c r="AM236" s="17" t="b">
        <v>0</v>
      </c>
      <c r="AN236" s="17" t="b">
        <v>0</v>
      </c>
      <c r="AO236" s="21">
        <v>45945</v>
      </c>
      <c r="AP236" s="21">
        <v>45945</v>
      </c>
      <c r="AQ236" s="17" t="b">
        <v>0</v>
      </c>
      <c r="AR236" s="21">
        <v>45945</v>
      </c>
      <c r="AS236" s="21">
        <v>45945</v>
      </c>
      <c r="AT236" s="21">
        <v>45853</v>
      </c>
      <c r="AU236" s="17" t="b">
        <v>0</v>
      </c>
      <c r="AV236" s="21">
        <v>46037</v>
      </c>
      <c r="AW236" s="17" t="s">
        <v>23</v>
      </c>
      <c r="AX236" s="17" t="s">
        <v>41</v>
      </c>
      <c r="AY236" s="17" t="s">
        <v>414</v>
      </c>
      <c r="AZ236" s="17" t="s">
        <v>414</v>
      </c>
      <c r="BA236" s="21">
        <v>45945</v>
      </c>
      <c r="BB236" s="17">
        <v>0</v>
      </c>
      <c r="BC236" s="17"/>
      <c r="BD236" s="17" t="b">
        <v>0</v>
      </c>
      <c r="BE236" s="17" t="s">
        <v>2150</v>
      </c>
      <c r="BF236" s="21">
        <v>45945</v>
      </c>
      <c r="BG236" s="21">
        <v>46310</v>
      </c>
      <c r="BH236" s="17"/>
      <c r="BI236" s="21">
        <v>1</v>
      </c>
      <c r="BJ236" s="17">
        <v>0</v>
      </c>
      <c r="BK236" s="17" t="s">
        <v>414</v>
      </c>
      <c r="BL236" s="17" t="s">
        <v>414</v>
      </c>
      <c r="BM236" s="17" t="b">
        <v>0</v>
      </c>
      <c r="BN236" s="17" t="b">
        <v>0</v>
      </c>
      <c r="BO236" s="17" t="b">
        <v>0</v>
      </c>
      <c r="BP236" s="17" t="b">
        <v>0</v>
      </c>
      <c r="BQ236" s="17" t="b">
        <v>0</v>
      </c>
      <c r="BR236" s="17" t="b">
        <v>0</v>
      </c>
      <c r="BS236" s="17" t="b">
        <v>0</v>
      </c>
      <c r="BT236" s="17" t="b">
        <v>0</v>
      </c>
      <c r="BU236" s="17" t="b">
        <v>0</v>
      </c>
      <c r="BV236" s="17">
        <v>0</v>
      </c>
      <c r="BW236" s="21">
        <v>45976</v>
      </c>
      <c r="BX236" s="17" t="s">
        <v>414</v>
      </c>
      <c r="BY236" s="17" t="s">
        <v>414</v>
      </c>
      <c r="BZ236" s="17">
        <v>0</v>
      </c>
      <c r="CA236" s="21">
        <v>45951</v>
      </c>
      <c r="CB236" s="17" t="s">
        <v>438</v>
      </c>
      <c r="CC236" s="17" t="s">
        <v>2307</v>
      </c>
      <c r="CD236" s="21"/>
      <c r="CE236" s="17"/>
      <c r="CF236" s="17" t="s">
        <v>414</v>
      </c>
      <c r="CG236" s="17" t="b">
        <v>0</v>
      </c>
      <c r="CH236" s="17" t="s">
        <v>414</v>
      </c>
      <c r="CI236" s="17">
        <v>0</v>
      </c>
      <c r="CJ236" s="21">
        <v>1</v>
      </c>
      <c r="CK236" s="21">
        <v>1</v>
      </c>
      <c r="CL236" s="17" t="s">
        <v>414</v>
      </c>
      <c r="CM236" s="21">
        <v>1</v>
      </c>
      <c r="CN236" s="21">
        <v>1</v>
      </c>
      <c r="CO236" s="21">
        <v>1</v>
      </c>
      <c r="CP236" s="17" t="b">
        <v>0</v>
      </c>
      <c r="CQ236" s="17" t="b">
        <v>0</v>
      </c>
      <c r="CR236" s="17" t="b">
        <v>0</v>
      </c>
      <c r="CW236" s="22"/>
    </row>
    <row r="237" spans="1:101" x14ac:dyDescent="0.25">
      <c r="A237" s="20">
        <v>6005</v>
      </c>
      <c r="B237" s="17" t="s">
        <v>414</v>
      </c>
      <c r="C237" s="17" t="s">
        <v>414</v>
      </c>
      <c r="D237" s="17" t="s">
        <v>1874</v>
      </c>
      <c r="E237" s="17" t="s">
        <v>414</v>
      </c>
      <c r="F237" s="17" t="s">
        <v>414</v>
      </c>
      <c r="G237" s="17" t="s">
        <v>414</v>
      </c>
      <c r="H237" s="17" t="s">
        <v>1875</v>
      </c>
      <c r="I237" s="17" t="s">
        <v>739</v>
      </c>
      <c r="J237" s="17" t="s">
        <v>16</v>
      </c>
      <c r="K237" s="17" t="b">
        <v>0</v>
      </c>
      <c r="L237" s="17" t="s">
        <v>1876</v>
      </c>
      <c r="M237" s="21">
        <v>36712</v>
      </c>
      <c r="N237" s="17" t="s">
        <v>414</v>
      </c>
      <c r="O237" s="17" t="s">
        <v>414</v>
      </c>
      <c r="P237" s="17" t="s">
        <v>18</v>
      </c>
      <c r="Q237" s="17">
        <v>1</v>
      </c>
      <c r="R237" s="17" t="s">
        <v>19</v>
      </c>
      <c r="S237" s="17">
        <v>1</v>
      </c>
      <c r="T237" s="17" t="s">
        <v>422</v>
      </c>
      <c r="U237" s="21">
        <v>45945</v>
      </c>
      <c r="V237" s="17" t="s">
        <v>58</v>
      </c>
      <c r="W237" s="21">
        <v>45946</v>
      </c>
      <c r="X237" s="17" t="s">
        <v>58</v>
      </c>
      <c r="Y237" s="17" t="s">
        <v>21</v>
      </c>
      <c r="Z237" s="17">
        <v>0</v>
      </c>
      <c r="AA237" s="17" t="s">
        <v>414</v>
      </c>
      <c r="AB237" s="17" t="s">
        <v>414</v>
      </c>
      <c r="AC237" s="17">
        <v>0</v>
      </c>
      <c r="AD237" s="21">
        <v>1</v>
      </c>
      <c r="AE237" s="21">
        <v>1</v>
      </c>
      <c r="AF237" s="17"/>
      <c r="AG237" s="21">
        <v>367</v>
      </c>
      <c r="AH237" s="17">
        <v>0</v>
      </c>
      <c r="AI237" s="21">
        <v>45950</v>
      </c>
      <c r="AJ237" s="17">
        <v>0</v>
      </c>
      <c r="AK237" s="17">
        <v>0</v>
      </c>
      <c r="AL237" s="17">
        <v>0</v>
      </c>
      <c r="AM237" s="17" t="b">
        <v>0</v>
      </c>
      <c r="AN237" s="17" t="b">
        <v>0</v>
      </c>
      <c r="AO237" s="21">
        <v>45950</v>
      </c>
      <c r="AP237" s="21">
        <v>45950</v>
      </c>
      <c r="AQ237" s="17" t="b">
        <v>0</v>
      </c>
      <c r="AR237" s="21">
        <v>45950</v>
      </c>
      <c r="AS237" s="21">
        <v>45950</v>
      </c>
      <c r="AT237" s="21">
        <v>45858</v>
      </c>
      <c r="AU237" s="17" t="b">
        <v>0</v>
      </c>
      <c r="AV237" s="21">
        <v>46037</v>
      </c>
      <c r="AW237" s="17" t="s">
        <v>41</v>
      </c>
      <c r="AX237" s="17" t="s">
        <v>41</v>
      </c>
      <c r="AY237" s="17" t="s">
        <v>414</v>
      </c>
      <c r="AZ237" s="17" t="s">
        <v>414</v>
      </c>
      <c r="BA237" s="21">
        <v>45950</v>
      </c>
      <c r="BB237" s="17">
        <v>0</v>
      </c>
      <c r="BC237" s="17"/>
      <c r="BD237" s="17" t="b">
        <v>0</v>
      </c>
      <c r="BE237" s="17" t="s">
        <v>2150</v>
      </c>
      <c r="BF237" s="21">
        <v>45950</v>
      </c>
      <c r="BG237" s="21">
        <v>46315</v>
      </c>
      <c r="BH237" s="17"/>
      <c r="BI237" s="21">
        <v>45950</v>
      </c>
      <c r="BJ237" s="17">
        <v>0</v>
      </c>
      <c r="BK237" s="17" t="s">
        <v>414</v>
      </c>
      <c r="BL237" s="17" t="s">
        <v>414</v>
      </c>
      <c r="BM237" s="17" t="b">
        <v>0</v>
      </c>
      <c r="BN237" s="17" t="b">
        <v>0</v>
      </c>
      <c r="BO237" s="17" t="b">
        <v>0</v>
      </c>
      <c r="BP237" s="17" t="b">
        <v>0</v>
      </c>
      <c r="BQ237" s="17" t="b">
        <v>0</v>
      </c>
      <c r="BR237" s="17" t="b">
        <v>0</v>
      </c>
      <c r="BS237" s="17" t="b">
        <v>0</v>
      </c>
      <c r="BT237" s="17" t="b">
        <v>0</v>
      </c>
      <c r="BU237" s="17" t="b">
        <v>0</v>
      </c>
      <c r="BV237" s="17">
        <v>0</v>
      </c>
      <c r="BW237" s="21">
        <v>45976</v>
      </c>
      <c r="BX237" s="17" t="s">
        <v>414</v>
      </c>
      <c r="BY237" s="17" t="s">
        <v>414</v>
      </c>
      <c r="BZ237" s="17">
        <v>0</v>
      </c>
      <c r="CA237" s="21">
        <v>45951</v>
      </c>
      <c r="CB237" s="17" t="s">
        <v>438</v>
      </c>
      <c r="CC237" s="17" t="s">
        <v>2308</v>
      </c>
      <c r="CD237" s="21"/>
      <c r="CE237" s="17"/>
      <c r="CF237" s="17" t="s">
        <v>414</v>
      </c>
      <c r="CG237" s="17" t="b">
        <v>0</v>
      </c>
      <c r="CH237" s="17" t="s">
        <v>414</v>
      </c>
      <c r="CI237" s="17">
        <v>0</v>
      </c>
      <c r="CJ237" s="21">
        <v>1</v>
      </c>
      <c r="CK237" s="21">
        <v>1</v>
      </c>
      <c r="CL237" s="17" t="s">
        <v>414</v>
      </c>
      <c r="CM237" s="21">
        <v>1</v>
      </c>
      <c r="CN237" s="21">
        <v>1</v>
      </c>
      <c r="CO237" s="21">
        <v>1</v>
      </c>
      <c r="CP237" s="17" t="b">
        <v>0</v>
      </c>
      <c r="CQ237" s="17" t="b">
        <v>0</v>
      </c>
      <c r="CR237" s="17" t="b">
        <v>0</v>
      </c>
      <c r="CW237" s="22"/>
    </row>
    <row r="238" spans="1:101" x14ac:dyDescent="0.25">
      <c r="A238" s="20">
        <v>6006</v>
      </c>
      <c r="B238" s="17" t="s">
        <v>414</v>
      </c>
      <c r="C238" s="17" t="s">
        <v>414</v>
      </c>
      <c r="D238" s="17" t="s">
        <v>1877</v>
      </c>
      <c r="E238" s="17" t="s">
        <v>414</v>
      </c>
      <c r="F238" s="17" t="s">
        <v>414</v>
      </c>
      <c r="G238" s="17" t="s">
        <v>414</v>
      </c>
      <c r="H238" s="17" t="s">
        <v>1878</v>
      </c>
      <c r="I238" s="17" t="s">
        <v>739</v>
      </c>
      <c r="J238" s="17" t="s">
        <v>16</v>
      </c>
      <c r="K238" s="17" t="b">
        <v>0</v>
      </c>
      <c r="L238" s="17" t="s">
        <v>1879</v>
      </c>
      <c r="M238" s="21">
        <v>39298</v>
      </c>
      <c r="N238" s="17" t="s">
        <v>414</v>
      </c>
      <c r="O238" s="17" t="s">
        <v>414</v>
      </c>
      <c r="P238" s="17" t="s">
        <v>18</v>
      </c>
      <c r="Q238" s="17">
        <v>1</v>
      </c>
      <c r="R238" s="17" t="s">
        <v>19</v>
      </c>
      <c r="S238" s="17">
        <v>1</v>
      </c>
      <c r="T238" s="17" t="s">
        <v>422</v>
      </c>
      <c r="U238" s="21">
        <v>45945</v>
      </c>
      <c r="V238" s="17" t="s">
        <v>58</v>
      </c>
      <c r="W238" s="21">
        <v>45946</v>
      </c>
      <c r="X238" s="17" t="s">
        <v>58</v>
      </c>
      <c r="Y238" s="17" t="s">
        <v>21</v>
      </c>
      <c r="Z238" s="17">
        <v>0</v>
      </c>
      <c r="AA238" s="17" t="s">
        <v>414</v>
      </c>
      <c r="AB238" s="17" t="s">
        <v>414</v>
      </c>
      <c r="AC238" s="17">
        <v>0</v>
      </c>
      <c r="AD238" s="21">
        <v>1</v>
      </c>
      <c r="AE238" s="21">
        <v>1</v>
      </c>
      <c r="AF238" s="17"/>
      <c r="AG238" s="21">
        <v>367</v>
      </c>
      <c r="AH238" s="17">
        <v>0</v>
      </c>
      <c r="AI238" s="21">
        <v>45950</v>
      </c>
      <c r="AJ238" s="17">
        <v>0</v>
      </c>
      <c r="AK238" s="17">
        <v>0</v>
      </c>
      <c r="AL238" s="17">
        <v>0</v>
      </c>
      <c r="AM238" s="17" t="b">
        <v>0</v>
      </c>
      <c r="AN238" s="17" t="b">
        <v>0</v>
      </c>
      <c r="AO238" s="21">
        <v>45950</v>
      </c>
      <c r="AP238" s="21">
        <v>45950</v>
      </c>
      <c r="AQ238" s="17" t="b">
        <v>0</v>
      </c>
      <c r="AR238" s="21">
        <v>45950</v>
      </c>
      <c r="AS238" s="21">
        <v>45950</v>
      </c>
      <c r="AT238" s="21">
        <v>45858</v>
      </c>
      <c r="AU238" s="17" t="b">
        <v>0</v>
      </c>
      <c r="AV238" s="21">
        <v>46037</v>
      </c>
      <c r="AW238" s="17" t="s">
        <v>41</v>
      </c>
      <c r="AX238" s="17" t="s">
        <v>41</v>
      </c>
      <c r="AY238" s="17" t="s">
        <v>414</v>
      </c>
      <c r="AZ238" s="17" t="s">
        <v>414</v>
      </c>
      <c r="BA238" s="21">
        <v>45950</v>
      </c>
      <c r="BB238" s="17">
        <v>0</v>
      </c>
      <c r="BC238" s="17"/>
      <c r="BD238" s="17" t="b">
        <v>0</v>
      </c>
      <c r="BE238" s="17" t="s">
        <v>2150</v>
      </c>
      <c r="BF238" s="21">
        <v>45950</v>
      </c>
      <c r="BG238" s="21">
        <v>46315</v>
      </c>
      <c r="BH238" s="17"/>
      <c r="BI238" s="21">
        <v>45950</v>
      </c>
      <c r="BJ238" s="17">
        <v>0</v>
      </c>
      <c r="BK238" s="17" t="s">
        <v>414</v>
      </c>
      <c r="BL238" s="17" t="s">
        <v>414</v>
      </c>
      <c r="BM238" s="17" t="b">
        <v>0</v>
      </c>
      <c r="BN238" s="17" t="b">
        <v>0</v>
      </c>
      <c r="BO238" s="17" t="b">
        <v>0</v>
      </c>
      <c r="BP238" s="17" t="b">
        <v>0</v>
      </c>
      <c r="BQ238" s="17" t="b">
        <v>0</v>
      </c>
      <c r="BR238" s="17" t="b">
        <v>0</v>
      </c>
      <c r="BS238" s="17" t="b">
        <v>0</v>
      </c>
      <c r="BT238" s="17" t="b">
        <v>0</v>
      </c>
      <c r="BU238" s="17" t="b">
        <v>0</v>
      </c>
      <c r="BV238" s="17">
        <v>0</v>
      </c>
      <c r="BW238" s="21">
        <v>45976</v>
      </c>
      <c r="BX238" s="17" t="s">
        <v>414</v>
      </c>
      <c r="BY238" s="17" t="s">
        <v>414</v>
      </c>
      <c r="BZ238" s="17">
        <v>0</v>
      </c>
      <c r="CA238" s="21">
        <v>45951</v>
      </c>
      <c r="CB238" s="17" t="s">
        <v>438</v>
      </c>
      <c r="CC238" s="17" t="s">
        <v>2309</v>
      </c>
      <c r="CD238" s="21"/>
      <c r="CE238" s="17"/>
      <c r="CF238" s="17" t="s">
        <v>414</v>
      </c>
      <c r="CG238" s="17" t="b">
        <v>0</v>
      </c>
      <c r="CH238" s="17" t="s">
        <v>414</v>
      </c>
      <c r="CI238" s="17">
        <v>0</v>
      </c>
      <c r="CJ238" s="21">
        <v>1</v>
      </c>
      <c r="CK238" s="21">
        <v>1</v>
      </c>
      <c r="CL238" s="17" t="s">
        <v>414</v>
      </c>
      <c r="CM238" s="21">
        <v>1</v>
      </c>
      <c r="CN238" s="21">
        <v>1</v>
      </c>
      <c r="CO238" s="21">
        <v>1</v>
      </c>
      <c r="CP238" s="17" t="b">
        <v>0</v>
      </c>
      <c r="CQ238" s="17" t="b">
        <v>0</v>
      </c>
      <c r="CR238" s="17" t="b">
        <v>0</v>
      </c>
      <c r="CS238">
        <v>0</v>
      </c>
      <c r="CT238" t="s">
        <v>1934</v>
      </c>
      <c r="CU238">
        <v>0</v>
      </c>
      <c r="CV238">
        <v>0</v>
      </c>
      <c r="CW238" s="22"/>
    </row>
    <row r="239" spans="1:101" x14ac:dyDescent="0.25">
      <c r="A239" s="20">
        <v>6007</v>
      </c>
      <c r="B239" s="17" t="s">
        <v>985</v>
      </c>
      <c r="C239" s="17" t="s">
        <v>2310</v>
      </c>
      <c r="D239" s="17" t="s">
        <v>1929</v>
      </c>
      <c r="E239" s="17" t="s">
        <v>414</v>
      </c>
      <c r="F239" s="17" t="s">
        <v>414</v>
      </c>
      <c r="G239" s="17" t="s">
        <v>414</v>
      </c>
      <c r="H239" s="17" t="s">
        <v>1930</v>
      </c>
      <c r="I239" s="17" t="s">
        <v>739</v>
      </c>
      <c r="J239" s="17" t="s">
        <v>16</v>
      </c>
      <c r="K239" s="17" t="b">
        <v>0</v>
      </c>
      <c r="L239" s="17" t="s">
        <v>2311</v>
      </c>
      <c r="M239" s="21">
        <v>39268</v>
      </c>
      <c r="N239" s="17" t="s">
        <v>2312</v>
      </c>
      <c r="O239" s="17" t="s">
        <v>17</v>
      </c>
      <c r="P239" s="17" t="s">
        <v>18</v>
      </c>
      <c r="Q239" s="17">
        <v>1</v>
      </c>
      <c r="R239" s="17" t="s">
        <v>19</v>
      </c>
      <c r="S239" s="17">
        <v>1</v>
      </c>
      <c r="T239" s="17" t="s">
        <v>422</v>
      </c>
      <c r="U239" s="21">
        <v>45950</v>
      </c>
      <c r="V239" s="17" t="s">
        <v>58</v>
      </c>
      <c r="W239" s="21">
        <v>45951</v>
      </c>
      <c r="X239" s="17" t="s">
        <v>414</v>
      </c>
      <c r="Y239" s="17" t="s">
        <v>414</v>
      </c>
      <c r="Z239" s="17">
        <v>0</v>
      </c>
      <c r="AA239" s="17" t="s">
        <v>414</v>
      </c>
      <c r="AB239" s="17" t="s">
        <v>414</v>
      </c>
      <c r="AC239" s="17">
        <v>0</v>
      </c>
      <c r="AD239" s="21">
        <v>1</v>
      </c>
      <c r="AE239" s="21">
        <v>1</v>
      </c>
      <c r="AF239" s="17"/>
      <c r="AG239" s="21">
        <v>367</v>
      </c>
      <c r="AH239" s="17">
        <v>0</v>
      </c>
      <c r="AI239" s="21">
        <v>45951</v>
      </c>
      <c r="AJ239" s="17">
        <v>0</v>
      </c>
      <c r="AK239" s="17">
        <v>0</v>
      </c>
      <c r="AL239" s="17">
        <v>0</v>
      </c>
      <c r="AM239" s="17" t="b">
        <v>0</v>
      </c>
      <c r="AN239" s="17" t="b">
        <v>0</v>
      </c>
      <c r="AO239" s="21">
        <v>45951</v>
      </c>
      <c r="AP239" s="21">
        <v>45951</v>
      </c>
      <c r="AQ239" s="17" t="b">
        <v>0</v>
      </c>
      <c r="AR239" s="21">
        <v>45951</v>
      </c>
      <c r="AS239" s="21">
        <v>45951</v>
      </c>
      <c r="AT239" s="21">
        <v>45859</v>
      </c>
      <c r="AU239" s="17" t="b">
        <v>0</v>
      </c>
      <c r="AV239" s="21">
        <v>46042</v>
      </c>
      <c r="AW239" s="17" t="s">
        <v>41</v>
      </c>
      <c r="AX239" s="17" t="s">
        <v>41</v>
      </c>
      <c r="AY239" s="17" t="s">
        <v>414</v>
      </c>
      <c r="AZ239" s="17" t="s">
        <v>414</v>
      </c>
      <c r="BA239" s="21">
        <v>45951</v>
      </c>
      <c r="BB239" s="17">
        <v>0</v>
      </c>
      <c r="BC239" s="17"/>
      <c r="BD239" s="17" t="b">
        <v>0</v>
      </c>
      <c r="BE239" s="17" t="s">
        <v>2313</v>
      </c>
      <c r="BF239" s="21">
        <v>45951</v>
      </c>
      <c r="BG239" s="21">
        <v>46316</v>
      </c>
      <c r="BH239" s="17"/>
      <c r="BI239" s="21">
        <v>45951</v>
      </c>
      <c r="BJ239" s="17">
        <v>0</v>
      </c>
      <c r="BK239" s="17" t="s">
        <v>414</v>
      </c>
      <c r="BL239" s="17" t="s">
        <v>414</v>
      </c>
      <c r="BM239" s="17" t="b">
        <v>0</v>
      </c>
      <c r="BN239" s="17" t="b">
        <v>0</v>
      </c>
      <c r="BO239" s="17" t="b">
        <v>0</v>
      </c>
      <c r="BP239" s="17" t="b">
        <v>0</v>
      </c>
      <c r="BQ239" s="17" t="b">
        <v>0</v>
      </c>
      <c r="BR239" s="17" t="b">
        <v>0</v>
      </c>
      <c r="BS239" s="17" t="b">
        <v>0</v>
      </c>
      <c r="BT239" s="17" t="b">
        <v>0</v>
      </c>
      <c r="BU239" s="17" t="b">
        <v>0</v>
      </c>
      <c r="BV239" s="17">
        <v>0</v>
      </c>
      <c r="BW239" s="21">
        <v>45981</v>
      </c>
      <c r="BX239" s="17" t="s">
        <v>414</v>
      </c>
      <c r="BY239" s="17" t="s">
        <v>414</v>
      </c>
      <c r="BZ239" s="17">
        <v>0</v>
      </c>
      <c r="CA239" s="21">
        <v>45959</v>
      </c>
      <c r="CB239" s="17" t="s">
        <v>438</v>
      </c>
      <c r="CC239" s="17" t="s">
        <v>2314</v>
      </c>
      <c r="CD239" s="21"/>
      <c r="CE239" s="17"/>
      <c r="CF239" s="17" t="s">
        <v>2315</v>
      </c>
      <c r="CG239" s="17" t="b">
        <v>0</v>
      </c>
      <c r="CH239" s="17" t="s">
        <v>992</v>
      </c>
      <c r="CI239" s="17">
        <v>0</v>
      </c>
      <c r="CJ239" s="21">
        <v>1</v>
      </c>
      <c r="CK239" s="21">
        <v>1</v>
      </c>
      <c r="CL239" s="17" t="s">
        <v>414</v>
      </c>
      <c r="CM239" s="21">
        <v>1</v>
      </c>
      <c r="CN239" s="21">
        <v>1</v>
      </c>
      <c r="CO239" s="21">
        <v>1</v>
      </c>
      <c r="CP239" s="17" t="b">
        <v>0</v>
      </c>
      <c r="CQ239" s="17" t="b">
        <v>0</v>
      </c>
      <c r="CR239" s="17" t="b">
        <v>0</v>
      </c>
      <c r="CW239" s="22"/>
    </row>
    <row r="240" spans="1:101" x14ac:dyDescent="0.25">
      <c r="A240" s="20">
        <v>6008</v>
      </c>
      <c r="B240" s="17" t="s">
        <v>426</v>
      </c>
      <c r="C240" s="17" t="s">
        <v>2316</v>
      </c>
      <c r="D240" s="17" t="s">
        <v>1932</v>
      </c>
      <c r="E240" s="17" t="s">
        <v>414</v>
      </c>
      <c r="F240" s="17" t="s">
        <v>414</v>
      </c>
      <c r="G240" s="17" t="s">
        <v>414</v>
      </c>
      <c r="H240" s="17" t="s">
        <v>1933</v>
      </c>
      <c r="I240" s="17" t="s">
        <v>739</v>
      </c>
      <c r="J240" s="17" t="s">
        <v>16</v>
      </c>
      <c r="K240" s="17" t="b">
        <v>0</v>
      </c>
      <c r="L240" s="17" t="s">
        <v>2317</v>
      </c>
      <c r="M240" s="21">
        <v>39480</v>
      </c>
      <c r="N240" s="17" t="s">
        <v>2318</v>
      </c>
      <c r="O240" s="17" t="s">
        <v>17</v>
      </c>
      <c r="P240" s="17" t="s">
        <v>18</v>
      </c>
      <c r="Q240" s="17">
        <v>1</v>
      </c>
      <c r="R240" s="17" t="s">
        <v>19</v>
      </c>
      <c r="S240" s="17">
        <v>1</v>
      </c>
      <c r="T240" s="17" t="s">
        <v>422</v>
      </c>
      <c r="U240" s="21">
        <v>45950</v>
      </c>
      <c r="V240" s="17" t="s">
        <v>58</v>
      </c>
      <c r="W240" s="21">
        <v>45951</v>
      </c>
      <c r="X240" s="17" t="s">
        <v>414</v>
      </c>
      <c r="Y240" s="17" t="s">
        <v>414</v>
      </c>
      <c r="Z240" s="17">
        <v>0</v>
      </c>
      <c r="AA240" s="17" t="s">
        <v>414</v>
      </c>
      <c r="AB240" s="17" t="s">
        <v>414</v>
      </c>
      <c r="AC240" s="17">
        <v>0</v>
      </c>
      <c r="AD240" s="21">
        <v>1</v>
      </c>
      <c r="AE240" s="21">
        <v>1</v>
      </c>
      <c r="AF240" s="17"/>
      <c r="AG240" s="21">
        <v>367</v>
      </c>
      <c r="AH240" s="17">
        <v>0</v>
      </c>
      <c r="AI240" s="21">
        <v>45951</v>
      </c>
      <c r="AJ240" s="17">
        <v>0</v>
      </c>
      <c r="AK240" s="17">
        <v>0</v>
      </c>
      <c r="AL240" s="17">
        <v>0</v>
      </c>
      <c r="AM240" s="17" t="b">
        <v>0</v>
      </c>
      <c r="AN240" s="17" t="b">
        <v>0</v>
      </c>
      <c r="AO240" s="21">
        <v>45951</v>
      </c>
      <c r="AP240" s="21">
        <v>45951</v>
      </c>
      <c r="AQ240" s="17" t="b">
        <v>0</v>
      </c>
      <c r="AR240" s="21">
        <v>45951</v>
      </c>
      <c r="AS240" s="21">
        <v>45951</v>
      </c>
      <c r="AT240" s="21">
        <v>45859</v>
      </c>
      <c r="AU240" s="17" t="b">
        <v>0</v>
      </c>
      <c r="AV240" s="21">
        <v>46042</v>
      </c>
      <c r="AW240" s="17" t="s">
        <v>41</v>
      </c>
      <c r="AX240" s="17" t="s">
        <v>41</v>
      </c>
      <c r="AY240" s="17" t="s">
        <v>414</v>
      </c>
      <c r="AZ240" s="17" t="s">
        <v>414</v>
      </c>
      <c r="BA240" s="21">
        <v>45951</v>
      </c>
      <c r="BB240" s="17">
        <v>0</v>
      </c>
      <c r="BC240" s="17"/>
      <c r="BD240" s="17" t="b">
        <v>0</v>
      </c>
      <c r="BE240" s="17" t="s">
        <v>2313</v>
      </c>
      <c r="BF240" s="21">
        <v>45951</v>
      </c>
      <c r="BG240" s="21">
        <v>46316</v>
      </c>
      <c r="BH240" s="17"/>
      <c r="BI240" s="21">
        <v>45951</v>
      </c>
      <c r="BJ240" s="17">
        <v>0</v>
      </c>
      <c r="BK240" s="17" t="s">
        <v>414</v>
      </c>
      <c r="BL240" s="17" t="s">
        <v>414</v>
      </c>
      <c r="BM240" s="17" t="b">
        <v>0</v>
      </c>
      <c r="BN240" s="17" t="b">
        <v>0</v>
      </c>
      <c r="BO240" s="17" t="b">
        <v>0</v>
      </c>
      <c r="BP240" s="17" t="b">
        <v>0</v>
      </c>
      <c r="BQ240" s="17" t="b">
        <v>0</v>
      </c>
      <c r="BR240" s="17" t="b">
        <v>0</v>
      </c>
      <c r="BS240" s="17" t="b">
        <v>0</v>
      </c>
      <c r="BT240" s="17" t="b">
        <v>0</v>
      </c>
      <c r="BU240" s="17" t="b">
        <v>0</v>
      </c>
      <c r="BV240" s="17">
        <v>0</v>
      </c>
      <c r="BW240" s="21">
        <v>45981</v>
      </c>
      <c r="BX240" s="17" t="s">
        <v>414</v>
      </c>
      <c r="BY240" s="17" t="s">
        <v>414</v>
      </c>
      <c r="BZ240" s="17">
        <v>0</v>
      </c>
      <c r="CA240" s="21">
        <v>45952</v>
      </c>
      <c r="CB240" s="17" t="s">
        <v>438</v>
      </c>
      <c r="CC240" s="17" t="s">
        <v>2319</v>
      </c>
      <c r="CD240" s="21"/>
      <c r="CE240" s="17"/>
      <c r="CF240" s="17" t="s">
        <v>414</v>
      </c>
      <c r="CG240" s="17" t="b">
        <v>0</v>
      </c>
      <c r="CH240" s="17" t="s">
        <v>1012</v>
      </c>
      <c r="CI240" s="17">
        <v>0</v>
      </c>
      <c r="CJ240" s="21">
        <v>1</v>
      </c>
      <c r="CK240" s="21">
        <v>1</v>
      </c>
      <c r="CL240" s="17" t="s">
        <v>414</v>
      </c>
      <c r="CM240" s="21">
        <v>1</v>
      </c>
      <c r="CN240" s="21">
        <v>1</v>
      </c>
      <c r="CO240" s="21">
        <v>1</v>
      </c>
      <c r="CP240" s="17" t="b">
        <v>0</v>
      </c>
      <c r="CQ240" s="17" t="b">
        <v>0</v>
      </c>
      <c r="CR240" s="17" t="b">
        <v>0</v>
      </c>
      <c r="CW240" s="22"/>
    </row>
    <row r="241" spans="1:101" x14ac:dyDescent="0.25">
      <c r="A241" s="20">
        <v>6009</v>
      </c>
      <c r="B241" s="17" t="s">
        <v>414</v>
      </c>
      <c r="C241" s="17" t="s">
        <v>414</v>
      </c>
      <c r="D241" s="17" t="s">
        <v>2320</v>
      </c>
      <c r="E241" s="17" t="s">
        <v>414</v>
      </c>
      <c r="F241" s="17" t="s">
        <v>2321</v>
      </c>
      <c r="G241" s="17" t="s">
        <v>414</v>
      </c>
      <c r="H241" s="17" t="s">
        <v>2322</v>
      </c>
      <c r="I241" s="17" t="s">
        <v>739</v>
      </c>
      <c r="J241" s="17" t="s">
        <v>16</v>
      </c>
      <c r="K241" s="17" t="b">
        <v>0</v>
      </c>
      <c r="L241" s="17" t="s">
        <v>2323</v>
      </c>
      <c r="M241" s="21">
        <v>38960</v>
      </c>
      <c r="N241" s="17" t="s">
        <v>414</v>
      </c>
      <c r="O241" s="17" t="s">
        <v>414</v>
      </c>
      <c r="P241" s="17" t="s">
        <v>18</v>
      </c>
      <c r="Q241" s="17">
        <v>1</v>
      </c>
      <c r="R241" s="17" t="s">
        <v>19</v>
      </c>
      <c r="S241" s="17">
        <v>1</v>
      </c>
      <c r="T241" s="17" t="s">
        <v>422</v>
      </c>
      <c r="U241" s="21">
        <v>45953</v>
      </c>
      <c r="V241" s="17" t="s">
        <v>61</v>
      </c>
      <c r="W241" s="21">
        <v>45953</v>
      </c>
      <c r="X241" s="17" t="s">
        <v>2324</v>
      </c>
      <c r="Y241" s="17" t="s">
        <v>414</v>
      </c>
      <c r="Z241" s="17">
        <v>0</v>
      </c>
      <c r="AA241" s="17" t="s">
        <v>414</v>
      </c>
      <c r="AB241" s="17" t="s">
        <v>414</v>
      </c>
      <c r="AC241" s="17">
        <v>0</v>
      </c>
      <c r="AD241" s="21">
        <v>1</v>
      </c>
      <c r="AE241" s="21">
        <v>1</v>
      </c>
      <c r="AF241" s="17"/>
      <c r="AG241" s="21">
        <v>367</v>
      </c>
      <c r="AH241" s="17">
        <v>0</v>
      </c>
      <c r="AI241" s="21">
        <v>45953</v>
      </c>
      <c r="AJ241" s="17">
        <v>0</v>
      </c>
      <c r="AK241" s="17">
        <v>0</v>
      </c>
      <c r="AL241" s="17">
        <v>0</v>
      </c>
      <c r="AM241" s="17" t="b">
        <v>0</v>
      </c>
      <c r="AN241" s="17" t="b">
        <v>0</v>
      </c>
      <c r="AO241" s="21">
        <v>45953</v>
      </c>
      <c r="AP241" s="21">
        <v>45953</v>
      </c>
      <c r="AQ241" s="17" t="b">
        <v>0</v>
      </c>
      <c r="AR241" s="21">
        <v>45953</v>
      </c>
      <c r="AS241" s="21">
        <v>45953</v>
      </c>
      <c r="AT241" s="21">
        <v>45861</v>
      </c>
      <c r="AU241" s="17" t="b">
        <v>0</v>
      </c>
      <c r="AV241" s="21">
        <v>46045</v>
      </c>
      <c r="AW241" s="17" t="s">
        <v>23</v>
      </c>
      <c r="AX241" s="17" t="s">
        <v>41</v>
      </c>
      <c r="AY241" s="17" t="s">
        <v>414</v>
      </c>
      <c r="AZ241" s="17" t="s">
        <v>414</v>
      </c>
      <c r="BA241" s="21">
        <v>45953</v>
      </c>
      <c r="BB241" s="17">
        <v>0</v>
      </c>
      <c r="BC241" s="17"/>
      <c r="BD241" s="17" t="b">
        <v>0</v>
      </c>
      <c r="BE241" s="17" t="s">
        <v>1922</v>
      </c>
      <c r="BF241" s="21">
        <v>45953</v>
      </c>
      <c r="BG241" s="21">
        <v>46318</v>
      </c>
      <c r="BH241" s="17"/>
      <c r="BI241" s="21">
        <v>45953</v>
      </c>
      <c r="BJ241" s="17">
        <v>0</v>
      </c>
      <c r="BK241" s="17" t="s">
        <v>414</v>
      </c>
      <c r="BL241" s="17" t="s">
        <v>414</v>
      </c>
      <c r="BM241" s="17" t="b">
        <v>0</v>
      </c>
      <c r="BN241" s="17" t="b">
        <v>0</v>
      </c>
      <c r="BO241" s="17" t="b">
        <v>0</v>
      </c>
      <c r="BP241" s="17" t="b">
        <v>0</v>
      </c>
      <c r="BQ241" s="17" t="b">
        <v>0</v>
      </c>
      <c r="BR241" s="17" t="b">
        <v>0</v>
      </c>
      <c r="BS241" s="17" t="b">
        <v>0</v>
      </c>
      <c r="BT241" s="17" t="b">
        <v>0</v>
      </c>
      <c r="BU241" s="17" t="b">
        <v>0</v>
      </c>
      <c r="BV241" s="17">
        <v>0</v>
      </c>
      <c r="BW241" s="21">
        <v>45984</v>
      </c>
      <c r="BX241" s="17" t="s">
        <v>414</v>
      </c>
      <c r="BY241" s="17" t="s">
        <v>414</v>
      </c>
      <c r="BZ241" s="17">
        <v>0</v>
      </c>
      <c r="CA241" s="21">
        <v>45953</v>
      </c>
      <c r="CB241" s="17" t="s">
        <v>438</v>
      </c>
      <c r="CC241" s="17" t="s">
        <v>2325</v>
      </c>
      <c r="CD241" s="21"/>
      <c r="CE241" s="17"/>
      <c r="CF241" s="17" t="s">
        <v>414</v>
      </c>
      <c r="CG241" s="17" t="b">
        <v>0</v>
      </c>
      <c r="CH241" s="17" t="s">
        <v>414</v>
      </c>
      <c r="CI241" s="17">
        <v>0</v>
      </c>
      <c r="CJ241" s="21">
        <v>1</v>
      </c>
      <c r="CK241" s="21">
        <v>1</v>
      </c>
      <c r="CL241" s="17" t="s">
        <v>414</v>
      </c>
      <c r="CM241" s="21">
        <v>1</v>
      </c>
      <c r="CN241" s="21">
        <v>1</v>
      </c>
      <c r="CO241" s="21">
        <v>1</v>
      </c>
      <c r="CP241" s="17" t="b">
        <v>0</v>
      </c>
      <c r="CQ241" s="17" t="b">
        <v>0</v>
      </c>
      <c r="CR241" s="17" t="b">
        <v>0</v>
      </c>
      <c r="CW241" s="22"/>
    </row>
    <row r="242" spans="1:101" x14ac:dyDescent="0.25">
      <c r="A242" s="20">
        <v>6010</v>
      </c>
      <c r="B242" s="17" t="s">
        <v>1017</v>
      </c>
      <c r="C242" s="17" t="s">
        <v>426</v>
      </c>
      <c r="D242" s="17" t="s">
        <v>2326</v>
      </c>
      <c r="E242" s="17" t="s">
        <v>414</v>
      </c>
      <c r="F242" s="17" t="s">
        <v>414</v>
      </c>
      <c r="G242" s="17" t="s">
        <v>414</v>
      </c>
      <c r="H242" s="17" t="s">
        <v>2327</v>
      </c>
      <c r="I242" s="17" t="s">
        <v>739</v>
      </c>
      <c r="J242" s="17" t="s">
        <v>16</v>
      </c>
      <c r="K242" s="17" t="b">
        <v>0</v>
      </c>
      <c r="L242" s="17" t="s">
        <v>2328</v>
      </c>
      <c r="M242" s="21">
        <v>1</v>
      </c>
      <c r="N242" s="17" t="s">
        <v>414</v>
      </c>
      <c r="O242" s="17" t="s">
        <v>17</v>
      </c>
      <c r="P242" s="17" t="s">
        <v>18</v>
      </c>
      <c r="Q242" s="17">
        <v>1</v>
      </c>
      <c r="R242" s="17" t="s">
        <v>19</v>
      </c>
      <c r="S242" s="17">
        <v>1</v>
      </c>
      <c r="T242" s="17" t="s">
        <v>422</v>
      </c>
      <c r="U242" s="21">
        <v>45955</v>
      </c>
      <c r="V242" s="17" t="s">
        <v>20</v>
      </c>
      <c r="W242" s="21">
        <v>45958</v>
      </c>
      <c r="X242" s="17" t="s">
        <v>2329</v>
      </c>
      <c r="Y242" s="17" t="s">
        <v>414</v>
      </c>
      <c r="Z242" s="17">
        <v>0</v>
      </c>
      <c r="AA242" s="17" t="s">
        <v>414</v>
      </c>
      <c r="AB242" s="17" t="s">
        <v>414</v>
      </c>
      <c r="AC242" s="17">
        <v>0</v>
      </c>
      <c r="AD242" s="21">
        <v>1</v>
      </c>
      <c r="AE242" s="21">
        <v>1</v>
      </c>
      <c r="AF242" s="17"/>
      <c r="AG242" s="21">
        <v>367</v>
      </c>
      <c r="AH242" s="17">
        <v>0</v>
      </c>
      <c r="AI242" s="21">
        <v>45958</v>
      </c>
      <c r="AJ242" s="17">
        <v>0</v>
      </c>
      <c r="AK242" s="17">
        <v>0</v>
      </c>
      <c r="AL242" s="17">
        <v>0</v>
      </c>
      <c r="AM242" s="17" t="b">
        <v>0</v>
      </c>
      <c r="AN242" s="17" t="b">
        <v>0</v>
      </c>
      <c r="AO242" s="21">
        <v>45958</v>
      </c>
      <c r="AP242" s="21">
        <v>45958</v>
      </c>
      <c r="AQ242" s="17" t="b">
        <v>0</v>
      </c>
      <c r="AR242" s="21">
        <v>45958</v>
      </c>
      <c r="AS242" s="21">
        <v>45958</v>
      </c>
      <c r="AT242" s="21">
        <v>45866</v>
      </c>
      <c r="AU242" s="17" t="b">
        <v>0</v>
      </c>
      <c r="AV242" s="21">
        <v>46047</v>
      </c>
      <c r="AW242" s="17" t="s">
        <v>23</v>
      </c>
      <c r="AX242" s="17" t="s">
        <v>41</v>
      </c>
      <c r="AY242" s="17" t="s">
        <v>414</v>
      </c>
      <c r="AZ242" s="17" t="s">
        <v>414</v>
      </c>
      <c r="BA242" s="21">
        <v>45958</v>
      </c>
      <c r="BB242" s="17">
        <v>0</v>
      </c>
      <c r="BC242" s="17"/>
      <c r="BD242" s="17" t="b">
        <v>0</v>
      </c>
      <c r="BE242" s="17" t="s">
        <v>2330</v>
      </c>
      <c r="BF242" s="21">
        <v>45958</v>
      </c>
      <c r="BG242" s="21">
        <v>46323</v>
      </c>
      <c r="BH242" s="17"/>
      <c r="BI242" s="21">
        <v>45958</v>
      </c>
      <c r="BJ242" s="17">
        <v>0</v>
      </c>
      <c r="BK242" s="17" t="s">
        <v>414</v>
      </c>
      <c r="BL242" s="17" t="s">
        <v>414</v>
      </c>
      <c r="BM242" s="17" t="b">
        <v>0</v>
      </c>
      <c r="BN242" s="17" t="b">
        <v>0</v>
      </c>
      <c r="BO242" s="17" t="b">
        <v>0</v>
      </c>
      <c r="BP242" s="17" t="b">
        <v>0</v>
      </c>
      <c r="BQ242" s="17" t="b">
        <v>0</v>
      </c>
      <c r="BR242" s="17" t="b">
        <v>0</v>
      </c>
      <c r="BS242" s="17" t="b">
        <v>0</v>
      </c>
      <c r="BT242" s="17" t="b">
        <v>0</v>
      </c>
      <c r="BU242" s="17" t="b">
        <v>0</v>
      </c>
      <c r="BV242" s="17">
        <v>0</v>
      </c>
      <c r="BW242" s="21">
        <v>45986</v>
      </c>
      <c r="BX242" s="17" t="s">
        <v>414</v>
      </c>
      <c r="BY242" s="17" t="s">
        <v>414</v>
      </c>
      <c r="BZ242" s="17">
        <v>0</v>
      </c>
      <c r="CA242" s="21">
        <v>45959</v>
      </c>
      <c r="CB242" s="17" t="s">
        <v>438</v>
      </c>
      <c r="CC242" s="17" t="s">
        <v>2214</v>
      </c>
      <c r="CD242" s="21"/>
      <c r="CE242" s="17"/>
      <c r="CF242" s="17" t="s">
        <v>414</v>
      </c>
      <c r="CG242" s="17" t="b">
        <v>0</v>
      </c>
      <c r="CH242" s="17" t="s">
        <v>1012</v>
      </c>
      <c r="CI242" s="17">
        <v>0</v>
      </c>
      <c r="CJ242" s="21">
        <v>1</v>
      </c>
      <c r="CK242" s="21">
        <v>1</v>
      </c>
      <c r="CL242" s="17" t="s">
        <v>414</v>
      </c>
      <c r="CM242" s="21">
        <v>1</v>
      </c>
      <c r="CN242" s="21">
        <v>1</v>
      </c>
      <c r="CO242" s="21">
        <v>1</v>
      </c>
      <c r="CP242" s="17" t="b">
        <v>0</v>
      </c>
      <c r="CQ242" s="17" t="b">
        <v>0</v>
      </c>
      <c r="CR242" s="17" t="b">
        <v>0</v>
      </c>
      <c r="CW242" s="22"/>
    </row>
    <row r="243" spans="1:101" x14ac:dyDescent="0.25">
      <c r="A243" s="45">
        <v>6011</v>
      </c>
      <c r="B243" s="42" t="s">
        <v>414</v>
      </c>
      <c r="C243" s="42" t="s">
        <v>414</v>
      </c>
      <c r="D243" s="42" t="s">
        <v>2331</v>
      </c>
      <c r="E243" s="42" t="s">
        <v>414</v>
      </c>
      <c r="F243" s="42" t="s">
        <v>414</v>
      </c>
      <c r="G243" s="42" t="s">
        <v>414</v>
      </c>
      <c r="H243" s="42" t="s">
        <v>2332</v>
      </c>
      <c r="I243" s="42" t="s">
        <v>739</v>
      </c>
      <c r="J243" s="42" t="s">
        <v>16</v>
      </c>
      <c r="K243" s="42" t="b">
        <v>0</v>
      </c>
      <c r="L243" s="42" t="s">
        <v>2333</v>
      </c>
      <c r="M243" s="48">
        <v>38175</v>
      </c>
      <c r="N243" s="42" t="s">
        <v>414</v>
      </c>
      <c r="O243" s="42" t="s">
        <v>414</v>
      </c>
      <c r="P243" s="42" t="s">
        <v>18</v>
      </c>
      <c r="Q243" s="42">
        <v>1</v>
      </c>
      <c r="R243" s="42" t="s">
        <v>19</v>
      </c>
      <c r="S243" s="42">
        <v>1</v>
      </c>
      <c r="T243" s="42" t="s">
        <v>422</v>
      </c>
      <c r="U243" s="48">
        <v>45958</v>
      </c>
      <c r="V243" s="42" t="s">
        <v>20</v>
      </c>
      <c r="W243" s="48">
        <v>45959</v>
      </c>
      <c r="X243" s="42" t="s">
        <v>2334</v>
      </c>
      <c r="Y243" s="42" t="s">
        <v>414</v>
      </c>
      <c r="Z243" s="42">
        <v>0</v>
      </c>
      <c r="AA243" s="42" t="s">
        <v>414</v>
      </c>
      <c r="AB243" s="42" t="s">
        <v>414</v>
      </c>
      <c r="AC243" s="42">
        <v>0</v>
      </c>
      <c r="AD243" s="48">
        <v>1</v>
      </c>
      <c r="AE243" s="48">
        <v>1</v>
      </c>
      <c r="AF243" s="42"/>
      <c r="AG243" s="48">
        <v>367</v>
      </c>
      <c r="AH243" s="42">
        <v>0</v>
      </c>
      <c r="AI243" s="48">
        <v>45959</v>
      </c>
      <c r="AJ243" s="42">
        <v>0</v>
      </c>
      <c r="AK243" s="42">
        <v>0</v>
      </c>
      <c r="AL243" s="42">
        <v>0</v>
      </c>
      <c r="AM243" s="42" t="b">
        <v>0</v>
      </c>
      <c r="AN243" s="42" t="b">
        <v>0</v>
      </c>
      <c r="AO243" s="48">
        <v>45959</v>
      </c>
      <c r="AP243" s="48">
        <v>45959</v>
      </c>
      <c r="AQ243" s="42" t="b">
        <v>0</v>
      </c>
      <c r="AR243" s="48">
        <v>45959</v>
      </c>
      <c r="AS243" s="48">
        <v>45959</v>
      </c>
      <c r="AT243" s="48">
        <v>45867</v>
      </c>
      <c r="AU243" s="42" t="b">
        <v>0</v>
      </c>
      <c r="AV243" s="48">
        <v>46050</v>
      </c>
      <c r="AW243" s="42" t="s">
        <v>41</v>
      </c>
      <c r="AX243" s="42" t="s">
        <v>41</v>
      </c>
      <c r="AY243" s="42" t="s">
        <v>414</v>
      </c>
      <c r="AZ243" s="42" t="s">
        <v>414</v>
      </c>
      <c r="BA243" s="48">
        <v>45959</v>
      </c>
      <c r="BB243" s="42">
        <v>0</v>
      </c>
      <c r="BC243" s="42"/>
      <c r="BD243" s="42" t="b">
        <v>0</v>
      </c>
      <c r="BE243" s="42" t="s">
        <v>1931</v>
      </c>
      <c r="BF243" s="48">
        <v>45959</v>
      </c>
      <c r="BG243" s="48">
        <v>46324</v>
      </c>
      <c r="BH243" s="42"/>
      <c r="BI243" s="48">
        <v>45959</v>
      </c>
      <c r="BJ243" s="42">
        <v>0</v>
      </c>
      <c r="BK243" s="42" t="s">
        <v>414</v>
      </c>
      <c r="BL243" s="42" t="s">
        <v>414</v>
      </c>
      <c r="BM243" s="42" t="b">
        <v>0</v>
      </c>
      <c r="BN243" s="42" t="b">
        <v>0</v>
      </c>
      <c r="BO243" s="42" t="b">
        <v>0</v>
      </c>
      <c r="BP243" s="42" t="b">
        <v>0</v>
      </c>
      <c r="BQ243" s="42" t="b">
        <v>0</v>
      </c>
      <c r="BR243" s="42" t="b">
        <v>0</v>
      </c>
      <c r="BS243" s="42" t="b">
        <v>0</v>
      </c>
      <c r="BT243" s="42" t="b">
        <v>0</v>
      </c>
      <c r="BU243" s="42" t="b">
        <v>0</v>
      </c>
      <c r="BV243" s="42">
        <v>0</v>
      </c>
      <c r="BW243" s="48">
        <v>45989</v>
      </c>
      <c r="BX243" s="42" t="s">
        <v>414</v>
      </c>
      <c r="BY243" s="42" t="s">
        <v>414</v>
      </c>
      <c r="BZ243" s="42">
        <v>0</v>
      </c>
      <c r="CA243" s="48">
        <v>45959</v>
      </c>
      <c r="CB243" s="42" t="s">
        <v>438</v>
      </c>
      <c r="CC243" s="42" t="s">
        <v>2335</v>
      </c>
      <c r="CD243" s="48"/>
      <c r="CE243" s="42"/>
      <c r="CF243" s="42" t="s">
        <v>414</v>
      </c>
      <c r="CG243" s="42" t="b">
        <v>0</v>
      </c>
      <c r="CH243" s="42" t="s">
        <v>414</v>
      </c>
      <c r="CI243" s="42">
        <v>0</v>
      </c>
      <c r="CJ243" s="48">
        <v>1</v>
      </c>
      <c r="CK243" s="48">
        <v>1</v>
      </c>
      <c r="CL243" s="42" t="s">
        <v>414</v>
      </c>
      <c r="CM243" s="48">
        <v>1</v>
      </c>
      <c r="CN243" s="48">
        <v>1</v>
      </c>
      <c r="CO243" s="48">
        <v>1</v>
      </c>
      <c r="CP243" s="42" t="b">
        <v>0</v>
      </c>
      <c r="CQ243" s="42" t="b">
        <v>0</v>
      </c>
      <c r="CR243" s="42" t="b">
        <v>0</v>
      </c>
      <c r="CW243" s="50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33C8-C294-477D-98BB-FF564233115A}">
  <dimension ref="A1:D11"/>
  <sheetViews>
    <sheetView rightToLeft="1" view="pageBreakPreview" zoomScaleNormal="100" zoomScaleSheetLayoutView="100" workbookViewId="0">
      <selection activeCell="C5" sqref="C5"/>
    </sheetView>
  </sheetViews>
  <sheetFormatPr defaultRowHeight="13.8" x14ac:dyDescent="0.25"/>
  <cols>
    <col min="1" max="1" width="3.59765625" customWidth="1"/>
    <col min="2" max="2" width="47.3984375" customWidth="1"/>
    <col min="3" max="3" width="19.3984375" customWidth="1"/>
    <col min="4" max="4" width="12.8984375" customWidth="1"/>
  </cols>
  <sheetData>
    <row r="1" spans="1:4" ht="33" customHeight="1" thickBot="1" x14ac:dyDescent="0.3">
      <c r="A1" s="66" t="s">
        <v>1903</v>
      </c>
      <c r="B1" s="66"/>
      <c r="C1" s="66"/>
      <c r="D1" s="66"/>
    </row>
    <row r="2" spans="1:4" ht="31.8" customHeight="1" thickBot="1" x14ac:dyDescent="0.3">
      <c r="A2" s="30" t="s">
        <v>1884</v>
      </c>
      <c r="B2" s="30" t="s">
        <v>1885</v>
      </c>
      <c r="C2" s="66" t="s">
        <v>1886</v>
      </c>
      <c r="D2" s="66"/>
    </row>
    <row r="3" spans="1:4" ht="37.049999999999997" customHeight="1" x14ac:dyDescent="0.25">
      <c r="A3" s="27">
        <v>1</v>
      </c>
      <c r="B3" s="31" t="s">
        <v>1889</v>
      </c>
      <c r="C3" s="28" t="s">
        <v>1902</v>
      </c>
      <c r="D3" s="29" t="s">
        <v>1890</v>
      </c>
    </row>
    <row r="4" spans="1:4" ht="37.049999999999997" customHeight="1" x14ac:dyDescent="0.25">
      <c r="A4" s="23">
        <v>2</v>
      </c>
      <c r="B4" s="10" t="s">
        <v>1896</v>
      </c>
      <c r="C4" s="24" t="s">
        <v>1902</v>
      </c>
      <c r="D4" s="25" t="s">
        <v>1897</v>
      </c>
    </row>
    <row r="5" spans="1:4" ht="37.049999999999997" customHeight="1" x14ac:dyDescent="0.25">
      <c r="A5" s="23">
        <v>3</v>
      </c>
      <c r="B5" s="10" t="s">
        <v>1898</v>
      </c>
      <c r="C5" s="24" t="s">
        <v>1887</v>
      </c>
      <c r="D5" s="25"/>
    </row>
    <row r="6" spans="1:4" ht="37.049999999999997" customHeight="1" x14ac:dyDescent="0.25">
      <c r="A6" s="23">
        <v>4</v>
      </c>
      <c r="B6" s="10" t="s">
        <v>1899</v>
      </c>
      <c r="C6" s="24" t="s">
        <v>1888</v>
      </c>
      <c r="D6" s="25" t="s">
        <v>1887</v>
      </c>
    </row>
    <row r="7" spans="1:4" ht="37.049999999999997" customHeight="1" x14ac:dyDescent="0.25">
      <c r="A7" s="23">
        <v>5</v>
      </c>
      <c r="B7" s="10" t="s">
        <v>1900</v>
      </c>
      <c r="C7" s="24" t="s">
        <v>1888</v>
      </c>
      <c r="D7" s="25"/>
    </row>
    <row r="8" spans="1:4" ht="37.049999999999997" customHeight="1" x14ac:dyDescent="0.25">
      <c r="A8" s="23">
        <v>6</v>
      </c>
      <c r="B8" s="10" t="s">
        <v>1893</v>
      </c>
      <c r="C8" s="25" t="s">
        <v>1888</v>
      </c>
      <c r="D8" s="25" t="s">
        <v>1887</v>
      </c>
    </row>
    <row r="9" spans="1:4" ht="37.049999999999997" customHeight="1" x14ac:dyDescent="0.25">
      <c r="A9" s="23">
        <v>7</v>
      </c>
      <c r="B9" s="10" t="s">
        <v>1891</v>
      </c>
      <c r="C9" s="24" t="s">
        <v>1892</v>
      </c>
      <c r="D9" s="25"/>
    </row>
    <row r="10" spans="1:4" ht="37.049999999999997" customHeight="1" x14ac:dyDescent="0.25">
      <c r="A10" s="23">
        <v>8</v>
      </c>
      <c r="B10" s="10" t="s">
        <v>1894</v>
      </c>
      <c r="C10" s="24" t="s">
        <v>1895</v>
      </c>
      <c r="D10" s="25"/>
    </row>
    <row r="11" spans="1:4" ht="37.049999999999997" customHeight="1" thickBot="1" x14ac:dyDescent="0.3">
      <c r="A11" s="32">
        <v>9</v>
      </c>
      <c r="B11" s="33" t="s">
        <v>1901</v>
      </c>
      <c r="C11" s="34" t="s">
        <v>1902</v>
      </c>
      <c r="D11" s="26" t="s">
        <v>1887</v>
      </c>
    </row>
  </sheetData>
  <mergeCells count="2">
    <mergeCell ref="A1:D1"/>
    <mergeCell ref="C2:D2"/>
  </mergeCells>
  <pageMargins left="0.7" right="0.7" top="0.75" bottom="0.75" header="0.3" footer="0.3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1762-C2DE-42B9-B012-3F888282D9C3}">
  <sheetPr codeName="Sheet6"/>
  <dimension ref="A1:O210"/>
  <sheetViews>
    <sheetView rightToLeft="1" topLeftCell="A191" workbookViewId="0">
      <selection activeCell="D11" sqref="D11"/>
    </sheetView>
  </sheetViews>
  <sheetFormatPr defaultRowHeight="13.8" x14ac:dyDescent="0.25"/>
  <cols>
    <col min="1" max="1" width="7.69921875" bestFit="1" customWidth="1"/>
    <col min="2" max="2" width="27.8984375" bestFit="1" customWidth="1"/>
    <col min="3" max="3" width="9.3984375" bestFit="1" customWidth="1"/>
    <col min="4" max="4" width="17.296875" bestFit="1" customWidth="1"/>
    <col min="5" max="5" width="12.296875" bestFit="1" customWidth="1"/>
    <col min="6" max="6" width="10.69921875" bestFit="1" customWidth="1"/>
    <col min="7" max="7" width="12.3984375" bestFit="1" customWidth="1"/>
    <col min="8" max="8" width="11.69921875" bestFit="1" customWidth="1"/>
    <col min="9" max="9" width="11.19921875" bestFit="1" customWidth="1"/>
    <col min="10" max="10" width="14.8984375" bestFit="1" customWidth="1"/>
    <col min="11" max="11" width="12.3984375" bestFit="1" customWidth="1"/>
    <col min="12" max="12" width="17.59765625" bestFit="1" customWidth="1"/>
  </cols>
  <sheetData>
    <row r="1" spans="1:15" s="16" customFormat="1" ht="41.4" x14ac:dyDescent="0.25">
      <c r="A1" s="15" t="s">
        <v>0</v>
      </c>
      <c r="B1" s="15" t="s">
        <v>1</v>
      </c>
      <c r="C1" s="15" t="s">
        <v>2</v>
      </c>
      <c r="D1" s="15" t="s">
        <v>301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315</v>
      </c>
      <c r="N1" s="15" t="s">
        <v>316</v>
      </c>
      <c r="O1" s="15" t="s">
        <v>317</v>
      </c>
    </row>
    <row r="2" spans="1:15" x14ac:dyDescent="0.25">
      <c r="A2" s="1">
        <v>14</v>
      </c>
      <c r="B2" s="1" t="s">
        <v>15</v>
      </c>
      <c r="C2" s="1" t="s">
        <v>16</v>
      </c>
      <c r="D2" s="1" t="s">
        <v>434</v>
      </c>
      <c r="E2" s="1" t="s">
        <v>17</v>
      </c>
      <c r="F2" s="1" t="s">
        <v>18</v>
      </c>
      <c r="G2" s="1" t="s">
        <v>19</v>
      </c>
      <c r="H2" s="1" t="s">
        <v>21</v>
      </c>
      <c r="I2" s="1">
        <v>63510808</v>
      </c>
      <c r="J2" s="2">
        <v>43028</v>
      </c>
      <c r="K2" s="1">
        <v>4115</v>
      </c>
      <c r="L2" s="1">
        <v>1224.21</v>
      </c>
      <c r="M2" s="1"/>
      <c r="N2" s="1"/>
      <c r="O2" s="1"/>
    </row>
    <row r="3" spans="1:15" x14ac:dyDescent="0.25">
      <c r="A3" s="1">
        <v>24</v>
      </c>
      <c r="B3" s="1" t="s">
        <v>24</v>
      </c>
      <c r="C3" s="1" t="s">
        <v>25</v>
      </c>
      <c r="D3" s="1" t="s">
        <v>441</v>
      </c>
      <c r="E3" s="1" t="s">
        <v>26</v>
      </c>
      <c r="F3" s="1" t="s">
        <v>18</v>
      </c>
      <c r="G3" s="1" t="s">
        <v>19</v>
      </c>
      <c r="H3" s="1" t="s">
        <v>21</v>
      </c>
      <c r="I3" s="1">
        <v>17384918</v>
      </c>
      <c r="J3" s="2">
        <v>42466</v>
      </c>
      <c r="K3" s="1">
        <v>4121</v>
      </c>
      <c r="L3" s="1">
        <v>1226</v>
      </c>
      <c r="M3" s="1"/>
      <c r="N3" s="1"/>
      <c r="O3" s="1"/>
    </row>
    <row r="4" spans="1:15" x14ac:dyDescent="0.25">
      <c r="A4" s="1">
        <v>25</v>
      </c>
      <c r="B4" s="1" t="s">
        <v>28</v>
      </c>
      <c r="C4" s="1" t="s">
        <v>25</v>
      </c>
      <c r="D4" s="1" t="s">
        <v>441</v>
      </c>
      <c r="E4" s="1" t="s">
        <v>26</v>
      </c>
      <c r="F4" s="1" t="s">
        <v>18</v>
      </c>
      <c r="G4" s="1" t="s">
        <v>19</v>
      </c>
      <c r="H4" s="1" t="s">
        <v>21</v>
      </c>
      <c r="I4" s="1">
        <v>75266707</v>
      </c>
      <c r="J4" s="2">
        <v>43647</v>
      </c>
      <c r="K4" s="1">
        <v>4121</v>
      </c>
      <c r="L4" s="1">
        <v>1226</v>
      </c>
      <c r="M4" s="1"/>
      <c r="N4" s="1"/>
      <c r="O4" s="1"/>
    </row>
    <row r="5" spans="1:15" x14ac:dyDescent="0.25">
      <c r="A5" s="1">
        <v>33</v>
      </c>
      <c r="B5" s="1" t="s">
        <v>30</v>
      </c>
      <c r="C5" s="1" t="s">
        <v>25</v>
      </c>
      <c r="D5" s="1" t="s">
        <v>441</v>
      </c>
      <c r="E5" s="1" t="s">
        <v>26</v>
      </c>
      <c r="F5" s="1" t="s">
        <v>18</v>
      </c>
      <c r="G5" s="1" t="s">
        <v>19</v>
      </c>
      <c r="H5" s="1" t="s">
        <v>21</v>
      </c>
      <c r="I5" s="1">
        <v>71439962</v>
      </c>
      <c r="J5" s="2">
        <v>43306</v>
      </c>
      <c r="K5" s="1">
        <v>4121</v>
      </c>
      <c r="L5" s="1">
        <v>1226</v>
      </c>
      <c r="M5" s="1"/>
      <c r="N5" s="1"/>
      <c r="O5" s="1"/>
    </row>
    <row r="6" spans="1:15" x14ac:dyDescent="0.25">
      <c r="A6" s="1">
        <v>34</v>
      </c>
      <c r="B6" s="1" t="s">
        <v>32</v>
      </c>
      <c r="C6" s="1" t="s">
        <v>25</v>
      </c>
      <c r="D6" s="1" t="s">
        <v>441</v>
      </c>
      <c r="E6" s="1" t="s">
        <v>26</v>
      </c>
      <c r="F6" s="1" t="s">
        <v>18</v>
      </c>
      <c r="G6" s="1" t="s">
        <v>19</v>
      </c>
      <c r="H6" s="1" t="s">
        <v>21</v>
      </c>
      <c r="I6" s="1">
        <v>74219929</v>
      </c>
      <c r="J6" s="2">
        <v>43222</v>
      </c>
      <c r="K6" s="1">
        <v>4121</v>
      </c>
      <c r="L6" s="1">
        <v>1226</v>
      </c>
      <c r="M6" s="1"/>
      <c r="N6" s="1"/>
      <c r="O6" s="1"/>
    </row>
    <row r="7" spans="1:15" x14ac:dyDescent="0.25">
      <c r="A7" s="1">
        <v>35</v>
      </c>
      <c r="B7" s="1" t="s">
        <v>34</v>
      </c>
      <c r="C7" s="1" t="s">
        <v>25</v>
      </c>
      <c r="D7" s="1" t="s">
        <v>441</v>
      </c>
      <c r="E7" s="1" t="s">
        <v>26</v>
      </c>
      <c r="F7" s="1" t="s">
        <v>18</v>
      </c>
      <c r="G7" s="1" t="s">
        <v>19</v>
      </c>
      <c r="H7" s="1" t="s">
        <v>21</v>
      </c>
      <c r="I7" s="1">
        <v>6398392</v>
      </c>
      <c r="J7" s="2">
        <v>43222</v>
      </c>
      <c r="K7" s="1">
        <v>4121</v>
      </c>
      <c r="L7" s="1">
        <v>1226</v>
      </c>
      <c r="M7" s="1"/>
      <c r="N7" s="1"/>
      <c r="O7" s="1"/>
    </row>
    <row r="8" spans="1:15" x14ac:dyDescent="0.25">
      <c r="A8" s="1">
        <v>36</v>
      </c>
      <c r="B8" s="1" t="s">
        <v>35</v>
      </c>
      <c r="C8" s="1" t="s">
        <v>25</v>
      </c>
      <c r="D8" s="1" t="s">
        <v>441</v>
      </c>
      <c r="E8" s="1" t="s">
        <v>26</v>
      </c>
      <c r="F8" s="1" t="s">
        <v>18</v>
      </c>
      <c r="G8" s="1" t="s">
        <v>19</v>
      </c>
      <c r="H8" s="1" t="s">
        <v>21</v>
      </c>
      <c r="I8" s="1">
        <v>14424240</v>
      </c>
      <c r="J8" s="2">
        <v>42836</v>
      </c>
      <c r="K8" s="1">
        <v>4121</v>
      </c>
      <c r="L8" s="1">
        <v>1226</v>
      </c>
      <c r="M8" s="1"/>
      <c r="N8" s="1"/>
      <c r="O8" s="1"/>
    </row>
    <row r="9" spans="1:15" x14ac:dyDescent="0.25">
      <c r="A9" s="1">
        <v>38</v>
      </c>
      <c r="B9" s="1" t="s">
        <v>36</v>
      </c>
      <c r="C9" s="1" t="s">
        <v>25</v>
      </c>
      <c r="D9" s="1" t="s">
        <v>441</v>
      </c>
      <c r="E9" s="1" t="s">
        <v>26</v>
      </c>
      <c r="F9" s="1" t="s">
        <v>18</v>
      </c>
      <c r="G9" s="1" t="s">
        <v>19</v>
      </c>
      <c r="H9" s="1" t="s">
        <v>21</v>
      </c>
      <c r="I9" s="1">
        <v>72182728</v>
      </c>
      <c r="J9" s="2">
        <v>42836</v>
      </c>
      <c r="K9" s="1">
        <v>4121</v>
      </c>
      <c r="L9" s="1">
        <v>1226</v>
      </c>
      <c r="M9" s="1"/>
      <c r="N9" s="1"/>
      <c r="O9" s="1"/>
    </row>
    <row r="10" spans="1:15" x14ac:dyDescent="0.25">
      <c r="A10" s="1">
        <v>39</v>
      </c>
      <c r="B10" s="1" t="s">
        <v>37</v>
      </c>
      <c r="C10" s="1" t="s">
        <v>25</v>
      </c>
      <c r="D10" s="1" t="s">
        <v>441</v>
      </c>
      <c r="E10" s="1" t="s">
        <v>26</v>
      </c>
      <c r="F10" s="1" t="s">
        <v>18</v>
      </c>
      <c r="G10" s="1" t="s">
        <v>19</v>
      </c>
      <c r="H10" s="1" t="s">
        <v>21</v>
      </c>
      <c r="I10" s="1">
        <v>74303338</v>
      </c>
      <c r="J10" s="2">
        <v>43230</v>
      </c>
      <c r="K10" s="1">
        <v>4121</v>
      </c>
      <c r="L10" s="1">
        <v>1226</v>
      </c>
      <c r="M10" s="1"/>
      <c r="N10" s="1"/>
      <c r="O10" s="1"/>
    </row>
    <row r="11" spans="1:15" x14ac:dyDescent="0.25">
      <c r="A11" s="1">
        <v>40</v>
      </c>
      <c r="B11" s="1" t="s">
        <v>39</v>
      </c>
      <c r="C11" s="1" t="s">
        <v>25</v>
      </c>
      <c r="D11" s="1" t="s">
        <v>441</v>
      </c>
      <c r="E11" s="1" t="s">
        <v>26</v>
      </c>
      <c r="F11" s="1" t="s">
        <v>18</v>
      </c>
      <c r="G11" s="1" t="s">
        <v>19</v>
      </c>
      <c r="H11" s="1" t="s">
        <v>21</v>
      </c>
      <c r="I11" s="1">
        <v>74596358</v>
      </c>
      <c r="J11" s="2">
        <v>42991</v>
      </c>
      <c r="K11" s="1">
        <v>4121</v>
      </c>
      <c r="L11" s="1">
        <v>1226</v>
      </c>
      <c r="M11" s="1"/>
      <c r="N11" s="1"/>
      <c r="O11" s="1"/>
    </row>
    <row r="12" spans="1:15" x14ac:dyDescent="0.25">
      <c r="A12" s="1">
        <v>42</v>
      </c>
      <c r="B12" s="1" t="s">
        <v>40</v>
      </c>
      <c r="C12" s="1" t="s">
        <v>16</v>
      </c>
      <c r="D12" s="1" t="s">
        <v>422</v>
      </c>
      <c r="E12" s="1" t="s">
        <v>17</v>
      </c>
      <c r="F12" s="1" t="s">
        <v>18</v>
      </c>
      <c r="G12" s="1" t="s">
        <v>19</v>
      </c>
      <c r="H12" s="1" t="s">
        <v>21</v>
      </c>
      <c r="I12" s="1">
        <v>74087046</v>
      </c>
      <c r="J12" s="2">
        <v>42818</v>
      </c>
      <c r="K12" s="1">
        <v>4121</v>
      </c>
      <c r="L12" s="1">
        <v>1226</v>
      </c>
      <c r="M12" s="1"/>
      <c r="N12" s="1"/>
      <c r="O12" s="1"/>
    </row>
    <row r="13" spans="1:15" x14ac:dyDescent="0.25">
      <c r="A13" s="1">
        <v>46</v>
      </c>
      <c r="B13" s="1" t="s">
        <v>42</v>
      </c>
      <c r="C13" s="1" t="s">
        <v>16</v>
      </c>
      <c r="D13" s="1" t="s">
        <v>422</v>
      </c>
      <c r="E13" s="1" t="s">
        <v>17</v>
      </c>
      <c r="F13" s="1" t="s">
        <v>18</v>
      </c>
      <c r="G13" s="1" t="s">
        <v>19</v>
      </c>
      <c r="H13" s="1" t="s">
        <v>21</v>
      </c>
      <c r="I13" s="1">
        <v>54891323</v>
      </c>
      <c r="J13" s="2">
        <v>43647</v>
      </c>
      <c r="K13" s="1">
        <v>4121</v>
      </c>
      <c r="L13" s="1">
        <v>1226</v>
      </c>
      <c r="M13" s="1"/>
      <c r="N13" s="1"/>
      <c r="O13" s="1"/>
    </row>
    <row r="14" spans="1:15" x14ac:dyDescent="0.25">
      <c r="A14" s="1">
        <v>51</v>
      </c>
      <c r="B14" s="1" t="s">
        <v>43</v>
      </c>
      <c r="C14" s="1" t="s">
        <v>16</v>
      </c>
      <c r="D14" s="1" t="s">
        <v>537</v>
      </c>
      <c r="E14" s="1" t="s">
        <v>17</v>
      </c>
      <c r="F14" s="1" t="s">
        <v>18</v>
      </c>
      <c r="G14" s="1" t="s">
        <v>44</v>
      </c>
      <c r="H14" s="1" t="s">
        <v>45</v>
      </c>
      <c r="I14" s="1">
        <v>74489701</v>
      </c>
      <c r="J14" s="2">
        <v>43605</v>
      </c>
      <c r="K14" s="1">
        <v>4121</v>
      </c>
      <c r="L14" s="1">
        <v>1226</v>
      </c>
      <c r="M14" s="1"/>
      <c r="N14" s="1"/>
      <c r="O14" s="1"/>
    </row>
    <row r="15" spans="1:15" x14ac:dyDescent="0.25">
      <c r="A15" s="1">
        <v>53</v>
      </c>
      <c r="B15" s="1" t="s">
        <v>47</v>
      </c>
      <c r="C15" s="1" t="s">
        <v>16</v>
      </c>
      <c r="D15" s="1" t="s">
        <v>422</v>
      </c>
      <c r="E15" s="1" t="s">
        <v>17</v>
      </c>
      <c r="F15" s="1" t="s">
        <v>18</v>
      </c>
      <c r="G15" s="1" t="s">
        <v>19</v>
      </c>
      <c r="H15" s="1" t="s">
        <v>21</v>
      </c>
      <c r="I15" s="1">
        <v>74979112</v>
      </c>
      <c r="J15" s="2">
        <v>43028</v>
      </c>
      <c r="K15" s="1">
        <v>4121</v>
      </c>
      <c r="L15" s="1">
        <v>1226</v>
      </c>
      <c r="M15" s="1"/>
      <c r="N15" s="1"/>
      <c r="O15" s="1"/>
    </row>
    <row r="16" spans="1:15" x14ac:dyDescent="0.25">
      <c r="A16" s="1">
        <v>54</v>
      </c>
      <c r="B16" s="1" t="s">
        <v>48</v>
      </c>
      <c r="C16" s="1" t="s">
        <v>16</v>
      </c>
      <c r="D16" s="1" t="s">
        <v>422</v>
      </c>
      <c r="E16" s="1" t="s">
        <v>17</v>
      </c>
      <c r="F16" s="1" t="s">
        <v>18</v>
      </c>
      <c r="G16" s="1" t="s">
        <v>19</v>
      </c>
      <c r="H16" s="1" t="s">
        <v>21</v>
      </c>
      <c r="I16" s="1">
        <v>26124647</v>
      </c>
      <c r="J16" s="2">
        <v>43374</v>
      </c>
      <c r="K16" s="1">
        <v>4121</v>
      </c>
      <c r="L16" s="1">
        <v>1226</v>
      </c>
      <c r="M16" s="1"/>
      <c r="N16" s="1"/>
      <c r="O16" s="1"/>
    </row>
    <row r="17" spans="1:15" x14ac:dyDescent="0.25">
      <c r="A17" s="1">
        <v>56</v>
      </c>
      <c r="B17" s="1" t="s">
        <v>49</v>
      </c>
      <c r="C17" s="1" t="s">
        <v>16</v>
      </c>
      <c r="D17" s="1" t="s">
        <v>556</v>
      </c>
      <c r="E17" s="1" t="s">
        <v>17</v>
      </c>
      <c r="F17" s="1" t="s">
        <v>18</v>
      </c>
      <c r="G17" s="1" t="s">
        <v>50</v>
      </c>
      <c r="H17" s="1" t="s">
        <v>21</v>
      </c>
      <c r="I17" s="1">
        <v>49827435</v>
      </c>
      <c r="J17" s="2">
        <v>44256</v>
      </c>
      <c r="K17" s="1">
        <v>4121</v>
      </c>
      <c r="L17" s="1">
        <v>1226</v>
      </c>
      <c r="M17" s="1"/>
      <c r="N17" s="1"/>
      <c r="O17" s="1"/>
    </row>
    <row r="18" spans="1:15" x14ac:dyDescent="0.25">
      <c r="A18" s="1">
        <v>57</v>
      </c>
      <c r="B18" s="1" t="s">
        <v>52</v>
      </c>
      <c r="C18" s="1" t="s">
        <v>16</v>
      </c>
      <c r="D18" s="1" t="s">
        <v>422</v>
      </c>
      <c r="E18" s="1" t="s">
        <v>17</v>
      </c>
      <c r="F18" s="1" t="s">
        <v>18</v>
      </c>
      <c r="G18" s="1" t="s">
        <v>19</v>
      </c>
      <c r="H18" s="1" t="s">
        <v>21</v>
      </c>
      <c r="I18" s="1">
        <v>47739644</v>
      </c>
      <c r="J18" s="2">
        <v>42836</v>
      </c>
      <c r="K18" s="1">
        <v>4121</v>
      </c>
      <c r="L18" s="1">
        <v>1226</v>
      </c>
      <c r="M18" s="1"/>
      <c r="N18" s="1"/>
      <c r="O18" s="1"/>
    </row>
    <row r="19" spans="1:15" x14ac:dyDescent="0.25">
      <c r="A19" s="1">
        <v>81</v>
      </c>
      <c r="B19" s="1" t="s">
        <v>53</v>
      </c>
      <c r="C19" s="1" t="s">
        <v>16</v>
      </c>
      <c r="D19" s="1" t="s">
        <v>577</v>
      </c>
      <c r="E19" s="1" t="s">
        <v>17</v>
      </c>
      <c r="F19" s="1" t="s">
        <v>18</v>
      </c>
      <c r="G19" s="1" t="s">
        <v>54</v>
      </c>
      <c r="H19" s="1" t="s">
        <v>21</v>
      </c>
      <c r="I19" s="1">
        <v>61994752</v>
      </c>
      <c r="J19" s="2">
        <v>42818</v>
      </c>
      <c r="K19" s="1">
        <v>4115</v>
      </c>
      <c r="L19" s="1">
        <v>1224.21</v>
      </c>
      <c r="M19" s="1"/>
      <c r="N19" s="1"/>
      <c r="O19" s="1"/>
    </row>
    <row r="20" spans="1:15" x14ac:dyDescent="0.25">
      <c r="A20" s="1">
        <v>82</v>
      </c>
      <c r="B20" s="1" t="s">
        <v>56</v>
      </c>
      <c r="C20" s="1" t="s">
        <v>16</v>
      </c>
      <c r="D20" s="1" t="s">
        <v>577</v>
      </c>
      <c r="E20" s="1" t="s">
        <v>17</v>
      </c>
      <c r="F20" s="1" t="s">
        <v>18</v>
      </c>
      <c r="G20" s="1" t="s">
        <v>54</v>
      </c>
      <c r="H20" s="1" t="s">
        <v>21</v>
      </c>
      <c r="I20" s="1">
        <v>68285244</v>
      </c>
      <c r="J20" s="2">
        <v>42818</v>
      </c>
      <c r="K20" s="1">
        <v>4115</v>
      </c>
      <c r="L20" s="1">
        <v>1224.21</v>
      </c>
      <c r="M20" s="1"/>
      <c r="N20" s="1"/>
      <c r="O20" s="1"/>
    </row>
    <row r="21" spans="1:15" x14ac:dyDescent="0.25">
      <c r="A21" s="1">
        <v>83</v>
      </c>
      <c r="B21" s="1" t="s">
        <v>57</v>
      </c>
      <c r="C21" s="1" t="s">
        <v>16</v>
      </c>
      <c r="D21" s="1" t="s">
        <v>577</v>
      </c>
      <c r="E21" s="1" t="s">
        <v>17</v>
      </c>
      <c r="F21" s="1" t="s">
        <v>18</v>
      </c>
      <c r="G21" s="1" t="s">
        <v>54</v>
      </c>
      <c r="H21" s="1" t="s">
        <v>21</v>
      </c>
      <c r="I21" s="1">
        <v>48381887</v>
      </c>
      <c r="J21" s="2">
        <v>43435</v>
      </c>
      <c r="K21" s="1">
        <v>4115</v>
      </c>
      <c r="L21" s="1">
        <v>1224.21</v>
      </c>
      <c r="M21" s="1"/>
      <c r="N21" s="1"/>
      <c r="O21" s="1"/>
    </row>
    <row r="22" spans="1:15" x14ac:dyDescent="0.25">
      <c r="A22" s="1">
        <v>84</v>
      </c>
      <c r="B22" s="1" t="s">
        <v>59</v>
      </c>
      <c r="C22" s="1" t="s">
        <v>16</v>
      </c>
      <c r="D22" s="1" t="s">
        <v>577</v>
      </c>
      <c r="E22" s="1" t="s">
        <v>17</v>
      </c>
      <c r="F22" s="1" t="s">
        <v>18</v>
      </c>
      <c r="G22" s="1" t="s">
        <v>54</v>
      </c>
      <c r="H22" s="1" t="s">
        <v>21</v>
      </c>
      <c r="I22" s="1">
        <v>69995792</v>
      </c>
      <c r="J22" s="2">
        <v>42603</v>
      </c>
      <c r="K22" s="1">
        <v>4115</v>
      </c>
      <c r="L22" s="1">
        <v>1224.21</v>
      </c>
      <c r="M22" s="1"/>
      <c r="N22" s="1"/>
      <c r="O22" s="1"/>
    </row>
    <row r="23" spans="1:15" x14ac:dyDescent="0.25">
      <c r="A23" s="1">
        <v>86</v>
      </c>
      <c r="B23" s="1" t="s">
        <v>60</v>
      </c>
      <c r="C23" s="1" t="s">
        <v>16</v>
      </c>
      <c r="D23" s="1" t="s">
        <v>537</v>
      </c>
      <c r="E23" s="1" t="s">
        <v>17</v>
      </c>
      <c r="F23" s="1" t="s">
        <v>18</v>
      </c>
      <c r="G23" s="1" t="s">
        <v>44</v>
      </c>
      <c r="H23" s="1" t="s">
        <v>21</v>
      </c>
      <c r="I23" s="1">
        <v>74634179</v>
      </c>
      <c r="J23" s="2">
        <v>43028</v>
      </c>
      <c r="K23" s="1">
        <v>4115</v>
      </c>
      <c r="L23" s="1">
        <v>1224.21</v>
      </c>
      <c r="M23" s="1"/>
      <c r="N23" s="1"/>
      <c r="O23" s="1"/>
    </row>
    <row r="24" spans="1:15" x14ac:dyDescent="0.25">
      <c r="A24" s="1">
        <v>88</v>
      </c>
      <c r="B24" s="1" t="s">
        <v>63</v>
      </c>
      <c r="C24" s="1" t="s">
        <v>16</v>
      </c>
      <c r="D24" s="1" t="s">
        <v>616</v>
      </c>
      <c r="E24" s="1" t="s">
        <v>17</v>
      </c>
      <c r="F24" s="1" t="s">
        <v>18</v>
      </c>
      <c r="G24" s="1" t="s">
        <v>64</v>
      </c>
      <c r="H24" s="1" t="s">
        <v>45</v>
      </c>
      <c r="I24" s="1">
        <v>70495551</v>
      </c>
      <c r="J24" s="2">
        <v>41730</v>
      </c>
      <c r="K24" s="1">
        <v>4110</v>
      </c>
      <c r="L24" s="1">
        <v>1222.73</v>
      </c>
      <c r="M24" s="1"/>
      <c r="N24" s="1"/>
      <c r="O24" s="1"/>
    </row>
    <row r="25" spans="1:15" x14ac:dyDescent="0.25">
      <c r="A25" s="1">
        <v>91</v>
      </c>
      <c r="B25" s="1" t="s">
        <v>66</v>
      </c>
      <c r="C25" s="1" t="s">
        <v>16</v>
      </c>
      <c r="D25" s="1" t="s">
        <v>140</v>
      </c>
      <c r="E25" s="1" t="s">
        <v>17</v>
      </c>
      <c r="F25" s="1" t="s">
        <v>18</v>
      </c>
      <c r="G25" s="1" t="s">
        <v>19</v>
      </c>
      <c r="H25" s="1" t="s">
        <v>21</v>
      </c>
      <c r="I25" s="1">
        <v>65516906</v>
      </c>
      <c r="J25" s="2">
        <v>43222</v>
      </c>
      <c r="K25" s="1">
        <v>4121</v>
      </c>
      <c r="L25" s="1">
        <v>1226</v>
      </c>
      <c r="M25" s="1"/>
      <c r="N25" s="1"/>
      <c r="O25" s="1"/>
    </row>
    <row r="26" spans="1:15" x14ac:dyDescent="0.25">
      <c r="A26" s="1">
        <v>99</v>
      </c>
      <c r="B26" s="1" t="s">
        <v>67</v>
      </c>
      <c r="C26" s="1" t="s">
        <v>16</v>
      </c>
      <c r="D26" s="1" t="s">
        <v>422</v>
      </c>
      <c r="E26" s="1" t="s">
        <v>17</v>
      </c>
      <c r="F26" s="1" t="s">
        <v>18</v>
      </c>
      <c r="G26" s="1" t="s">
        <v>19</v>
      </c>
      <c r="H26" s="1" t="s">
        <v>21</v>
      </c>
      <c r="I26" s="1">
        <v>62300903</v>
      </c>
      <c r="J26" s="2">
        <v>43831</v>
      </c>
      <c r="K26" s="1">
        <v>4121</v>
      </c>
      <c r="L26" s="1">
        <v>1226</v>
      </c>
      <c r="M26" s="1"/>
      <c r="N26" s="1"/>
      <c r="O26" s="1"/>
    </row>
    <row r="27" spans="1:15" x14ac:dyDescent="0.25">
      <c r="A27" s="1">
        <v>114</v>
      </c>
      <c r="B27" s="1" t="s">
        <v>68</v>
      </c>
      <c r="C27" s="1" t="s">
        <v>16</v>
      </c>
      <c r="D27" s="1" t="s">
        <v>416</v>
      </c>
      <c r="E27" s="1" t="s">
        <v>17</v>
      </c>
      <c r="F27" s="1" t="s">
        <v>18</v>
      </c>
      <c r="G27" s="1" t="s">
        <v>19</v>
      </c>
      <c r="H27" s="1" t="s">
        <v>21</v>
      </c>
      <c r="I27" s="1">
        <v>70495541</v>
      </c>
      <c r="J27" s="2">
        <v>43364</v>
      </c>
      <c r="K27" s="1">
        <v>4110</v>
      </c>
      <c r="L27" s="1">
        <v>1222.73</v>
      </c>
      <c r="M27" s="1"/>
      <c r="N27" s="1"/>
      <c r="O27" s="1"/>
    </row>
    <row r="28" spans="1:15" x14ac:dyDescent="0.25">
      <c r="A28" s="1">
        <v>117</v>
      </c>
      <c r="B28" s="1" t="s">
        <v>70</v>
      </c>
      <c r="C28" s="1" t="s">
        <v>16</v>
      </c>
      <c r="D28" s="1" t="s">
        <v>643</v>
      </c>
      <c r="E28" s="1" t="s">
        <v>17</v>
      </c>
      <c r="F28" s="1" t="s">
        <v>18</v>
      </c>
      <c r="G28" s="1" t="s">
        <v>50</v>
      </c>
      <c r="H28" s="1" t="s">
        <v>21</v>
      </c>
      <c r="I28" s="1">
        <v>78101658</v>
      </c>
      <c r="J28" s="2">
        <v>44473</v>
      </c>
      <c r="K28" s="1">
        <v>4115</v>
      </c>
      <c r="L28" s="1">
        <v>1224.21</v>
      </c>
      <c r="M28" s="1"/>
      <c r="N28" s="1"/>
      <c r="O28" s="1"/>
    </row>
    <row r="29" spans="1:15" x14ac:dyDescent="0.25">
      <c r="A29" s="1">
        <v>118</v>
      </c>
      <c r="B29" s="1" t="s">
        <v>71</v>
      </c>
      <c r="C29" s="1" t="s">
        <v>16</v>
      </c>
      <c r="D29" s="1" t="s">
        <v>434</v>
      </c>
      <c r="E29" s="1" t="s">
        <v>17</v>
      </c>
      <c r="F29" s="1" t="s">
        <v>18</v>
      </c>
      <c r="G29" s="1" t="s">
        <v>19</v>
      </c>
      <c r="H29" s="1" t="s">
        <v>21</v>
      </c>
      <c r="I29" s="1">
        <v>51173455</v>
      </c>
      <c r="J29" s="2">
        <v>43191</v>
      </c>
      <c r="K29" s="1">
        <v>4115</v>
      </c>
      <c r="L29" s="1">
        <v>1224.21</v>
      </c>
      <c r="M29" s="1"/>
      <c r="N29" s="1"/>
      <c r="O29" s="1"/>
    </row>
    <row r="30" spans="1:15" x14ac:dyDescent="0.25">
      <c r="A30" s="1">
        <v>120</v>
      </c>
      <c r="B30" s="1" t="s">
        <v>72</v>
      </c>
      <c r="C30" s="1" t="s">
        <v>16</v>
      </c>
      <c r="D30" s="1" t="s">
        <v>657</v>
      </c>
      <c r="E30" s="1" t="s">
        <v>17</v>
      </c>
      <c r="F30" s="1" t="s">
        <v>18</v>
      </c>
      <c r="G30" s="1" t="s">
        <v>19</v>
      </c>
      <c r="H30" s="1" t="s">
        <v>21</v>
      </c>
      <c r="I30" s="1">
        <v>76309678</v>
      </c>
      <c r="J30" s="2">
        <v>43344</v>
      </c>
      <c r="K30" s="1">
        <v>4115</v>
      </c>
      <c r="L30" s="1">
        <v>1224.21</v>
      </c>
      <c r="M30" s="1"/>
      <c r="N30" s="1"/>
      <c r="O30" s="1"/>
    </row>
    <row r="31" spans="1:15" x14ac:dyDescent="0.25">
      <c r="A31" s="1">
        <v>122</v>
      </c>
      <c r="B31" s="1" t="s">
        <v>73</v>
      </c>
      <c r="C31" s="1" t="s">
        <v>16</v>
      </c>
      <c r="D31" s="1" t="s">
        <v>434</v>
      </c>
      <c r="E31" s="1" t="s">
        <v>17</v>
      </c>
      <c r="F31" s="1" t="s">
        <v>18</v>
      </c>
      <c r="G31" s="1" t="s">
        <v>19</v>
      </c>
      <c r="H31" s="1" t="s">
        <v>21</v>
      </c>
      <c r="I31" s="1">
        <v>77709285</v>
      </c>
      <c r="J31" s="2">
        <v>44033</v>
      </c>
      <c r="K31" s="1">
        <v>4115</v>
      </c>
      <c r="L31" s="1">
        <v>1224.21</v>
      </c>
      <c r="M31" s="1"/>
      <c r="N31" s="1"/>
      <c r="O31" s="1"/>
    </row>
    <row r="32" spans="1:15" x14ac:dyDescent="0.25">
      <c r="A32" s="1">
        <v>125</v>
      </c>
      <c r="B32" s="1" t="s">
        <v>74</v>
      </c>
      <c r="C32" s="1" t="s">
        <v>16</v>
      </c>
      <c r="D32" s="1" t="s">
        <v>434</v>
      </c>
      <c r="E32" s="1" t="s">
        <v>17</v>
      </c>
      <c r="F32" s="1" t="s">
        <v>18</v>
      </c>
      <c r="G32" s="1" t="s">
        <v>19</v>
      </c>
      <c r="H32" s="1" t="s">
        <v>21</v>
      </c>
      <c r="I32" s="1">
        <v>56665344</v>
      </c>
      <c r="J32" s="2">
        <v>43344</v>
      </c>
      <c r="K32" s="1">
        <v>4121</v>
      </c>
      <c r="L32" s="1">
        <v>1226</v>
      </c>
      <c r="M32" s="1"/>
      <c r="N32" s="1"/>
      <c r="O32" s="1"/>
    </row>
    <row r="33" spans="1:15" x14ac:dyDescent="0.25">
      <c r="A33" s="1">
        <v>134</v>
      </c>
      <c r="B33" s="1" t="s">
        <v>75</v>
      </c>
      <c r="C33" s="1" t="s">
        <v>25</v>
      </c>
      <c r="D33" s="1" t="s">
        <v>441</v>
      </c>
      <c r="E33" s="1" t="s">
        <v>26</v>
      </c>
      <c r="F33" s="1" t="s">
        <v>18</v>
      </c>
      <c r="G33" s="1" t="s">
        <v>19</v>
      </c>
      <c r="H33" s="1" t="s">
        <v>21</v>
      </c>
      <c r="I33" s="1">
        <v>65516974</v>
      </c>
      <c r="J33" s="2">
        <v>43435</v>
      </c>
      <c r="K33" s="1">
        <v>4121</v>
      </c>
      <c r="L33" s="1">
        <v>1226</v>
      </c>
      <c r="M33" s="1"/>
      <c r="N33" s="1"/>
      <c r="O33" s="1"/>
    </row>
    <row r="34" spans="1:15" x14ac:dyDescent="0.25">
      <c r="A34" s="1">
        <v>144</v>
      </c>
      <c r="B34" s="1" t="s">
        <v>76</v>
      </c>
      <c r="C34" s="1" t="s">
        <v>25</v>
      </c>
      <c r="D34" s="1" t="s">
        <v>441</v>
      </c>
      <c r="E34" s="1" t="s">
        <v>26</v>
      </c>
      <c r="F34" s="1" t="s">
        <v>18</v>
      </c>
      <c r="G34" s="1" t="s">
        <v>19</v>
      </c>
      <c r="H34" s="1" t="s">
        <v>21</v>
      </c>
      <c r="I34" s="1">
        <v>52394998</v>
      </c>
      <c r="J34" s="2">
        <v>43364</v>
      </c>
      <c r="K34" s="1">
        <v>4121</v>
      </c>
      <c r="L34" s="1">
        <v>1226</v>
      </c>
      <c r="M34" s="1"/>
      <c r="N34" s="1"/>
      <c r="O34" s="1"/>
    </row>
    <row r="35" spans="1:15" x14ac:dyDescent="0.25">
      <c r="A35" s="1">
        <v>146</v>
      </c>
      <c r="B35" s="1" t="s">
        <v>77</v>
      </c>
      <c r="C35" s="1" t="s">
        <v>25</v>
      </c>
      <c r="D35" s="1" t="s">
        <v>441</v>
      </c>
      <c r="E35" s="1" t="s">
        <v>26</v>
      </c>
      <c r="F35" s="1" t="s">
        <v>18</v>
      </c>
      <c r="G35" s="1" t="s">
        <v>19</v>
      </c>
      <c r="H35" s="1" t="s">
        <v>21</v>
      </c>
      <c r="I35" s="1">
        <v>75022828</v>
      </c>
      <c r="J35" s="2">
        <v>43364</v>
      </c>
      <c r="K35" s="1">
        <v>4121</v>
      </c>
      <c r="L35" s="1">
        <v>1226</v>
      </c>
      <c r="M35" s="1"/>
      <c r="N35" s="1"/>
      <c r="O35" s="1"/>
    </row>
    <row r="36" spans="1:15" x14ac:dyDescent="0.25">
      <c r="A36" s="1">
        <v>147</v>
      </c>
      <c r="B36" s="1" t="s">
        <v>78</v>
      </c>
      <c r="C36" s="1" t="s">
        <v>25</v>
      </c>
      <c r="D36" s="1" t="s">
        <v>441</v>
      </c>
      <c r="E36" s="1" t="s">
        <v>26</v>
      </c>
      <c r="F36" s="1" t="s">
        <v>18</v>
      </c>
      <c r="G36" s="1" t="s">
        <v>19</v>
      </c>
      <c r="H36" s="1" t="s">
        <v>21</v>
      </c>
      <c r="I36" s="1">
        <v>54074028</v>
      </c>
      <c r="J36" s="2">
        <v>43374</v>
      </c>
      <c r="K36" s="1">
        <v>4121</v>
      </c>
      <c r="L36" s="1">
        <v>1226</v>
      </c>
      <c r="M36" s="1"/>
      <c r="N36" s="1"/>
      <c r="O36" s="1"/>
    </row>
    <row r="37" spans="1:15" x14ac:dyDescent="0.25">
      <c r="A37" s="1">
        <v>149</v>
      </c>
      <c r="B37" s="1" t="s">
        <v>79</v>
      </c>
      <c r="C37" s="1" t="s">
        <v>25</v>
      </c>
      <c r="D37" s="1" t="s">
        <v>441</v>
      </c>
      <c r="E37" s="1" t="s">
        <v>26</v>
      </c>
      <c r="F37" s="1" t="s">
        <v>18</v>
      </c>
      <c r="G37" s="1" t="s">
        <v>19</v>
      </c>
      <c r="H37" s="1" t="s">
        <v>21</v>
      </c>
      <c r="I37" s="1">
        <v>16172701</v>
      </c>
      <c r="J37" s="2">
        <v>43230</v>
      </c>
      <c r="K37" s="1">
        <v>4121</v>
      </c>
      <c r="L37" s="1">
        <v>1226</v>
      </c>
      <c r="M37" s="1"/>
      <c r="N37" s="1"/>
      <c r="O37" s="1"/>
    </row>
    <row r="38" spans="1:15" x14ac:dyDescent="0.25">
      <c r="A38" s="1">
        <v>151</v>
      </c>
      <c r="B38" s="1" t="s">
        <v>80</v>
      </c>
      <c r="C38" s="1" t="s">
        <v>25</v>
      </c>
      <c r="D38" s="1" t="s">
        <v>441</v>
      </c>
      <c r="E38" s="1" t="s">
        <v>26</v>
      </c>
      <c r="F38" s="1" t="s">
        <v>18</v>
      </c>
      <c r="G38" s="1" t="s">
        <v>19</v>
      </c>
      <c r="H38" s="1" t="s">
        <v>21</v>
      </c>
      <c r="I38" s="1">
        <v>65516927</v>
      </c>
      <c r="J38" s="2">
        <v>42607</v>
      </c>
      <c r="K38" s="1">
        <v>4121</v>
      </c>
      <c r="L38" s="1">
        <v>1226</v>
      </c>
      <c r="M38" s="1"/>
      <c r="N38" s="1"/>
      <c r="O38" s="1"/>
    </row>
    <row r="39" spans="1:15" x14ac:dyDescent="0.25">
      <c r="A39" s="1">
        <v>153</v>
      </c>
      <c r="B39" s="1" t="s">
        <v>81</v>
      </c>
      <c r="C39" s="1" t="s">
        <v>16</v>
      </c>
      <c r="D39" s="1" t="s">
        <v>422</v>
      </c>
      <c r="E39" s="1" t="s">
        <v>17</v>
      </c>
      <c r="F39" s="1" t="s">
        <v>18</v>
      </c>
      <c r="G39" s="1" t="s">
        <v>19</v>
      </c>
      <c r="H39" s="1" t="s">
        <v>21</v>
      </c>
      <c r="I39" s="1">
        <v>74130302</v>
      </c>
      <c r="J39" s="2">
        <v>43647</v>
      </c>
      <c r="K39" s="1">
        <v>4121</v>
      </c>
      <c r="L39" s="1">
        <v>1226</v>
      </c>
      <c r="M39" s="1"/>
      <c r="N39" s="1"/>
      <c r="O39" s="1"/>
    </row>
    <row r="40" spans="1:15" x14ac:dyDescent="0.25">
      <c r="A40" s="1">
        <v>154</v>
      </c>
      <c r="B40" s="1" t="s">
        <v>82</v>
      </c>
      <c r="C40" s="1" t="s">
        <v>16</v>
      </c>
      <c r="D40" s="1" t="s">
        <v>422</v>
      </c>
      <c r="E40" s="1" t="s">
        <v>17</v>
      </c>
      <c r="F40" s="1" t="s">
        <v>18</v>
      </c>
      <c r="G40" s="1" t="s">
        <v>19</v>
      </c>
      <c r="H40" s="1" t="s">
        <v>45</v>
      </c>
      <c r="I40" s="1">
        <v>56242777</v>
      </c>
      <c r="J40" s="2">
        <v>43286</v>
      </c>
      <c r="K40" s="1">
        <v>4121</v>
      </c>
      <c r="L40" s="1">
        <v>1226</v>
      </c>
      <c r="M40" s="1"/>
      <c r="N40" s="1"/>
      <c r="O40" s="1"/>
    </row>
    <row r="41" spans="1:15" x14ac:dyDescent="0.25">
      <c r="A41" s="1">
        <v>155</v>
      </c>
      <c r="B41" s="1" t="s">
        <v>83</v>
      </c>
      <c r="C41" s="1" t="s">
        <v>16</v>
      </c>
      <c r="D41" s="1" t="s">
        <v>422</v>
      </c>
      <c r="E41" s="1" t="s">
        <v>17</v>
      </c>
      <c r="F41" s="1" t="s">
        <v>18</v>
      </c>
      <c r="G41" s="1" t="s">
        <v>19</v>
      </c>
      <c r="H41" s="1" t="s">
        <v>21</v>
      </c>
      <c r="I41" s="1">
        <v>70402549</v>
      </c>
      <c r="J41" s="2">
        <v>43435</v>
      </c>
      <c r="K41" s="1">
        <v>4121</v>
      </c>
      <c r="L41" s="1">
        <v>1226</v>
      </c>
      <c r="M41" s="1"/>
      <c r="N41" s="1"/>
      <c r="O41" s="1"/>
    </row>
    <row r="42" spans="1:15" x14ac:dyDescent="0.25">
      <c r="A42" s="3">
        <v>156</v>
      </c>
      <c r="B42" s="3" t="s">
        <v>84</v>
      </c>
      <c r="C42" s="3" t="s">
        <v>16</v>
      </c>
      <c r="D42" s="3" t="s">
        <v>422</v>
      </c>
      <c r="E42" s="3" t="s">
        <v>17</v>
      </c>
      <c r="F42" s="3" t="s">
        <v>18</v>
      </c>
      <c r="G42" s="3" t="s">
        <v>19</v>
      </c>
      <c r="H42" s="3" t="s">
        <v>21</v>
      </c>
      <c r="I42" s="3">
        <v>79881730</v>
      </c>
      <c r="J42" s="4">
        <v>2</v>
      </c>
      <c r="K42" s="3">
        <v>0</v>
      </c>
      <c r="L42" s="3">
        <v>0</v>
      </c>
      <c r="M42" s="1"/>
      <c r="N42" s="1"/>
      <c r="O42" s="1"/>
    </row>
    <row r="43" spans="1:15" x14ac:dyDescent="0.25">
      <c r="A43" s="1">
        <v>162</v>
      </c>
      <c r="B43" s="1" t="s">
        <v>85</v>
      </c>
      <c r="C43" s="1" t="s">
        <v>16</v>
      </c>
      <c r="D43" s="1" t="s">
        <v>422</v>
      </c>
      <c r="E43" s="1" t="s">
        <v>17</v>
      </c>
      <c r="F43" s="1" t="s">
        <v>18</v>
      </c>
      <c r="G43" s="1" t="s">
        <v>19</v>
      </c>
      <c r="H43" s="1" t="s">
        <v>21</v>
      </c>
      <c r="I43" s="1">
        <v>34448241</v>
      </c>
      <c r="J43" s="2">
        <v>43028</v>
      </c>
      <c r="K43" s="1">
        <v>4121</v>
      </c>
      <c r="L43" s="1">
        <v>1226</v>
      </c>
      <c r="M43" s="1"/>
      <c r="N43" s="1"/>
      <c r="O43" s="1"/>
    </row>
    <row r="44" spans="1:15" x14ac:dyDescent="0.25">
      <c r="A44" s="1">
        <v>163</v>
      </c>
      <c r="B44" s="1" t="s">
        <v>86</v>
      </c>
      <c r="C44" s="1" t="s">
        <v>16</v>
      </c>
      <c r="D44" s="1" t="s">
        <v>422</v>
      </c>
      <c r="E44" s="1" t="s">
        <v>17</v>
      </c>
      <c r="F44" s="1" t="s">
        <v>18</v>
      </c>
      <c r="G44" s="1" t="s">
        <v>19</v>
      </c>
      <c r="H44" s="1" t="s">
        <v>21</v>
      </c>
      <c r="I44" s="1">
        <v>67633473</v>
      </c>
      <c r="J44" s="2">
        <v>43028</v>
      </c>
      <c r="K44" s="1">
        <v>4121</v>
      </c>
      <c r="L44" s="1">
        <v>1226</v>
      </c>
      <c r="M44" s="1"/>
      <c r="N44" s="1"/>
      <c r="O44" s="1"/>
    </row>
    <row r="45" spans="1:15" x14ac:dyDescent="0.25">
      <c r="A45" s="1">
        <v>164</v>
      </c>
      <c r="B45" s="1" t="s">
        <v>87</v>
      </c>
      <c r="C45" s="1" t="s">
        <v>16</v>
      </c>
      <c r="D45" s="1" t="s">
        <v>422</v>
      </c>
      <c r="E45" s="1" t="s">
        <v>17</v>
      </c>
      <c r="F45" s="1" t="s">
        <v>18</v>
      </c>
      <c r="G45" s="1" t="s">
        <v>19</v>
      </c>
      <c r="H45" s="1" t="s">
        <v>21</v>
      </c>
      <c r="I45" s="1">
        <v>20613090</v>
      </c>
      <c r="J45" s="2">
        <v>43003</v>
      </c>
      <c r="K45" s="1">
        <v>4121</v>
      </c>
      <c r="L45" s="1">
        <v>1226</v>
      </c>
      <c r="M45" s="1"/>
      <c r="N45" s="1"/>
      <c r="O45" s="1"/>
    </row>
    <row r="46" spans="1:15" x14ac:dyDescent="0.25">
      <c r="A46" s="3">
        <v>167</v>
      </c>
      <c r="B46" s="3" t="s">
        <v>88</v>
      </c>
      <c r="C46" s="3" t="s">
        <v>16</v>
      </c>
      <c r="D46" s="3" t="s">
        <v>422</v>
      </c>
      <c r="E46" s="3" t="s">
        <v>17</v>
      </c>
      <c r="F46" s="3" t="s">
        <v>18</v>
      </c>
      <c r="G46" s="3" t="s">
        <v>19</v>
      </c>
      <c r="H46" s="3" t="s">
        <v>21</v>
      </c>
      <c r="I46" s="3">
        <v>58513141</v>
      </c>
      <c r="J46" s="4">
        <v>2</v>
      </c>
      <c r="K46" s="3">
        <v>0</v>
      </c>
      <c r="L46" s="3">
        <v>0</v>
      </c>
      <c r="M46" s="1"/>
      <c r="N46" s="1"/>
      <c r="O46" s="1"/>
    </row>
    <row r="47" spans="1:15" x14ac:dyDescent="0.25">
      <c r="A47" s="1">
        <v>194</v>
      </c>
      <c r="B47" s="1" t="s">
        <v>89</v>
      </c>
      <c r="C47" s="1" t="s">
        <v>16</v>
      </c>
      <c r="D47" s="1" t="s">
        <v>577</v>
      </c>
      <c r="E47" s="1" t="s">
        <v>17</v>
      </c>
      <c r="F47" s="1" t="s">
        <v>18</v>
      </c>
      <c r="G47" s="1" t="s">
        <v>54</v>
      </c>
      <c r="H47" s="1" t="s">
        <v>21</v>
      </c>
      <c r="I47" s="1">
        <v>74053367</v>
      </c>
      <c r="J47" s="2">
        <v>43261</v>
      </c>
      <c r="K47" s="1">
        <v>2300</v>
      </c>
      <c r="L47" s="1">
        <v>684.25</v>
      </c>
      <c r="M47" s="1"/>
      <c r="N47" s="1"/>
      <c r="O47" s="1"/>
    </row>
    <row r="48" spans="1:15" x14ac:dyDescent="0.25">
      <c r="A48" s="1">
        <v>195</v>
      </c>
      <c r="B48" s="1" t="s">
        <v>90</v>
      </c>
      <c r="C48" s="1" t="s">
        <v>16</v>
      </c>
      <c r="D48" s="1" t="s">
        <v>577</v>
      </c>
      <c r="E48" s="1" t="s">
        <v>17</v>
      </c>
      <c r="F48" s="1" t="s">
        <v>18</v>
      </c>
      <c r="G48" s="1" t="s">
        <v>54</v>
      </c>
      <c r="H48" s="1" t="s">
        <v>21</v>
      </c>
      <c r="I48" s="1">
        <v>76690407</v>
      </c>
      <c r="J48" s="2">
        <v>43435</v>
      </c>
      <c r="K48" s="1">
        <v>4115</v>
      </c>
      <c r="L48" s="1">
        <v>1224.21</v>
      </c>
      <c r="M48" s="1"/>
      <c r="N48" s="1"/>
      <c r="O48" s="1"/>
    </row>
    <row r="49" spans="1:15" x14ac:dyDescent="0.25">
      <c r="A49" s="1">
        <v>200</v>
      </c>
      <c r="B49" s="1" t="s">
        <v>91</v>
      </c>
      <c r="C49" s="1" t="s">
        <v>16</v>
      </c>
      <c r="D49" s="1" t="s">
        <v>422</v>
      </c>
      <c r="E49" s="1" t="s">
        <v>17</v>
      </c>
      <c r="F49" s="1" t="s">
        <v>18</v>
      </c>
      <c r="G49" s="1" t="s">
        <v>19</v>
      </c>
      <c r="H49" s="1" t="s">
        <v>21</v>
      </c>
      <c r="I49" s="1">
        <v>74658688</v>
      </c>
      <c r="J49" s="2">
        <v>42969</v>
      </c>
      <c r="K49" s="1">
        <v>4121</v>
      </c>
      <c r="L49" s="1">
        <v>1226</v>
      </c>
      <c r="M49" s="1"/>
      <c r="N49" s="1"/>
      <c r="O49" s="1"/>
    </row>
    <row r="50" spans="1:15" x14ac:dyDescent="0.25">
      <c r="A50" s="1">
        <v>204</v>
      </c>
      <c r="B50" s="1" t="s">
        <v>92</v>
      </c>
      <c r="C50" s="1" t="s">
        <v>16</v>
      </c>
      <c r="D50" s="1" t="s">
        <v>537</v>
      </c>
      <c r="E50" s="1" t="s">
        <v>17</v>
      </c>
      <c r="F50" s="1" t="s">
        <v>18</v>
      </c>
      <c r="G50" s="1" t="s">
        <v>44</v>
      </c>
      <c r="H50" s="1" t="s">
        <v>45</v>
      </c>
      <c r="I50" s="1">
        <v>64337002</v>
      </c>
      <c r="J50" s="2">
        <v>42818</v>
      </c>
      <c r="K50" s="1">
        <v>4115</v>
      </c>
      <c r="L50" s="1">
        <v>1224.21</v>
      </c>
      <c r="M50" s="1"/>
      <c r="N50" s="1"/>
      <c r="O50" s="1"/>
    </row>
    <row r="51" spans="1:15" x14ac:dyDescent="0.25">
      <c r="A51" s="1">
        <v>206</v>
      </c>
      <c r="B51" s="1" t="s">
        <v>93</v>
      </c>
      <c r="C51" s="1" t="s">
        <v>16</v>
      </c>
      <c r="D51" s="1" t="s">
        <v>657</v>
      </c>
      <c r="E51" s="1" t="s">
        <v>17</v>
      </c>
      <c r="F51" s="1" t="s">
        <v>18</v>
      </c>
      <c r="G51" s="1" t="s">
        <v>19</v>
      </c>
      <c r="H51" s="1" t="s">
        <v>21</v>
      </c>
      <c r="I51" s="1">
        <v>74658716</v>
      </c>
      <c r="J51" s="2">
        <v>43009</v>
      </c>
      <c r="K51" s="1">
        <v>4115</v>
      </c>
      <c r="L51" s="1">
        <v>1224.21</v>
      </c>
      <c r="M51" s="1"/>
      <c r="N51" s="1"/>
      <c r="O51" s="1"/>
    </row>
    <row r="52" spans="1:15" x14ac:dyDescent="0.25">
      <c r="A52" s="1">
        <v>216</v>
      </c>
      <c r="B52" s="1" t="s">
        <v>94</v>
      </c>
      <c r="C52" s="1" t="s">
        <v>16</v>
      </c>
      <c r="D52" s="1" t="s">
        <v>643</v>
      </c>
      <c r="E52" s="1" t="s">
        <v>17</v>
      </c>
      <c r="F52" s="1" t="s">
        <v>18</v>
      </c>
      <c r="G52" s="1" t="s">
        <v>50</v>
      </c>
      <c r="H52" s="1" t="s">
        <v>21</v>
      </c>
      <c r="I52" s="1">
        <v>75812248</v>
      </c>
      <c r="J52" s="2">
        <v>43435</v>
      </c>
      <c r="K52" s="1">
        <v>4100</v>
      </c>
      <c r="L52" s="1">
        <v>1219.75</v>
      </c>
      <c r="M52" s="1"/>
      <c r="N52" s="1"/>
      <c r="O52" s="1"/>
    </row>
    <row r="53" spans="1:15" x14ac:dyDescent="0.25">
      <c r="A53" s="1">
        <v>250</v>
      </c>
      <c r="B53" s="1" t="s">
        <v>95</v>
      </c>
      <c r="C53" s="1" t="s">
        <v>16</v>
      </c>
      <c r="D53" s="1" t="s">
        <v>577</v>
      </c>
      <c r="E53" s="1" t="s">
        <v>17</v>
      </c>
      <c r="F53" s="1" t="s">
        <v>18</v>
      </c>
      <c r="G53" s="1" t="s">
        <v>54</v>
      </c>
      <c r="H53" s="1" t="s">
        <v>21</v>
      </c>
      <c r="I53" s="1">
        <v>62915436</v>
      </c>
      <c r="J53" s="2">
        <v>44013</v>
      </c>
      <c r="K53" s="1">
        <v>4115</v>
      </c>
      <c r="L53" s="1">
        <v>1224.21</v>
      </c>
      <c r="M53" s="1"/>
      <c r="N53" s="1"/>
      <c r="O53" s="1"/>
    </row>
    <row r="54" spans="1:15" x14ac:dyDescent="0.25">
      <c r="A54" s="1">
        <v>307</v>
      </c>
      <c r="B54" s="1" t="s">
        <v>97</v>
      </c>
      <c r="C54" s="1" t="s">
        <v>16</v>
      </c>
      <c r="D54" s="1" t="s">
        <v>434</v>
      </c>
      <c r="E54" s="1" t="s">
        <v>17</v>
      </c>
      <c r="F54" s="1" t="s">
        <v>18</v>
      </c>
      <c r="G54" s="1" t="s">
        <v>19</v>
      </c>
      <c r="H54" s="1" t="s">
        <v>21</v>
      </c>
      <c r="I54" s="1">
        <v>57001264</v>
      </c>
      <c r="J54" s="2">
        <v>42818</v>
      </c>
      <c r="K54" s="1">
        <v>4110</v>
      </c>
      <c r="L54" s="1">
        <v>1222.73</v>
      </c>
      <c r="M54" s="1"/>
      <c r="N54" s="1"/>
      <c r="O54" s="1"/>
    </row>
    <row r="55" spans="1:15" x14ac:dyDescent="0.25">
      <c r="A55" s="1">
        <v>308</v>
      </c>
      <c r="B55" s="1" t="s">
        <v>98</v>
      </c>
      <c r="C55" s="1" t="s">
        <v>16</v>
      </c>
      <c r="D55" s="1" t="s">
        <v>416</v>
      </c>
      <c r="E55" s="1" t="s">
        <v>17</v>
      </c>
      <c r="F55" s="1" t="s">
        <v>18</v>
      </c>
      <c r="G55" s="1" t="s">
        <v>19</v>
      </c>
      <c r="H55" s="1" t="s">
        <v>21</v>
      </c>
      <c r="I55" s="1">
        <v>73146579</v>
      </c>
      <c r="J55" s="2">
        <v>43831</v>
      </c>
      <c r="K55" s="1">
        <v>4110</v>
      </c>
      <c r="L55" s="1">
        <v>1222.73</v>
      </c>
      <c r="M55" s="1"/>
      <c r="N55" s="1"/>
      <c r="O55" s="1"/>
    </row>
    <row r="56" spans="1:15" x14ac:dyDescent="0.25">
      <c r="A56" s="1">
        <v>309</v>
      </c>
      <c r="B56" s="1" t="s">
        <v>99</v>
      </c>
      <c r="C56" s="1" t="s">
        <v>16</v>
      </c>
      <c r="D56" s="1" t="s">
        <v>434</v>
      </c>
      <c r="E56" s="1" t="s">
        <v>17</v>
      </c>
      <c r="F56" s="1" t="s">
        <v>18</v>
      </c>
      <c r="G56" s="1" t="s">
        <v>19</v>
      </c>
      <c r="H56" s="1" t="s">
        <v>21</v>
      </c>
      <c r="I56" s="1">
        <v>59156200</v>
      </c>
      <c r="J56" s="2">
        <v>42818</v>
      </c>
      <c r="K56" s="1">
        <v>4115</v>
      </c>
      <c r="L56" s="1">
        <v>1224.21</v>
      </c>
      <c r="M56" s="1"/>
      <c r="N56" s="1"/>
      <c r="O56" s="1"/>
    </row>
    <row r="57" spans="1:15" x14ac:dyDescent="0.25">
      <c r="A57" s="1">
        <v>310</v>
      </c>
      <c r="B57" s="1" t="s">
        <v>100</v>
      </c>
      <c r="C57" s="1" t="s">
        <v>16</v>
      </c>
      <c r="D57" s="1" t="s">
        <v>422</v>
      </c>
      <c r="E57" s="1" t="s">
        <v>17</v>
      </c>
      <c r="F57" s="1" t="s">
        <v>18</v>
      </c>
      <c r="G57" s="1" t="s">
        <v>19</v>
      </c>
      <c r="H57" s="1" t="s">
        <v>21</v>
      </c>
      <c r="I57" s="1">
        <v>28574417</v>
      </c>
      <c r="J57" s="2">
        <v>42818</v>
      </c>
      <c r="K57" s="1">
        <v>4121</v>
      </c>
      <c r="L57" s="1">
        <v>1226</v>
      </c>
      <c r="M57" s="1"/>
      <c r="N57" s="1"/>
      <c r="O57" s="1"/>
    </row>
    <row r="58" spans="1:15" x14ac:dyDescent="0.25">
      <c r="A58" s="1">
        <v>311</v>
      </c>
      <c r="B58" s="1" t="s">
        <v>102</v>
      </c>
      <c r="C58" s="1" t="s">
        <v>16</v>
      </c>
      <c r="D58" s="1" t="s">
        <v>434</v>
      </c>
      <c r="E58" s="1" t="s">
        <v>17</v>
      </c>
      <c r="F58" s="1" t="s">
        <v>18</v>
      </c>
      <c r="G58" s="1" t="s">
        <v>19</v>
      </c>
      <c r="H58" s="1" t="s">
        <v>21</v>
      </c>
      <c r="I58" s="1">
        <v>59785560</v>
      </c>
      <c r="J58" s="2">
        <v>41730</v>
      </c>
      <c r="K58" s="1">
        <v>4115</v>
      </c>
      <c r="L58" s="1">
        <v>1224.21</v>
      </c>
      <c r="M58" s="1"/>
      <c r="N58" s="1"/>
      <c r="O58" s="1"/>
    </row>
    <row r="59" spans="1:15" x14ac:dyDescent="0.25">
      <c r="A59" s="1">
        <v>312</v>
      </c>
      <c r="B59" s="1" t="s">
        <v>103</v>
      </c>
      <c r="C59" s="1" t="s">
        <v>16</v>
      </c>
      <c r="D59" s="1" t="s">
        <v>434</v>
      </c>
      <c r="E59" s="1" t="s">
        <v>17</v>
      </c>
      <c r="F59" s="1" t="s">
        <v>18</v>
      </c>
      <c r="G59" s="1" t="s">
        <v>19</v>
      </c>
      <c r="H59" s="1" t="s">
        <v>21</v>
      </c>
      <c r="I59" s="1">
        <v>70495527</v>
      </c>
      <c r="J59" s="2">
        <v>41730</v>
      </c>
      <c r="K59" s="1">
        <v>4110</v>
      </c>
      <c r="L59" s="1">
        <v>1222.73</v>
      </c>
      <c r="M59" s="1"/>
      <c r="N59" s="1"/>
      <c r="O59" s="1"/>
    </row>
    <row r="60" spans="1:15" x14ac:dyDescent="0.25">
      <c r="A60" s="1">
        <v>353</v>
      </c>
      <c r="B60" s="1" t="s">
        <v>104</v>
      </c>
      <c r="C60" s="1" t="s">
        <v>16</v>
      </c>
      <c r="D60" s="1" t="s">
        <v>577</v>
      </c>
      <c r="E60" s="1" t="s">
        <v>17</v>
      </c>
      <c r="F60" s="1" t="s">
        <v>18</v>
      </c>
      <c r="G60" s="1" t="s">
        <v>54</v>
      </c>
      <c r="H60" s="1" t="s">
        <v>21</v>
      </c>
      <c r="I60" s="1">
        <v>61993956</v>
      </c>
      <c r="J60" s="2">
        <v>44256</v>
      </c>
      <c r="K60" s="1">
        <v>4115</v>
      </c>
      <c r="L60" s="1">
        <v>1224.21</v>
      </c>
      <c r="M60" s="1"/>
      <c r="N60" s="1"/>
      <c r="O60" s="1"/>
    </row>
    <row r="61" spans="1:15" x14ac:dyDescent="0.25">
      <c r="A61" s="1">
        <v>354</v>
      </c>
      <c r="B61" s="1" t="s">
        <v>105</v>
      </c>
      <c r="C61" s="1" t="s">
        <v>16</v>
      </c>
      <c r="D61" s="1" t="s">
        <v>577</v>
      </c>
      <c r="E61" s="1" t="s">
        <v>17</v>
      </c>
      <c r="F61" s="1" t="s">
        <v>18</v>
      </c>
      <c r="G61" s="1" t="s">
        <v>54</v>
      </c>
      <c r="H61" s="1" t="s">
        <v>21</v>
      </c>
      <c r="I61" s="1">
        <v>79107786</v>
      </c>
      <c r="J61" s="2">
        <v>44240</v>
      </c>
      <c r="K61" s="1">
        <v>4115</v>
      </c>
      <c r="L61" s="1">
        <v>1224.21</v>
      </c>
      <c r="M61" s="1"/>
      <c r="N61" s="1"/>
      <c r="O61" s="1"/>
    </row>
    <row r="62" spans="1:15" x14ac:dyDescent="0.25">
      <c r="A62" s="1">
        <v>357</v>
      </c>
      <c r="B62" s="1" t="s">
        <v>106</v>
      </c>
      <c r="C62" s="1" t="s">
        <v>25</v>
      </c>
      <c r="D62" s="1" t="s">
        <v>441</v>
      </c>
      <c r="E62" s="1" t="s">
        <v>26</v>
      </c>
      <c r="F62" s="1" t="s">
        <v>18</v>
      </c>
      <c r="G62" s="1" t="s">
        <v>19</v>
      </c>
      <c r="H62" s="1" t="s">
        <v>21</v>
      </c>
      <c r="I62" s="1">
        <v>74500475</v>
      </c>
      <c r="J62" s="2">
        <v>44866</v>
      </c>
      <c r="K62" s="1">
        <v>4121</v>
      </c>
      <c r="L62" s="1">
        <v>1226</v>
      </c>
      <c r="M62" s="1"/>
      <c r="N62" s="1"/>
      <c r="O62" s="1"/>
    </row>
    <row r="63" spans="1:15" x14ac:dyDescent="0.25">
      <c r="A63" s="1">
        <v>363</v>
      </c>
      <c r="B63" s="1" t="s">
        <v>109</v>
      </c>
      <c r="C63" s="1" t="s">
        <v>16</v>
      </c>
      <c r="D63" s="1" t="s">
        <v>902</v>
      </c>
      <c r="E63" s="1" t="s">
        <v>17</v>
      </c>
      <c r="F63" s="1" t="s">
        <v>18</v>
      </c>
      <c r="G63" s="1" t="s">
        <v>19</v>
      </c>
      <c r="H63" s="1" t="s">
        <v>21</v>
      </c>
      <c r="I63" s="1">
        <v>43547644</v>
      </c>
      <c r="J63" s="2">
        <v>44766</v>
      </c>
      <c r="K63" s="1">
        <v>4100</v>
      </c>
      <c r="L63" s="1">
        <v>1219.75</v>
      </c>
      <c r="M63" s="1"/>
      <c r="N63" s="1"/>
      <c r="O63" s="1"/>
    </row>
    <row r="64" spans="1:15" x14ac:dyDescent="0.25">
      <c r="A64" s="1">
        <v>366</v>
      </c>
      <c r="B64" s="1" t="s">
        <v>111</v>
      </c>
      <c r="C64" s="1" t="s">
        <v>16</v>
      </c>
      <c r="D64" s="1" t="s">
        <v>434</v>
      </c>
      <c r="E64" s="1" t="s">
        <v>17</v>
      </c>
      <c r="F64" s="1" t="s">
        <v>18</v>
      </c>
      <c r="G64" s="1" t="s">
        <v>19</v>
      </c>
      <c r="H64" s="1" t="s">
        <v>21</v>
      </c>
      <c r="I64" s="1">
        <v>63201533</v>
      </c>
      <c r="J64" s="2">
        <v>44593</v>
      </c>
      <c r="K64" s="1">
        <v>4121</v>
      </c>
      <c r="L64" s="1">
        <v>1226</v>
      </c>
      <c r="M64" s="1"/>
      <c r="N64" s="1"/>
      <c r="O64" s="1"/>
    </row>
    <row r="65" spans="1:15" x14ac:dyDescent="0.25">
      <c r="A65" s="1">
        <v>370</v>
      </c>
      <c r="B65" s="1" t="s">
        <v>112</v>
      </c>
      <c r="C65" s="1" t="s">
        <v>16</v>
      </c>
      <c r="D65" s="1" t="s">
        <v>422</v>
      </c>
      <c r="E65" s="1" t="s">
        <v>17</v>
      </c>
      <c r="F65" s="1" t="s">
        <v>18</v>
      </c>
      <c r="G65" s="1" t="s">
        <v>19</v>
      </c>
      <c r="H65" s="1" t="s">
        <v>21</v>
      </c>
      <c r="I65" s="1">
        <v>66764474</v>
      </c>
      <c r="J65" s="2">
        <v>44447</v>
      </c>
      <c r="K65" s="1">
        <v>4121</v>
      </c>
      <c r="L65" s="1">
        <v>1226</v>
      </c>
      <c r="M65" s="1"/>
      <c r="N65" s="1"/>
      <c r="O65" s="1"/>
    </row>
    <row r="66" spans="1:15" x14ac:dyDescent="0.25">
      <c r="A66" s="1">
        <v>381</v>
      </c>
      <c r="B66" s="1" t="s">
        <v>113</v>
      </c>
      <c r="C66" s="1" t="s">
        <v>16</v>
      </c>
      <c r="D66" s="1" t="s">
        <v>422</v>
      </c>
      <c r="E66" s="1" t="s">
        <v>17</v>
      </c>
      <c r="F66" s="1" t="s">
        <v>18</v>
      </c>
      <c r="G66" s="1" t="s">
        <v>19</v>
      </c>
      <c r="H66" s="1" t="s">
        <v>21</v>
      </c>
      <c r="I66" s="1">
        <v>77212344</v>
      </c>
      <c r="J66" s="2">
        <v>44482</v>
      </c>
      <c r="K66" s="1">
        <v>4121</v>
      </c>
      <c r="L66" s="1">
        <v>1226</v>
      </c>
      <c r="M66" s="1"/>
      <c r="N66" s="1"/>
      <c r="O66" s="1"/>
    </row>
    <row r="67" spans="1:15" x14ac:dyDescent="0.25">
      <c r="A67" s="1">
        <v>389</v>
      </c>
      <c r="B67" s="1" t="s">
        <v>115</v>
      </c>
      <c r="C67" s="1" t="s">
        <v>16</v>
      </c>
      <c r="D67" s="1" t="s">
        <v>577</v>
      </c>
      <c r="E67" s="1" t="s">
        <v>17</v>
      </c>
      <c r="F67" s="1" t="s">
        <v>18</v>
      </c>
      <c r="G67" s="1" t="s">
        <v>54</v>
      </c>
      <c r="H67" s="1" t="s">
        <v>21</v>
      </c>
      <c r="I67" s="1">
        <v>35421961</v>
      </c>
      <c r="J67" s="2">
        <v>44602</v>
      </c>
      <c r="K67" s="1">
        <v>2707</v>
      </c>
      <c r="L67" s="1">
        <v>805.33</v>
      </c>
      <c r="M67" s="1"/>
      <c r="N67" s="1"/>
      <c r="O67" s="1"/>
    </row>
    <row r="68" spans="1:15" x14ac:dyDescent="0.25">
      <c r="A68" s="1">
        <v>392</v>
      </c>
      <c r="B68" s="1" t="s">
        <v>117</v>
      </c>
      <c r="C68" s="1" t="s">
        <v>16</v>
      </c>
      <c r="D68" s="1" t="s">
        <v>422</v>
      </c>
      <c r="E68" s="1" t="s">
        <v>17</v>
      </c>
      <c r="F68" s="1" t="s">
        <v>18</v>
      </c>
      <c r="G68" s="1" t="s">
        <v>19</v>
      </c>
      <c r="H68" s="1" t="s">
        <v>45</v>
      </c>
      <c r="I68" s="1">
        <v>68204577</v>
      </c>
      <c r="J68" s="2">
        <v>44699</v>
      </c>
      <c r="K68" s="1">
        <v>4121</v>
      </c>
      <c r="L68" s="1">
        <v>1226</v>
      </c>
      <c r="M68" s="1"/>
      <c r="N68" s="1"/>
      <c r="O68" s="1"/>
    </row>
    <row r="69" spans="1:15" x14ac:dyDescent="0.25">
      <c r="A69" s="1">
        <v>393</v>
      </c>
      <c r="B69" s="1" t="s">
        <v>118</v>
      </c>
      <c r="C69" s="1" t="s">
        <v>16</v>
      </c>
      <c r="D69" s="1" t="s">
        <v>422</v>
      </c>
      <c r="E69" s="1" t="s">
        <v>17</v>
      </c>
      <c r="F69" s="1" t="s">
        <v>18</v>
      </c>
      <c r="G69" s="1" t="s">
        <v>19</v>
      </c>
      <c r="H69" s="1" t="s">
        <v>21</v>
      </c>
      <c r="I69" s="1">
        <v>55288035</v>
      </c>
      <c r="J69" s="2">
        <v>44774</v>
      </c>
      <c r="K69" s="1">
        <v>4121</v>
      </c>
      <c r="L69" s="1">
        <v>1226</v>
      </c>
      <c r="M69" s="1"/>
      <c r="N69" s="1"/>
      <c r="O69" s="1"/>
    </row>
    <row r="70" spans="1:15" x14ac:dyDescent="0.25">
      <c r="A70" s="1">
        <v>394</v>
      </c>
      <c r="B70" s="1" t="s">
        <v>119</v>
      </c>
      <c r="C70" s="1" t="s">
        <v>16</v>
      </c>
      <c r="D70" s="1" t="s">
        <v>422</v>
      </c>
      <c r="E70" s="1" t="s">
        <v>17</v>
      </c>
      <c r="F70" s="1" t="s">
        <v>18</v>
      </c>
      <c r="G70" s="1" t="s">
        <v>19</v>
      </c>
      <c r="H70" s="1" t="s">
        <v>21</v>
      </c>
      <c r="I70" s="1">
        <v>59227684</v>
      </c>
      <c r="J70" s="2">
        <v>44779</v>
      </c>
      <c r="K70" s="1">
        <v>4121</v>
      </c>
      <c r="L70" s="1">
        <v>1226</v>
      </c>
      <c r="M70" s="1"/>
      <c r="N70" s="1"/>
      <c r="O70" s="1"/>
    </row>
    <row r="71" spans="1:15" x14ac:dyDescent="0.25">
      <c r="A71" s="1">
        <v>410</v>
      </c>
      <c r="B71" s="1" t="s">
        <v>120</v>
      </c>
      <c r="C71" s="1" t="s">
        <v>16</v>
      </c>
      <c r="D71" s="1" t="s">
        <v>422</v>
      </c>
      <c r="E71" s="1" t="s">
        <v>17</v>
      </c>
      <c r="F71" s="1" t="s">
        <v>18</v>
      </c>
      <c r="G71" s="1" t="s">
        <v>19</v>
      </c>
      <c r="H71" s="1" t="s">
        <v>21</v>
      </c>
      <c r="I71" s="1">
        <v>61949870</v>
      </c>
      <c r="J71" s="2">
        <v>44999</v>
      </c>
      <c r="K71" s="1">
        <v>4100</v>
      </c>
      <c r="L71" s="1">
        <v>1219.75</v>
      </c>
      <c r="M71" s="1"/>
      <c r="N71" s="1"/>
      <c r="O71" s="1"/>
    </row>
    <row r="72" spans="1:15" x14ac:dyDescent="0.25">
      <c r="A72" s="1">
        <v>411</v>
      </c>
      <c r="B72" s="1" t="s">
        <v>121</v>
      </c>
      <c r="C72" s="1" t="s">
        <v>16</v>
      </c>
      <c r="D72" s="1" t="s">
        <v>422</v>
      </c>
      <c r="E72" s="1" t="s">
        <v>17</v>
      </c>
      <c r="F72" s="1" t="s">
        <v>18</v>
      </c>
      <c r="G72" s="1" t="s">
        <v>19</v>
      </c>
      <c r="H72" s="1" t="s">
        <v>21</v>
      </c>
      <c r="I72" s="1">
        <v>68616424</v>
      </c>
      <c r="J72" s="2">
        <v>44999</v>
      </c>
      <c r="K72" s="1">
        <v>4100</v>
      </c>
      <c r="L72" s="1">
        <v>1219.75</v>
      </c>
      <c r="M72" s="1"/>
      <c r="N72" s="1"/>
      <c r="O72" s="1"/>
    </row>
    <row r="73" spans="1:15" x14ac:dyDescent="0.25">
      <c r="A73" s="1">
        <v>413</v>
      </c>
      <c r="B73" s="1" t="s">
        <v>122</v>
      </c>
      <c r="C73" s="1" t="s">
        <v>16</v>
      </c>
      <c r="D73" s="1" t="s">
        <v>434</v>
      </c>
      <c r="E73" s="1" t="s">
        <v>17</v>
      </c>
      <c r="F73" s="1" t="s">
        <v>18</v>
      </c>
      <c r="G73" s="1" t="s">
        <v>19</v>
      </c>
      <c r="H73" s="1" t="s">
        <v>21</v>
      </c>
      <c r="I73" s="1">
        <v>74693753</v>
      </c>
      <c r="J73" s="2">
        <v>45004</v>
      </c>
      <c r="K73" s="1">
        <v>4100</v>
      </c>
      <c r="L73" s="1">
        <v>1219.75</v>
      </c>
      <c r="M73" s="1"/>
      <c r="N73" s="1"/>
      <c r="O73" s="1"/>
    </row>
    <row r="74" spans="1:15" x14ac:dyDescent="0.25">
      <c r="A74" s="1">
        <v>418</v>
      </c>
      <c r="B74" s="1" t="s">
        <v>123</v>
      </c>
      <c r="C74" s="1" t="s">
        <v>16</v>
      </c>
      <c r="D74" s="1" t="s">
        <v>422</v>
      </c>
      <c r="E74" s="1" t="s">
        <v>17</v>
      </c>
      <c r="F74" s="1" t="s">
        <v>18</v>
      </c>
      <c r="G74" s="1" t="s">
        <v>19</v>
      </c>
      <c r="H74" s="1" t="s">
        <v>21</v>
      </c>
      <c r="I74" s="1">
        <v>71783837</v>
      </c>
      <c r="J74" s="2">
        <v>45004</v>
      </c>
      <c r="K74" s="1">
        <v>4100</v>
      </c>
      <c r="L74" s="1">
        <v>1219.75</v>
      </c>
      <c r="M74" s="1"/>
      <c r="N74" s="1"/>
      <c r="O74" s="1"/>
    </row>
    <row r="75" spans="1:15" x14ac:dyDescent="0.25">
      <c r="A75" s="1">
        <v>421</v>
      </c>
      <c r="B75" s="1" t="s">
        <v>124</v>
      </c>
      <c r="C75" s="1" t="s">
        <v>16</v>
      </c>
      <c r="D75" s="1" t="s">
        <v>434</v>
      </c>
      <c r="E75" s="1" t="s">
        <v>17</v>
      </c>
      <c r="F75" s="1" t="s">
        <v>18</v>
      </c>
      <c r="G75" s="1" t="s">
        <v>19</v>
      </c>
      <c r="H75" s="1" t="s">
        <v>21</v>
      </c>
      <c r="I75" s="1">
        <v>84239151</v>
      </c>
      <c r="J75" s="2">
        <v>45231</v>
      </c>
      <c r="K75" s="1">
        <v>2707</v>
      </c>
      <c r="L75" s="1">
        <v>805.33</v>
      </c>
      <c r="M75" s="1"/>
      <c r="N75" s="1"/>
      <c r="O75" s="1"/>
    </row>
    <row r="76" spans="1:15" x14ac:dyDescent="0.25">
      <c r="A76" s="1">
        <v>422</v>
      </c>
      <c r="B76" s="1" t="s">
        <v>125</v>
      </c>
      <c r="C76" s="1" t="s">
        <v>16</v>
      </c>
      <c r="D76" s="1" t="s">
        <v>422</v>
      </c>
      <c r="E76" s="1" t="s">
        <v>17</v>
      </c>
      <c r="F76" s="1" t="s">
        <v>18</v>
      </c>
      <c r="G76" s="1" t="s">
        <v>19</v>
      </c>
      <c r="H76" s="1" t="s">
        <v>45</v>
      </c>
      <c r="I76" s="1">
        <v>65542312</v>
      </c>
      <c r="J76" s="2">
        <v>45715</v>
      </c>
      <c r="K76" s="1">
        <v>4121</v>
      </c>
      <c r="L76" s="1">
        <v>1226</v>
      </c>
      <c r="M76" s="1"/>
      <c r="N76" s="1"/>
      <c r="O76" s="1"/>
    </row>
    <row r="77" spans="1:15" x14ac:dyDescent="0.25">
      <c r="A77" s="3">
        <v>423</v>
      </c>
      <c r="B77" s="3" t="s">
        <v>126</v>
      </c>
      <c r="C77" s="3" t="s">
        <v>16</v>
      </c>
      <c r="D77" s="3" t="s">
        <v>537</v>
      </c>
      <c r="E77" s="3" t="s">
        <v>17</v>
      </c>
      <c r="F77" s="3" t="s">
        <v>18</v>
      </c>
      <c r="G77" s="3" t="s">
        <v>44</v>
      </c>
      <c r="H77" s="3" t="s">
        <v>21</v>
      </c>
      <c r="I77" s="3">
        <v>74623358</v>
      </c>
      <c r="J77" s="4">
        <v>45782</v>
      </c>
      <c r="K77" s="3">
        <v>0</v>
      </c>
      <c r="L77" s="3">
        <v>0</v>
      </c>
      <c r="M77" s="1"/>
      <c r="N77" s="1"/>
      <c r="O77" s="1"/>
    </row>
    <row r="78" spans="1:15" x14ac:dyDescent="0.25">
      <c r="A78" s="3">
        <v>425</v>
      </c>
      <c r="B78" s="3" t="s">
        <v>127</v>
      </c>
      <c r="C78" s="3" t="s">
        <v>16</v>
      </c>
      <c r="D78" s="3" t="s">
        <v>422</v>
      </c>
      <c r="E78" s="3" t="s">
        <v>17</v>
      </c>
      <c r="F78" s="3" t="s">
        <v>18</v>
      </c>
      <c r="G78" s="3" t="s">
        <v>19</v>
      </c>
      <c r="H78" s="3" t="s">
        <v>21</v>
      </c>
      <c r="I78" s="3">
        <v>86977273</v>
      </c>
      <c r="J78" s="4">
        <v>45819</v>
      </c>
      <c r="K78" s="3">
        <v>0</v>
      </c>
      <c r="L78" s="3">
        <v>0</v>
      </c>
      <c r="M78" s="1"/>
      <c r="N78" s="1"/>
      <c r="O78" s="1"/>
    </row>
    <row r="79" spans="1:15" x14ac:dyDescent="0.25">
      <c r="A79" s="3">
        <v>426</v>
      </c>
      <c r="B79" s="3" t="s">
        <v>128</v>
      </c>
      <c r="C79" s="3" t="s">
        <v>16</v>
      </c>
      <c r="D79" s="3" t="s">
        <v>422</v>
      </c>
      <c r="E79" s="3" t="s">
        <v>17</v>
      </c>
      <c r="F79" s="3" t="s">
        <v>18</v>
      </c>
      <c r="G79" s="3" t="s">
        <v>19</v>
      </c>
      <c r="H79" s="3" t="s">
        <v>21</v>
      </c>
      <c r="I79" s="3">
        <v>0</v>
      </c>
      <c r="J79" s="4">
        <v>45827</v>
      </c>
      <c r="K79" s="3">
        <v>0</v>
      </c>
      <c r="L79" s="3">
        <v>0</v>
      </c>
      <c r="M79" s="1"/>
      <c r="N79" s="1"/>
      <c r="O79" s="1"/>
    </row>
    <row r="80" spans="1:15" x14ac:dyDescent="0.25">
      <c r="A80" s="3">
        <v>428</v>
      </c>
      <c r="B80" s="3" t="s">
        <v>129</v>
      </c>
      <c r="C80" s="3" t="s">
        <v>16</v>
      </c>
      <c r="D80" s="3" t="s">
        <v>188</v>
      </c>
      <c r="E80" s="3" t="s">
        <v>17</v>
      </c>
      <c r="F80" s="3" t="s">
        <v>18</v>
      </c>
      <c r="G80" s="3" t="s">
        <v>107</v>
      </c>
      <c r="H80" s="3" t="s">
        <v>21</v>
      </c>
      <c r="I80" s="3">
        <v>0</v>
      </c>
      <c r="J80" s="4">
        <v>45883</v>
      </c>
      <c r="K80" s="3">
        <v>0</v>
      </c>
      <c r="L80" s="3">
        <v>0</v>
      </c>
      <c r="M80" s="1"/>
      <c r="N80" s="1"/>
      <c r="O80" s="1"/>
    </row>
    <row r="81" spans="1:15" x14ac:dyDescent="0.25">
      <c r="A81" s="3">
        <v>429</v>
      </c>
      <c r="B81" s="3" t="s">
        <v>130</v>
      </c>
      <c r="C81" s="3" t="s">
        <v>16</v>
      </c>
      <c r="D81" s="3" t="s">
        <v>422</v>
      </c>
      <c r="E81" s="3" t="s">
        <v>17</v>
      </c>
      <c r="F81" s="3" t="s">
        <v>18</v>
      </c>
      <c r="G81" s="3" t="s">
        <v>19</v>
      </c>
      <c r="H81" s="3"/>
      <c r="I81" s="3">
        <v>0</v>
      </c>
      <c r="J81" s="4">
        <v>45923</v>
      </c>
      <c r="K81" s="3">
        <v>0</v>
      </c>
      <c r="L81" s="3">
        <v>0</v>
      </c>
      <c r="M81" s="1"/>
      <c r="N81" s="1"/>
      <c r="O81" s="1"/>
    </row>
    <row r="82" spans="1:15" x14ac:dyDescent="0.25">
      <c r="A82" s="3">
        <v>430</v>
      </c>
      <c r="B82" s="3" t="s">
        <v>131</v>
      </c>
      <c r="C82" s="3" t="s">
        <v>16</v>
      </c>
      <c r="D82" s="3" t="s">
        <v>643</v>
      </c>
      <c r="E82" s="3" t="s">
        <v>17</v>
      </c>
      <c r="F82" s="3" t="s">
        <v>18</v>
      </c>
      <c r="G82" s="3" t="s">
        <v>50</v>
      </c>
      <c r="H82" s="3"/>
      <c r="I82" s="3">
        <v>0</v>
      </c>
      <c r="J82" s="4">
        <v>45928</v>
      </c>
      <c r="K82" s="3">
        <v>0</v>
      </c>
      <c r="L82" s="3">
        <v>0</v>
      </c>
      <c r="M82" s="1"/>
      <c r="N82" s="1"/>
      <c r="O82" s="1"/>
    </row>
    <row r="83" spans="1:15" x14ac:dyDescent="0.25">
      <c r="A83" s="3">
        <v>431</v>
      </c>
      <c r="B83" s="3" t="s">
        <v>132</v>
      </c>
      <c r="C83" s="3" t="s">
        <v>16</v>
      </c>
      <c r="D83" s="3" t="s">
        <v>1036</v>
      </c>
      <c r="E83" s="3" t="s">
        <v>17</v>
      </c>
      <c r="F83" s="3" t="s">
        <v>18</v>
      </c>
      <c r="G83" s="3" t="s">
        <v>50</v>
      </c>
      <c r="H83" s="3"/>
      <c r="I83" s="3">
        <v>0</v>
      </c>
      <c r="J83" s="4">
        <v>45930</v>
      </c>
      <c r="K83" s="3">
        <v>0</v>
      </c>
      <c r="L83" s="3">
        <v>0</v>
      </c>
      <c r="M83" s="1"/>
      <c r="N83" s="1"/>
      <c r="O83" s="1"/>
    </row>
    <row r="84" spans="1:15" x14ac:dyDescent="0.25">
      <c r="A84" s="3">
        <v>432</v>
      </c>
      <c r="B84" s="3" t="s">
        <v>133</v>
      </c>
      <c r="C84" s="3" t="s">
        <v>16</v>
      </c>
      <c r="D84" s="3" t="s">
        <v>422</v>
      </c>
      <c r="E84" s="3" t="s">
        <v>17</v>
      </c>
      <c r="F84" s="3" t="s">
        <v>18</v>
      </c>
      <c r="G84" s="3" t="s">
        <v>19</v>
      </c>
      <c r="H84" s="3"/>
      <c r="I84" s="3">
        <v>0</v>
      </c>
      <c r="J84" s="4">
        <v>45928</v>
      </c>
      <c r="K84" s="3">
        <v>0</v>
      </c>
      <c r="L84" s="3">
        <v>0</v>
      </c>
      <c r="M84" s="1"/>
      <c r="N84" s="1"/>
      <c r="O84" s="1"/>
    </row>
    <row r="85" spans="1:15" x14ac:dyDescent="0.25">
      <c r="A85" s="3">
        <v>433</v>
      </c>
      <c r="B85" s="3" t="s">
        <v>134</v>
      </c>
      <c r="C85" s="3" t="s">
        <v>16</v>
      </c>
      <c r="D85" s="3" t="s">
        <v>422</v>
      </c>
      <c r="E85" s="3" t="s">
        <v>17</v>
      </c>
      <c r="F85" s="3" t="s">
        <v>18</v>
      </c>
      <c r="G85" s="3" t="s">
        <v>19</v>
      </c>
      <c r="H85" s="3"/>
      <c r="I85" s="3">
        <v>0</v>
      </c>
      <c r="J85" s="4">
        <v>45928</v>
      </c>
      <c r="K85" s="3">
        <v>0</v>
      </c>
      <c r="L85" s="3">
        <v>0</v>
      </c>
      <c r="M85" s="1"/>
      <c r="N85" s="1"/>
      <c r="O85" s="1"/>
    </row>
    <row r="86" spans="1:15" x14ac:dyDescent="0.25">
      <c r="A86" s="3">
        <v>434</v>
      </c>
      <c r="B86" s="3" t="s">
        <v>135</v>
      </c>
      <c r="C86" s="3" t="s">
        <v>16</v>
      </c>
      <c r="D86" s="3" t="s">
        <v>422</v>
      </c>
      <c r="E86" s="3" t="s">
        <v>17</v>
      </c>
      <c r="F86" s="3" t="s">
        <v>18</v>
      </c>
      <c r="G86" s="3" t="s">
        <v>19</v>
      </c>
      <c r="H86" s="3"/>
      <c r="I86" s="3">
        <v>0</v>
      </c>
      <c r="J86" s="4">
        <v>45929</v>
      </c>
      <c r="K86" s="3">
        <v>0</v>
      </c>
      <c r="L86" s="3">
        <v>0</v>
      </c>
      <c r="M86" s="1"/>
      <c r="N86" s="1"/>
      <c r="O86" s="1"/>
    </row>
    <row r="87" spans="1:15" x14ac:dyDescent="0.25">
      <c r="A87" s="3">
        <v>435</v>
      </c>
      <c r="B87" s="3" t="s">
        <v>136</v>
      </c>
      <c r="C87" s="3" t="s">
        <v>16</v>
      </c>
      <c r="D87" s="3" t="s">
        <v>422</v>
      </c>
      <c r="E87" s="3" t="s">
        <v>17</v>
      </c>
      <c r="F87" s="3" t="s">
        <v>18</v>
      </c>
      <c r="G87" s="3" t="s">
        <v>19</v>
      </c>
      <c r="H87" s="3"/>
      <c r="I87" s="3">
        <v>0</v>
      </c>
      <c r="J87" s="4">
        <v>45932</v>
      </c>
      <c r="K87" s="3">
        <v>0</v>
      </c>
      <c r="L87" s="3">
        <v>0</v>
      </c>
      <c r="M87" s="1"/>
      <c r="N87" s="1"/>
      <c r="O87" s="1"/>
    </row>
    <row r="88" spans="1:15" x14ac:dyDescent="0.25">
      <c r="A88" s="3">
        <v>436</v>
      </c>
      <c r="B88" s="3" t="s">
        <v>137</v>
      </c>
      <c r="C88" s="3" t="s">
        <v>16</v>
      </c>
      <c r="D88" s="3" t="s">
        <v>422</v>
      </c>
      <c r="E88" s="3" t="s">
        <v>17</v>
      </c>
      <c r="F88" s="3" t="s">
        <v>18</v>
      </c>
      <c r="G88" s="3" t="s">
        <v>19</v>
      </c>
      <c r="H88" s="3"/>
      <c r="I88" s="3">
        <v>0</v>
      </c>
      <c r="J88" s="4">
        <v>45946</v>
      </c>
      <c r="K88" s="3">
        <v>0</v>
      </c>
      <c r="L88" s="3">
        <v>0</v>
      </c>
      <c r="M88" s="1"/>
      <c r="N88" s="1"/>
      <c r="O88" s="1"/>
    </row>
    <row r="89" spans="1:15" x14ac:dyDescent="0.25">
      <c r="A89" s="3">
        <v>437</v>
      </c>
      <c r="B89" s="3" t="s">
        <v>138</v>
      </c>
      <c r="C89" s="3" t="s">
        <v>16</v>
      </c>
      <c r="D89" s="3" t="s">
        <v>422</v>
      </c>
      <c r="E89" s="3" t="s">
        <v>17</v>
      </c>
      <c r="F89" s="3" t="s">
        <v>18</v>
      </c>
      <c r="G89" s="3" t="s">
        <v>19</v>
      </c>
      <c r="H89" s="3"/>
      <c r="I89" s="3">
        <v>0</v>
      </c>
      <c r="J89" s="4">
        <v>45946</v>
      </c>
      <c r="K89" s="3">
        <v>0</v>
      </c>
      <c r="L89" s="3">
        <v>0</v>
      </c>
      <c r="M89" s="1"/>
      <c r="N89" s="1"/>
      <c r="O89" s="1"/>
    </row>
    <row r="90" spans="1:15" x14ac:dyDescent="0.25">
      <c r="A90" s="1">
        <v>504</v>
      </c>
      <c r="B90" s="1" t="s">
        <v>139</v>
      </c>
      <c r="C90" s="1" t="s">
        <v>16</v>
      </c>
      <c r="D90" s="1" t="s">
        <v>140</v>
      </c>
      <c r="E90" s="1" t="s">
        <v>17</v>
      </c>
      <c r="F90" s="1" t="s">
        <v>18</v>
      </c>
      <c r="G90" s="1" t="s">
        <v>107</v>
      </c>
      <c r="H90" s="1" t="s">
        <v>21</v>
      </c>
      <c r="I90" s="1">
        <v>58758014</v>
      </c>
      <c r="J90" s="2">
        <v>43595</v>
      </c>
      <c r="K90" s="1">
        <v>4121</v>
      </c>
      <c r="L90" s="1">
        <v>1226</v>
      </c>
      <c r="M90" s="1"/>
      <c r="N90" s="1"/>
      <c r="O90" s="1"/>
    </row>
    <row r="91" spans="1:15" x14ac:dyDescent="0.25">
      <c r="A91" s="1">
        <v>506</v>
      </c>
      <c r="B91" s="1" t="s">
        <v>141</v>
      </c>
      <c r="C91" s="1" t="s">
        <v>25</v>
      </c>
      <c r="D91" s="1" t="s">
        <v>1086</v>
      </c>
      <c r="E91" s="1" t="s">
        <v>26</v>
      </c>
      <c r="F91" s="1" t="s">
        <v>18</v>
      </c>
      <c r="G91" s="1" t="s">
        <v>107</v>
      </c>
      <c r="H91" s="1" t="s">
        <v>21</v>
      </c>
      <c r="I91" s="1">
        <v>52320159</v>
      </c>
      <c r="J91" s="2">
        <v>43299</v>
      </c>
      <c r="K91" s="1">
        <v>4121</v>
      </c>
      <c r="L91" s="1">
        <v>1226</v>
      </c>
      <c r="M91" s="1"/>
      <c r="N91" s="1"/>
      <c r="O91" s="1"/>
    </row>
    <row r="92" spans="1:15" x14ac:dyDescent="0.25">
      <c r="A92" s="1">
        <v>507</v>
      </c>
      <c r="B92" s="1" t="s">
        <v>143</v>
      </c>
      <c r="C92" s="1" t="s">
        <v>16</v>
      </c>
      <c r="D92" s="1" t="s">
        <v>1093</v>
      </c>
      <c r="E92" s="1" t="s">
        <v>17</v>
      </c>
      <c r="F92" s="1" t="s">
        <v>18</v>
      </c>
      <c r="G92" s="1" t="s">
        <v>44</v>
      </c>
      <c r="H92" s="1" t="s">
        <v>45</v>
      </c>
      <c r="I92" s="1">
        <v>62507943</v>
      </c>
      <c r="J92" s="2">
        <v>43313</v>
      </c>
      <c r="K92" s="1">
        <v>4423</v>
      </c>
      <c r="L92" s="1">
        <v>1315.84</v>
      </c>
      <c r="M92" s="1"/>
      <c r="N92" s="1"/>
      <c r="O92" s="1"/>
    </row>
    <row r="93" spans="1:15" x14ac:dyDescent="0.25">
      <c r="A93" s="1">
        <v>508</v>
      </c>
      <c r="B93" s="1" t="s">
        <v>146</v>
      </c>
      <c r="C93" s="1" t="s">
        <v>16</v>
      </c>
      <c r="D93" s="1" t="s">
        <v>140</v>
      </c>
      <c r="E93" s="1" t="s">
        <v>17</v>
      </c>
      <c r="F93" s="1" t="s">
        <v>18</v>
      </c>
      <c r="G93" s="1" t="s">
        <v>107</v>
      </c>
      <c r="H93" s="1" t="s">
        <v>21</v>
      </c>
      <c r="I93" s="1">
        <v>49692792</v>
      </c>
      <c r="J93" s="2">
        <v>43435</v>
      </c>
      <c r="K93" s="1">
        <v>4121</v>
      </c>
      <c r="L93" s="1">
        <v>1226</v>
      </c>
      <c r="M93" s="1"/>
      <c r="N93" s="1"/>
      <c r="O93" s="1"/>
    </row>
    <row r="94" spans="1:15" x14ac:dyDescent="0.25">
      <c r="A94" s="1">
        <v>509</v>
      </c>
      <c r="B94" s="1" t="s">
        <v>147</v>
      </c>
      <c r="C94" s="1" t="s">
        <v>25</v>
      </c>
      <c r="D94" s="1" t="s">
        <v>1105</v>
      </c>
      <c r="E94" s="1" t="s">
        <v>26</v>
      </c>
      <c r="F94" s="1" t="s">
        <v>18</v>
      </c>
      <c r="G94" s="1" t="s">
        <v>19</v>
      </c>
      <c r="H94" s="1" t="s">
        <v>21</v>
      </c>
      <c r="I94" s="1">
        <v>64483313</v>
      </c>
      <c r="J94" s="2">
        <v>43191</v>
      </c>
      <c r="K94" s="1">
        <v>4121</v>
      </c>
      <c r="L94" s="1">
        <v>1226</v>
      </c>
      <c r="M94" s="1"/>
      <c r="N94" s="1"/>
      <c r="O94" s="1"/>
    </row>
    <row r="95" spans="1:15" x14ac:dyDescent="0.25">
      <c r="A95" s="1">
        <v>510</v>
      </c>
      <c r="B95" s="1" t="s">
        <v>148</v>
      </c>
      <c r="C95" s="1" t="s">
        <v>16</v>
      </c>
      <c r="D95" s="1" t="s">
        <v>422</v>
      </c>
      <c r="E95" s="1" t="s">
        <v>17</v>
      </c>
      <c r="F95" s="1" t="s">
        <v>18</v>
      </c>
      <c r="G95" s="1" t="s">
        <v>19</v>
      </c>
      <c r="H95" s="1" t="s">
        <v>21</v>
      </c>
      <c r="I95" s="1">
        <v>61280842</v>
      </c>
      <c r="J95" s="2">
        <v>43435</v>
      </c>
      <c r="K95" s="1">
        <v>4121</v>
      </c>
      <c r="L95" s="1">
        <v>1226</v>
      </c>
      <c r="M95" s="1"/>
      <c r="N95" s="1"/>
      <c r="O95" s="1"/>
    </row>
    <row r="96" spans="1:15" x14ac:dyDescent="0.25">
      <c r="A96" s="1">
        <v>511</v>
      </c>
      <c r="B96" s="1" t="s">
        <v>149</v>
      </c>
      <c r="C96" s="1" t="s">
        <v>16</v>
      </c>
      <c r="D96" s="1" t="s">
        <v>1111</v>
      </c>
      <c r="E96" s="1" t="s">
        <v>17</v>
      </c>
      <c r="F96" s="1" t="s">
        <v>18</v>
      </c>
      <c r="G96" s="1" t="s">
        <v>150</v>
      </c>
      <c r="H96" s="1" t="s">
        <v>45</v>
      </c>
      <c r="I96" s="1">
        <v>15860054</v>
      </c>
      <c r="J96" s="2">
        <v>43392</v>
      </c>
      <c r="K96" s="1">
        <v>4423</v>
      </c>
      <c r="L96" s="1">
        <v>1315.84</v>
      </c>
      <c r="M96" s="1"/>
      <c r="N96" s="1"/>
      <c r="O96" s="1"/>
    </row>
    <row r="97" spans="1:15" x14ac:dyDescent="0.25">
      <c r="A97" s="1">
        <v>512</v>
      </c>
      <c r="B97" s="1" t="s">
        <v>151</v>
      </c>
      <c r="C97" s="1" t="s">
        <v>96</v>
      </c>
      <c r="D97" s="1" t="s">
        <v>1117</v>
      </c>
      <c r="E97" s="1" t="s">
        <v>17</v>
      </c>
      <c r="F97" s="1" t="s">
        <v>18</v>
      </c>
      <c r="G97" s="1" t="s">
        <v>152</v>
      </c>
      <c r="H97" s="1" t="s">
        <v>45</v>
      </c>
      <c r="I97" s="1">
        <v>77668725</v>
      </c>
      <c r="J97" s="2">
        <v>43831</v>
      </c>
      <c r="K97" s="1">
        <v>4423</v>
      </c>
      <c r="L97" s="1">
        <v>1315.84</v>
      </c>
      <c r="M97" s="1"/>
      <c r="N97" s="1"/>
      <c r="O97" s="1"/>
    </row>
    <row r="98" spans="1:15" x14ac:dyDescent="0.25">
      <c r="A98" s="1">
        <v>513</v>
      </c>
      <c r="B98" s="1" t="s">
        <v>153</v>
      </c>
      <c r="C98" s="1" t="s">
        <v>16</v>
      </c>
      <c r="D98" s="1" t="s">
        <v>277</v>
      </c>
      <c r="E98" s="1" t="s">
        <v>17</v>
      </c>
      <c r="F98" s="1" t="s">
        <v>18</v>
      </c>
      <c r="G98" s="1" t="s">
        <v>154</v>
      </c>
      <c r="H98" s="1" t="s">
        <v>45</v>
      </c>
      <c r="I98" s="1">
        <v>78957713</v>
      </c>
      <c r="J98" s="2">
        <v>44013</v>
      </c>
      <c r="K98" s="1">
        <v>4423</v>
      </c>
      <c r="L98" s="1">
        <v>1315.84</v>
      </c>
      <c r="M98" s="1"/>
      <c r="N98" s="1"/>
      <c r="O98" s="1"/>
    </row>
    <row r="99" spans="1:15" x14ac:dyDescent="0.25">
      <c r="A99" s="1">
        <v>531</v>
      </c>
      <c r="B99" s="1" t="s">
        <v>157</v>
      </c>
      <c r="C99" s="1" t="s">
        <v>16</v>
      </c>
      <c r="D99" s="1" t="s">
        <v>616</v>
      </c>
      <c r="E99" s="1" t="s">
        <v>17</v>
      </c>
      <c r="F99" s="1" t="s">
        <v>18</v>
      </c>
      <c r="G99" s="1" t="s">
        <v>64</v>
      </c>
      <c r="H99" s="1" t="s">
        <v>45</v>
      </c>
      <c r="I99" s="1">
        <v>64768352</v>
      </c>
      <c r="J99" s="2">
        <v>44013</v>
      </c>
      <c r="K99" s="1">
        <v>4423</v>
      </c>
      <c r="L99" s="1">
        <v>1315.84</v>
      </c>
      <c r="M99" s="1"/>
      <c r="N99" s="1"/>
      <c r="O99" s="1"/>
    </row>
    <row r="100" spans="1:15" x14ac:dyDescent="0.25">
      <c r="A100" s="1">
        <v>532</v>
      </c>
      <c r="B100" s="1" t="s">
        <v>158</v>
      </c>
      <c r="C100" s="1" t="s">
        <v>25</v>
      </c>
      <c r="D100" s="1" t="s">
        <v>1105</v>
      </c>
      <c r="E100" s="1" t="s">
        <v>26</v>
      </c>
      <c r="F100" s="1" t="s">
        <v>18</v>
      </c>
      <c r="G100" s="1" t="s">
        <v>19</v>
      </c>
      <c r="H100" s="1" t="s">
        <v>21</v>
      </c>
      <c r="I100" s="1">
        <v>61354577</v>
      </c>
      <c r="J100" s="2">
        <v>43831</v>
      </c>
      <c r="K100" s="1">
        <v>4121</v>
      </c>
      <c r="L100" s="1">
        <v>1226</v>
      </c>
      <c r="M100" s="1"/>
      <c r="N100" s="1"/>
      <c r="O100" s="1"/>
    </row>
    <row r="101" spans="1:15" x14ac:dyDescent="0.25">
      <c r="A101" s="1">
        <v>539</v>
      </c>
      <c r="B101" s="1" t="s">
        <v>159</v>
      </c>
      <c r="C101" s="1" t="s">
        <v>16</v>
      </c>
      <c r="D101" s="1" t="s">
        <v>1226</v>
      </c>
      <c r="E101" s="1" t="s">
        <v>17</v>
      </c>
      <c r="F101" s="1" t="s">
        <v>18</v>
      </c>
      <c r="G101" s="1" t="s">
        <v>19</v>
      </c>
      <c r="H101" s="1" t="s">
        <v>21</v>
      </c>
      <c r="I101" s="1">
        <v>61252378</v>
      </c>
      <c r="J101" s="2">
        <v>42836</v>
      </c>
      <c r="K101" s="1">
        <v>4110</v>
      </c>
      <c r="L101" s="1">
        <v>1222.73</v>
      </c>
      <c r="M101" s="1"/>
      <c r="N101" s="1"/>
      <c r="O101" s="1"/>
    </row>
    <row r="102" spans="1:15" x14ac:dyDescent="0.25">
      <c r="A102" s="1">
        <v>540</v>
      </c>
      <c r="B102" s="1" t="s">
        <v>160</v>
      </c>
      <c r="C102" s="1" t="s">
        <v>16</v>
      </c>
      <c r="D102" s="1" t="s">
        <v>1226</v>
      </c>
      <c r="E102" s="1" t="s">
        <v>17</v>
      </c>
      <c r="F102" s="1" t="s">
        <v>18</v>
      </c>
      <c r="G102" s="1" t="s">
        <v>19</v>
      </c>
      <c r="H102" s="1" t="s">
        <v>21</v>
      </c>
      <c r="I102" s="1">
        <v>68397985</v>
      </c>
      <c r="J102" s="2">
        <v>41730</v>
      </c>
      <c r="K102" s="1">
        <v>4110</v>
      </c>
      <c r="L102" s="1">
        <v>1222.73</v>
      </c>
      <c r="M102" s="1"/>
      <c r="N102" s="1"/>
      <c r="O102" s="1"/>
    </row>
    <row r="103" spans="1:15" x14ac:dyDescent="0.25">
      <c r="A103" s="1">
        <v>542</v>
      </c>
      <c r="B103" s="1" t="s">
        <v>161</v>
      </c>
      <c r="C103" s="1" t="s">
        <v>16</v>
      </c>
      <c r="D103" s="1" t="s">
        <v>140</v>
      </c>
      <c r="E103" s="1" t="s">
        <v>17</v>
      </c>
      <c r="F103" s="1" t="s">
        <v>18</v>
      </c>
      <c r="G103" s="1" t="s">
        <v>19</v>
      </c>
      <c r="H103" s="1" t="s">
        <v>21</v>
      </c>
      <c r="I103" s="1">
        <v>43352699</v>
      </c>
      <c r="J103" s="2">
        <v>42818</v>
      </c>
      <c r="K103" s="1">
        <v>4121</v>
      </c>
      <c r="L103" s="1">
        <v>1226</v>
      </c>
      <c r="M103" s="1"/>
      <c r="N103" s="1"/>
      <c r="O103" s="1"/>
    </row>
    <row r="104" spans="1:15" x14ac:dyDescent="0.25">
      <c r="A104" s="1">
        <v>545</v>
      </c>
      <c r="B104" s="1" t="s">
        <v>162</v>
      </c>
      <c r="C104" s="1" t="s">
        <v>16</v>
      </c>
      <c r="D104" s="1" t="s">
        <v>1126</v>
      </c>
      <c r="E104" s="1" t="s">
        <v>17</v>
      </c>
      <c r="F104" s="1" t="s">
        <v>18</v>
      </c>
      <c r="G104" s="1" t="s">
        <v>163</v>
      </c>
      <c r="H104" s="1" t="s">
        <v>21</v>
      </c>
      <c r="I104" s="1">
        <v>59338517</v>
      </c>
      <c r="J104" s="2">
        <v>44013</v>
      </c>
      <c r="K104" s="1">
        <v>4423</v>
      </c>
      <c r="L104" s="1">
        <v>1315.84</v>
      </c>
      <c r="M104" s="1"/>
      <c r="N104" s="1"/>
      <c r="O104" s="1"/>
    </row>
    <row r="105" spans="1:15" x14ac:dyDescent="0.25">
      <c r="A105" s="1">
        <v>546</v>
      </c>
      <c r="B105" s="1" t="s">
        <v>165</v>
      </c>
      <c r="C105" s="1" t="s">
        <v>16</v>
      </c>
      <c r="D105" s="1" t="s">
        <v>1208</v>
      </c>
      <c r="E105" s="1" t="s">
        <v>17</v>
      </c>
      <c r="F105" s="1" t="s">
        <v>18</v>
      </c>
      <c r="G105" s="1" t="s">
        <v>64</v>
      </c>
      <c r="H105" s="1" t="s">
        <v>21</v>
      </c>
      <c r="I105" s="1">
        <v>76271949</v>
      </c>
      <c r="J105" s="2">
        <v>45931</v>
      </c>
      <c r="K105" s="1">
        <v>4423</v>
      </c>
      <c r="L105" s="1">
        <v>1315.84</v>
      </c>
      <c r="M105" s="1"/>
      <c r="N105" s="1"/>
      <c r="O105" s="1"/>
    </row>
    <row r="106" spans="1:15" x14ac:dyDescent="0.25">
      <c r="A106" s="1">
        <v>550</v>
      </c>
      <c r="B106" s="1" t="s">
        <v>167</v>
      </c>
      <c r="C106" s="1" t="s">
        <v>16</v>
      </c>
      <c r="D106" s="1" t="s">
        <v>1111</v>
      </c>
      <c r="E106" s="1" t="s">
        <v>17</v>
      </c>
      <c r="F106" s="1" t="s">
        <v>18</v>
      </c>
      <c r="G106" s="1" t="s">
        <v>150</v>
      </c>
      <c r="H106" s="1" t="s">
        <v>21</v>
      </c>
      <c r="I106" s="1">
        <v>0</v>
      </c>
      <c r="J106" s="2">
        <v>2</v>
      </c>
      <c r="K106" s="1">
        <v>0</v>
      </c>
      <c r="L106" s="1">
        <v>0</v>
      </c>
      <c r="M106" s="1"/>
      <c r="N106" s="1"/>
      <c r="O106" s="1"/>
    </row>
    <row r="107" spans="1:15" x14ac:dyDescent="0.25">
      <c r="A107" s="1">
        <v>556</v>
      </c>
      <c r="B107" s="1" t="s">
        <v>168</v>
      </c>
      <c r="C107" s="1" t="s">
        <v>25</v>
      </c>
      <c r="D107" s="1" t="s">
        <v>1105</v>
      </c>
      <c r="E107" s="1" t="s">
        <v>26</v>
      </c>
      <c r="F107" s="1" t="s">
        <v>18</v>
      </c>
      <c r="G107" s="1" t="s">
        <v>107</v>
      </c>
      <c r="H107" s="1" t="s">
        <v>21</v>
      </c>
      <c r="I107" s="1">
        <v>23236891</v>
      </c>
      <c r="J107" s="2">
        <v>44593</v>
      </c>
      <c r="K107" s="1">
        <v>4121</v>
      </c>
      <c r="L107" s="1">
        <v>1226</v>
      </c>
      <c r="M107" s="1"/>
      <c r="N107" s="1"/>
      <c r="O107" s="1"/>
    </row>
    <row r="108" spans="1:15" x14ac:dyDescent="0.25">
      <c r="A108" s="1">
        <v>557</v>
      </c>
      <c r="B108" s="1" t="s">
        <v>169</v>
      </c>
      <c r="C108" s="1" t="s">
        <v>16</v>
      </c>
      <c r="D108" s="1" t="s">
        <v>172</v>
      </c>
      <c r="E108" s="1" t="s">
        <v>17</v>
      </c>
      <c r="F108" s="1" t="s">
        <v>18</v>
      </c>
      <c r="G108" s="1" t="s">
        <v>107</v>
      </c>
      <c r="H108" s="1" t="s">
        <v>21</v>
      </c>
      <c r="I108" s="1">
        <v>70950192</v>
      </c>
      <c r="J108" s="2">
        <v>44341</v>
      </c>
      <c r="K108" s="1">
        <v>2693</v>
      </c>
      <c r="L108" s="1">
        <v>801.17</v>
      </c>
      <c r="M108" s="1"/>
      <c r="N108" s="1"/>
      <c r="O108" s="1"/>
    </row>
    <row r="109" spans="1:15" x14ac:dyDescent="0.25">
      <c r="A109" s="1">
        <v>558</v>
      </c>
      <c r="B109" s="1" t="s">
        <v>171</v>
      </c>
      <c r="C109" s="1" t="s">
        <v>16</v>
      </c>
      <c r="D109" s="1" t="s">
        <v>172</v>
      </c>
      <c r="E109" s="1" t="s">
        <v>17</v>
      </c>
      <c r="F109" s="1" t="s">
        <v>18</v>
      </c>
      <c r="G109" s="1" t="s">
        <v>107</v>
      </c>
      <c r="H109" s="1" t="s">
        <v>21</v>
      </c>
      <c r="I109" s="1">
        <v>66764722</v>
      </c>
      <c r="J109" s="2">
        <v>44287</v>
      </c>
      <c r="K109" s="1">
        <v>4100</v>
      </c>
      <c r="L109" s="1">
        <v>1219.75</v>
      </c>
      <c r="M109" s="1"/>
      <c r="N109" s="1"/>
      <c r="O109" s="1"/>
    </row>
    <row r="110" spans="1:15" x14ac:dyDescent="0.25">
      <c r="A110" s="1">
        <v>562</v>
      </c>
      <c r="B110" s="1" t="s">
        <v>173</v>
      </c>
      <c r="C110" s="1" t="s">
        <v>16</v>
      </c>
      <c r="D110" s="1" t="s">
        <v>172</v>
      </c>
      <c r="E110" s="1" t="s">
        <v>17</v>
      </c>
      <c r="F110" s="1" t="s">
        <v>18</v>
      </c>
      <c r="G110" s="1" t="s">
        <v>174</v>
      </c>
      <c r="H110" s="1" t="s">
        <v>45</v>
      </c>
      <c r="I110" s="1">
        <v>50671839</v>
      </c>
      <c r="J110" s="2">
        <v>44635</v>
      </c>
      <c r="K110" s="1">
        <v>4100</v>
      </c>
      <c r="L110" s="1">
        <v>1219.75</v>
      </c>
      <c r="M110" s="1"/>
      <c r="N110" s="1"/>
      <c r="O110" s="1"/>
    </row>
    <row r="111" spans="1:15" x14ac:dyDescent="0.25">
      <c r="A111" s="1">
        <v>571</v>
      </c>
      <c r="B111" s="1" t="s">
        <v>175</v>
      </c>
      <c r="C111" s="1" t="s">
        <v>16</v>
      </c>
      <c r="D111" s="1" t="s">
        <v>172</v>
      </c>
      <c r="E111" s="1" t="s">
        <v>17</v>
      </c>
      <c r="F111" s="1" t="s">
        <v>18</v>
      </c>
      <c r="G111" s="1" t="s">
        <v>107</v>
      </c>
      <c r="H111" s="1"/>
      <c r="I111" s="1">
        <v>0</v>
      </c>
      <c r="J111" s="2">
        <v>45945</v>
      </c>
      <c r="K111" s="1">
        <v>0</v>
      </c>
      <c r="L111" s="1">
        <v>0</v>
      </c>
      <c r="M111" s="1"/>
      <c r="N111" s="1"/>
      <c r="O111" s="1"/>
    </row>
    <row r="112" spans="1:15" x14ac:dyDescent="0.25">
      <c r="A112" s="1">
        <v>606</v>
      </c>
      <c r="B112" s="1" t="s">
        <v>176</v>
      </c>
      <c r="C112" s="1" t="s">
        <v>25</v>
      </c>
      <c r="D112" s="1" t="s">
        <v>441</v>
      </c>
      <c r="E112" s="1" t="s">
        <v>26</v>
      </c>
      <c r="F112" s="1" t="s">
        <v>18</v>
      </c>
      <c r="G112" s="1" t="s">
        <v>19</v>
      </c>
      <c r="H112" s="1" t="s">
        <v>21</v>
      </c>
      <c r="I112" s="1">
        <v>55559450</v>
      </c>
      <c r="J112" s="2">
        <v>43230</v>
      </c>
      <c r="K112" s="1">
        <v>4121</v>
      </c>
      <c r="L112" s="1">
        <v>1226</v>
      </c>
      <c r="M112" s="1"/>
      <c r="N112" s="1"/>
      <c r="O112" s="1"/>
    </row>
    <row r="113" spans="1:15" x14ac:dyDescent="0.25">
      <c r="A113" s="1">
        <v>613</v>
      </c>
      <c r="B113" s="1" t="s">
        <v>177</v>
      </c>
      <c r="C113" s="1" t="s">
        <v>16</v>
      </c>
      <c r="D113" s="1" t="s">
        <v>416</v>
      </c>
      <c r="E113" s="1" t="s">
        <v>17</v>
      </c>
      <c r="F113" s="1" t="s">
        <v>18</v>
      </c>
      <c r="G113" s="1" t="s">
        <v>19</v>
      </c>
      <c r="H113" s="1" t="s">
        <v>21</v>
      </c>
      <c r="I113" s="1">
        <v>31702235</v>
      </c>
      <c r="J113" s="2">
        <v>43236</v>
      </c>
      <c r="K113" s="1">
        <v>4110</v>
      </c>
      <c r="L113" s="1">
        <v>1222.73</v>
      </c>
      <c r="M113" s="1"/>
      <c r="N113" s="1"/>
      <c r="O113" s="1"/>
    </row>
    <row r="114" spans="1:15" x14ac:dyDescent="0.25">
      <c r="A114" s="1">
        <v>615</v>
      </c>
      <c r="B114" s="1" t="s">
        <v>178</v>
      </c>
      <c r="C114" s="1" t="s">
        <v>16</v>
      </c>
      <c r="D114" s="1" t="s">
        <v>416</v>
      </c>
      <c r="E114" s="1" t="s">
        <v>17</v>
      </c>
      <c r="F114" s="1" t="s">
        <v>18</v>
      </c>
      <c r="G114" s="1" t="s">
        <v>19</v>
      </c>
      <c r="H114" s="1" t="s">
        <v>21</v>
      </c>
      <c r="I114" s="1">
        <v>75861906</v>
      </c>
      <c r="J114" s="2">
        <v>43313</v>
      </c>
      <c r="K114" s="1">
        <v>4115</v>
      </c>
      <c r="L114" s="1">
        <v>1224.21</v>
      </c>
      <c r="M114" s="1"/>
      <c r="N114" s="1"/>
      <c r="O114" s="1"/>
    </row>
    <row r="115" spans="1:15" x14ac:dyDescent="0.25">
      <c r="A115" s="1">
        <v>617</v>
      </c>
      <c r="B115" s="1" t="s">
        <v>179</v>
      </c>
      <c r="C115" s="1" t="s">
        <v>16</v>
      </c>
      <c r="D115" s="1" t="s">
        <v>1314</v>
      </c>
      <c r="E115" s="1" t="s">
        <v>17</v>
      </c>
      <c r="F115" s="1" t="s">
        <v>18</v>
      </c>
      <c r="G115" s="1" t="s">
        <v>156</v>
      </c>
      <c r="H115" s="1" t="s">
        <v>21</v>
      </c>
      <c r="I115" s="1">
        <v>75596501</v>
      </c>
      <c r="J115" s="2">
        <v>43313</v>
      </c>
      <c r="K115" s="1">
        <v>4110</v>
      </c>
      <c r="L115" s="1">
        <v>1222.73</v>
      </c>
      <c r="M115" s="1"/>
      <c r="N115" s="1"/>
      <c r="O115" s="1"/>
    </row>
    <row r="116" spans="1:15" x14ac:dyDescent="0.25">
      <c r="A116" s="1">
        <v>620</v>
      </c>
      <c r="B116" s="1" t="s">
        <v>181</v>
      </c>
      <c r="C116" s="1" t="s">
        <v>16</v>
      </c>
      <c r="D116" s="1" t="s">
        <v>577</v>
      </c>
      <c r="E116" s="1" t="s">
        <v>17</v>
      </c>
      <c r="F116" s="1" t="s">
        <v>18</v>
      </c>
      <c r="G116" s="1" t="s">
        <v>54</v>
      </c>
      <c r="H116" s="1" t="s">
        <v>21</v>
      </c>
      <c r="I116" s="1">
        <v>65720703</v>
      </c>
      <c r="J116" s="2">
        <v>42818</v>
      </c>
      <c r="K116" s="1">
        <v>4115</v>
      </c>
      <c r="L116" s="1">
        <v>1224.21</v>
      </c>
      <c r="M116" s="1"/>
      <c r="N116" s="1"/>
      <c r="O116" s="1"/>
    </row>
    <row r="117" spans="1:15" x14ac:dyDescent="0.25">
      <c r="A117" s="1">
        <v>621</v>
      </c>
      <c r="B117" s="1" t="s">
        <v>182</v>
      </c>
      <c r="C117" s="1" t="s">
        <v>16</v>
      </c>
      <c r="D117" s="1" t="s">
        <v>577</v>
      </c>
      <c r="E117" s="1" t="s">
        <v>17</v>
      </c>
      <c r="F117" s="1" t="s">
        <v>18</v>
      </c>
      <c r="G117" s="1" t="s">
        <v>54</v>
      </c>
      <c r="H117" s="1" t="s">
        <v>21</v>
      </c>
      <c r="I117" s="1">
        <v>74521976</v>
      </c>
      <c r="J117" s="2">
        <v>45931</v>
      </c>
      <c r="K117" s="1">
        <v>4115</v>
      </c>
      <c r="L117" s="1">
        <v>1224.21</v>
      </c>
      <c r="M117" s="1"/>
      <c r="N117" s="1"/>
      <c r="O117" s="1"/>
    </row>
    <row r="118" spans="1:15" x14ac:dyDescent="0.25">
      <c r="A118" s="1">
        <v>622</v>
      </c>
      <c r="B118" s="1" t="s">
        <v>183</v>
      </c>
      <c r="C118" s="1" t="s">
        <v>16</v>
      </c>
      <c r="D118" s="1" t="s">
        <v>1334</v>
      </c>
      <c r="E118" s="1" t="s">
        <v>17</v>
      </c>
      <c r="F118" s="1" t="s">
        <v>18</v>
      </c>
      <c r="G118" s="1" t="s">
        <v>107</v>
      </c>
      <c r="H118" s="1" t="s">
        <v>21</v>
      </c>
      <c r="I118" s="1">
        <v>51342519</v>
      </c>
      <c r="J118" s="2">
        <v>45931</v>
      </c>
      <c r="K118" s="1">
        <v>4100</v>
      </c>
      <c r="L118" s="1">
        <v>1219.75</v>
      </c>
      <c r="M118" s="1"/>
      <c r="N118" s="1"/>
      <c r="O118" s="1"/>
    </row>
    <row r="119" spans="1:15" x14ac:dyDescent="0.25">
      <c r="A119" s="1">
        <v>623</v>
      </c>
      <c r="B119" s="1" t="s">
        <v>185</v>
      </c>
      <c r="C119" s="1" t="s">
        <v>16</v>
      </c>
      <c r="D119" s="1" t="s">
        <v>188</v>
      </c>
      <c r="E119" s="1" t="s">
        <v>17</v>
      </c>
      <c r="F119" s="1" t="s">
        <v>18</v>
      </c>
      <c r="G119" s="1" t="s">
        <v>107</v>
      </c>
      <c r="H119" s="1" t="s">
        <v>21</v>
      </c>
      <c r="I119" s="1">
        <v>20479659</v>
      </c>
      <c r="J119" s="2">
        <v>45931</v>
      </c>
      <c r="K119" s="1">
        <v>4115</v>
      </c>
      <c r="L119" s="1">
        <v>1224.21</v>
      </c>
      <c r="M119" s="1"/>
      <c r="N119" s="1"/>
      <c r="O119" s="1"/>
    </row>
    <row r="120" spans="1:15" x14ac:dyDescent="0.25">
      <c r="A120" s="1">
        <v>624</v>
      </c>
      <c r="B120" s="1" t="s">
        <v>187</v>
      </c>
      <c r="C120" s="1" t="s">
        <v>16</v>
      </c>
      <c r="D120" s="1" t="s">
        <v>188</v>
      </c>
      <c r="E120" s="1" t="s">
        <v>17</v>
      </c>
      <c r="F120" s="1" t="s">
        <v>18</v>
      </c>
      <c r="G120" s="1" t="s">
        <v>107</v>
      </c>
      <c r="H120" s="1" t="s">
        <v>21</v>
      </c>
      <c r="I120" s="1">
        <v>48341519</v>
      </c>
      <c r="J120" s="2">
        <v>45931</v>
      </c>
      <c r="K120" s="1">
        <v>4115</v>
      </c>
      <c r="L120" s="1">
        <v>1224.21</v>
      </c>
      <c r="M120" s="1"/>
      <c r="N120" s="1"/>
      <c r="O120" s="1"/>
    </row>
    <row r="121" spans="1:15" x14ac:dyDescent="0.25">
      <c r="A121" s="1">
        <v>628</v>
      </c>
      <c r="B121" s="1" t="s">
        <v>189</v>
      </c>
      <c r="C121" s="1" t="s">
        <v>25</v>
      </c>
      <c r="D121" s="1" t="s">
        <v>1105</v>
      </c>
      <c r="E121" s="1" t="s">
        <v>26</v>
      </c>
      <c r="F121" s="1" t="s">
        <v>18</v>
      </c>
      <c r="G121" s="1" t="s">
        <v>19</v>
      </c>
      <c r="H121" s="1" t="s">
        <v>21</v>
      </c>
      <c r="I121" s="1">
        <v>57980177</v>
      </c>
      <c r="J121" s="2">
        <v>43605</v>
      </c>
      <c r="K121" s="1">
        <v>4121</v>
      </c>
      <c r="L121" s="1">
        <v>1226</v>
      </c>
      <c r="M121" s="1"/>
      <c r="N121" s="1"/>
      <c r="O121" s="1"/>
    </row>
    <row r="122" spans="1:15" x14ac:dyDescent="0.25">
      <c r="A122" s="1">
        <v>631</v>
      </c>
      <c r="B122" s="1" t="s">
        <v>190</v>
      </c>
      <c r="C122" s="1" t="s">
        <v>16</v>
      </c>
      <c r="D122" s="1" t="s">
        <v>434</v>
      </c>
      <c r="E122" s="1" t="s">
        <v>17</v>
      </c>
      <c r="F122" s="1" t="s">
        <v>18</v>
      </c>
      <c r="G122" s="1" t="s">
        <v>19</v>
      </c>
      <c r="H122" s="1" t="s">
        <v>21</v>
      </c>
      <c r="I122" s="1">
        <v>73581029</v>
      </c>
      <c r="J122" s="2">
        <v>43595</v>
      </c>
      <c r="K122" s="1">
        <v>4115</v>
      </c>
      <c r="L122" s="1">
        <v>1224.21</v>
      </c>
      <c r="M122" s="1"/>
      <c r="N122" s="1"/>
      <c r="O122" s="1"/>
    </row>
    <row r="123" spans="1:15" x14ac:dyDescent="0.25">
      <c r="A123" s="1">
        <v>632</v>
      </c>
      <c r="B123" s="1" t="s">
        <v>191</v>
      </c>
      <c r="C123" s="1" t="s">
        <v>16</v>
      </c>
      <c r="D123" s="1" t="s">
        <v>1369</v>
      </c>
      <c r="E123" s="1" t="s">
        <v>17</v>
      </c>
      <c r="F123" s="1" t="s">
        <v>18</v>
      </c>
      <c r="G123" s="1" t="s">
        <v>19</v>
      </c>
      <c r="H123" s="1" t="s">
        <v>21</v>
      </c>
      <c r="I123" s="1">
        <v>62684578</v>
      </c>
      <c r="J123" s="2">
        <v>43005</v>
      </c>
      <c r="K123" s="1">
        <v>4121</v>
      </c>
      <c r="L123" s="1">
        <v>1226</v>
      </c>
      <c r="M123" s="1"/>
      <c r="N123" s="1"/>
      <c r="O123" s="1"/>
    </row>
    <row r="124" spans="1:15" x14ac:dyDescent="0.25">
      <c r="A124" s="1">
        <v>633</v>
      </c>
      <c r="B124" s="1" t="s">
        <v>192</v>
      </c>
      <c r="C124" s="1" t="s">
        <v>16</v>
      </c>
      <c r="D124" s="1" t="s">
        <v>1369</v>
      </c>
      <c r="E124" s="1" t="s">
        <v>17</v>
      </c>
      <c r="F124" s="1" t="s">
        <v>18</v>
      </c>
      <c r="G124" s="1" t="s">
        <v>19</v>
      </c>
      <c r="H124" s="1" t="s">
        <v>21</v>
      </c>
      <c r="I124" s="1">
        <v>50394275</v>
      </c>
      <c r="J124" s="2">
        <v>43647</v>
      </c>
      <c r="K124" s="1">
        <v>4121</v>
      </c>
      <c r="L124" s="1">
        <v>1226</v>
      </c>
      <c r="M124" s="1"/>
      <c r="N124" s="1"/>
      <c r="O124" s="1"/>
    </row>
    <row r="125" spans="1:15" x14ac:dyDescent="0.25">
      <c r="A125" s="1">
        <v>634</v>
      </c>
      <c r="B125" s="1" t="s">
        <v>193</v>
      </c>
      <c r="C125" s="1" t="s">
        <v>16</v>
      </c>
      <c r="D125" s="1" t="s">
        <v>422</v>
      </c>
      <c r="E125" s="1" t="s">
        <v>17</v>
      </c>
      <c r="F125" s="1" t="s">
        <v>18</v>
      </c>
      <c r="G125" s="1" t="s">
        <v>19</v>
      </c>
      <c r="H125" s="1" t="s">
        <v>21</v>
      </c>
      <c r="I125" s="1">
        <v>14652312</v>
      </c>
      <c r="J125" s="2">
        <v>42594</v>
      </c>
      <c r="K125" s="1">
        <v>4121</v>
      </c>
      <c r="L125" s="1">
        <v>1226</v>
      </c>
      <c r="M125" s="1"/>
      <c r="N125" s="1"/>
      <c r="O125" s="1"/>
    </row>
    <row r="126" spans="1:15" x14ac:dyDescent="0.25">
      <c r="A126" s="1">
        <v>635</v>
      </c>
      <c r="B126" s="1" t="s">
        <v>194</v>
      </c>
      <c r="C126" s="1" t="s">
        <v>16</v>
      </c>
      <c r="D126" s="1" t="s">
        <v>782</v>
      </c>
      <c r="E126" s="1" t="s">
        <v>17</v>
      </c>
      <c r="F126" s="1" t="s">
        <v>18</v>
      </c>
      <c r="G126" s="1" t="s">
        <v>19</v>
      </c>
      <c r="H126" s="1" t="s">
        <v>21</v>
      </c>
      <c r="I126" s="1">
        <v>76384862</v>
      </c>
      <c r="J126" s="2">
        <v>43647</v>
      </c>
      <c r="K126" s="1">
        <v>4121</v>
      </c>
      <c r="L126" s="1">
        <v>1226</v>
      </c>
      <c r="M126" s="1"/>
      <c r="N126" s="1"/>
      <c r="O126" s="1"/>
    </row>
    <row r="127" spans="1:15" x14ac:dyDescent="0.25">
      <c r="A127" s="1">
        <v>636</v>
      </c>
      <c r="B127" s="1" t="s">
        <v>195</v>
      </c>
      <c r="C127" s="1" t="s">
        <v>16</v>
      </c>
      <c r="D127" s="1" t="s">
        <v>1369</v>
      </c>
      <c r="E127" s="1" t="s">
        <v>17</v>
      </c>
      <c r="F127" s="1" t="s">
        <v>18</v>
      </c>
      <c r="G127" s="1" t="s">
        <v>19</v>
      </c>
      <c r="H127" s="1" t="s">
        <v>21</v>
      </c>
      <c r="I127" s="1">
        <v>48420727</v>
      </c>
      <c r="J127" s="2">
        <v>43435</v>
      </c>
      <c r="K127" s="1">
        <v>4121</v>
      </c>
      <c r="L127" s="1">
        <v>1226</v>
      </c>
      <c r="M127" s="1"/>
      <c r="N127" s="1"/>
      <c r="O127" s="1"/>
    </row>
    <row r="128" spans="1:15" x14ac:dyDescent="0.25">
      <c r="A128" s="1">
        <v>638</v>
      </c>
      <c r="B128" s="1" t="s">
        <v>196</v>
      </c>
      <c r="C128" s="1" t="s">
        <v>16</v>
      </c>
      <c r="D128" s="1" t="s">
        <v>1226</v>
      </c>
      <c r="E128" s="1" t="s">
        <v>17</v>
      </c>
      <c r="F128" s="1" t="s">
        <v>18</v>
      </c>
      <c r="G128" s="1" t="s">
        <v>19</v>
      </c>
      <c r="H128" s="1" t="s">
        <v>21</v>
      </c>
      <c r="I128" s="1">
        <v>65318878</v>
      </c>
      <c r="J128" s="2">
        <v>43191</v>
      </c>
      <c r="K128" s="1">
        <v>4121</v>
      </c>
      <c r="L128" s="1">
        <v>1226</v>
      </c>
      <c r="M128" s="1"/>
      <c r="N128" s="1"/>
      <c r="O128" s="1"/>
    </row>
    <row r="129" spans="1:15" x14ac:dyDescent="0.25">
      <c r="A129" s="1">
        <v>639</v>
      </c>
      <c r="B129" s="1" t="s">
        <v>197</v>
      </c>
      <c r="C129" s="1" t="s">
        <v>16</v>
      </c>
      <c r="D129" s="1" t="s">
        <v>577</v>
      </c>
      <c r="E129" s="1" t="s">
        <v>17</v>
      </c>
      <c r="F129" s="1" t="s">
        <v>18</v>
      </c>
      <c r="G129" s="1" t="s">
        <v>54</v>
      </c>
      <c r="H129" s="1" t="s">
        <v>21</v>
      </c>
      <c r="I129" s="1">
        <v>74097214</v>
      </c>
      <c r="J129" s="2">
        <v>43656</v>
      </c>
      <c r="K129" s="1">
        <v>4115</v>
      </c>
      <c r="L129" s="1">
        <v>1224.21</v>
      </c>
      <c r="M129" s="1"/>
      <c r="N129" s="1"/>
      <c r="O129" s="1"/>
    </row>
    <row r="130" spans="1:15" x14ac:dyDescent="0.25">
      <c r="A130" s="1">
        <v>640</v>
      </c>
      <c r="B130" s="1" t="s">
        <v>198</v>
      </c>
      <c r="C130" s="1" t="s">
        <v>16</v>
      </c>
      <c r="D130" s="1" t="s">
        <v>577</v>
      </c>
      <c r="E130" s="1" t="s">
        <v>17</v>
      </c>
      <c r="F130" s="1" t="s">
        <v>18</v>
      </c>
      <c r="G130" s="1" t="s">
        <v>54</v>
      </c>
      <c r="H130" s="1" t="s">
        <v>21</v>
      </c>
      <c r="I130" s="1">
        <v>74838129</v>
      </c>
      <c r="J130" s="2">
        <v>43299</v>
      </c>
      <c r="K130" s="1">
        <v>4115</v>
      </c>
      <c r="L130" s="1">
        <v>1224.21</v>
      </c>
      <c r="M130" s="1"/>
      <c r="N130" s="1"/>
      <c r="O130" s="1"/>
    </row>
    <row r="131" spans="1:15" x14ac:dyDescent="0.25">
      <c r="A131" s="1">
        <v>643</v>
      </c>
      <c r="B131" s="1" t="s">
        <v>199</v>
      </c>
      <c r="C131" s="1" t="s">
        <v>16</v>
      </c>
      <c r="D131" s="1" t="s">
        <v>188</v>
      </c>
      <c r="E131" s="1" t="s">
        <v>17</v>
      </c>
      <c r="F131" s="1" t="s">
        <v>18</v>
      </c>
      <c r="G131" s="1" t="s">
        <v>107</v>
      </c>
      <c r="H131" s="1" t="s">
        <v>21</v>
      </c>
      <c r="I131" s="1">
        <v>10852329</v>
      </c>
      <c r="J131" s="2">
        <v>45931</v>
      </c>
      <c r="K131" s="1">
        <v>4115</v>
      </c>
      <c r="L131" s="1">
        <v>1224.21</v>
      </c>
      <c r="M131" s="1"/>
      <c r="N131" s="1"/>
      <c r="O131" s="1"/>
    </row>
    <row r="132" spans="1:15" x14ac:dyDescent="0.25">
      <c r="A132" s="1">
        <v>645</v>
      </c>
      <c r="B132" s="1" t="s">
        <v>201</v>
      </c>
      <c r="C132" s="1" t="s">
        <v>16</v>
      </c>
      <c r="D132" s="1" t="s">
        <v>188</v>
      </c>
      <c r="E132" s="1" t="s">
        <v>17</v>
      </c>
      <c r="F132" s="1" t="s">
        <v>18</v>
      </c>
      <c r="G132" s="1" t="s">
        <v>107</v>
      </c>
      <c r="H132" s="1" t="s">
        <v>21</v>
      </c>
      <c r="I132" s="1">
        <v>58378426</v>
      </c>
      <c r="J132" s="2">
        <v>45931</v>
      </c>
      <c r="K132" s="1">
        <v>4115</v>
      </c>
      <c r="L132" s="1">
        <v>1224.21</v>
      </c>
      <c r="M132" s="1"/>
      <c r="N132" s="1"/>
      <c r="O132" s="1"/>
    </row>
    <row r="133" spans="1:15" x14ac:dyDescent="0.25">
      <c r="A133" s="1">
        <v>646</v>
      </c>
      <c r="B133" s="1" t="s">
        <v>202</v>
      </c>
      <c r="C133" s="1" t="s">
        <v>16</v>
      </c>
      <c r="D133" s="1" t="s">
        <v>577</v>
      </c>
      <c r="E133" s="1" t="s">
        <v>17</v>
      </c>
      <c r="F133" s="1" t="s">
        <v>18</v>
      </c>
      <c r="G133" s="1" t="s">
        <v>54</v>
      </c>
      <c r="H133" s="1" t="s">
        <v>21</v>
      </c>
      <c r="I133" s="1">
        <v>54733155</v>
      </c>
      <c r="J133" s="2">
        <v>44378</v>
      </c>
      <c r="K133" s="1">
        <v>4115</v>
      </c>
      <c r="L133" s="1">
        <v>1224.21</v>
      </c>
      <c r="M133" s="1"/>
      <c r="N133" s="1"/>
      <c r="O133" s="1"/>
    </row>
    <row r="134" spans="1:15" x14ac:dyDescent="0.25">
      <c r="A134" s="1">
        <v>647</v>
      </c>
      <c r="B134" s="1" t="s">
        <v>203</v>
      </c>
      <c r="C134" s="1" t="s">
        <v>16</v>
      </c>
      <c r="D134" s="1" t="s">
        <v>1314</v>
      </c>
      <c r="E134" s="1" t="s">
        <v>17</v>
      </c>
      <c r="F134" s="1" t="s">
        <v>18</v>
      </c>
      <c r="G134" s="1" t="s">
        <v>156</v>
      </c>
      <c r="H134" s="1" t="s">
        <v>21</v>
      </c>
      <c r="I134" s="1">
        <v>12781395</v>
      </c>
      <c r="J134" s="2">
        <v>42677</v>
      </c>
      <c r="K134" s="1">
        <v>4110</v>
      </c>
      <c r="L134" s="1">
        <v>1222.73</v>
      </c>
      <c r="M134" s="1"/>
      <c r="N134" s="1"/>
      <c r="O134" s="1"/>
    </row>
    <row r="135" spans="1:15" x14ac:dyDescent="0.25">
      <c r="A135" s="1">
        <v>657</v>
      </c>
      <c r="B135" s="1" t="s">
        <v>204</v>
      </c>
      <c r="C135" s="1" t="s">
        <v>16</v>
      </c>
      <c r="D135" s="1" t="s">
        <v>1314</v>
      </c>
      <c r="E135" s="1" t="s">
        <v>17</v>
      </c>
      <c r="F135" s="1" t="s">
        <v>18</v>
      </c>
      <c r="G135" s="1" t="s">
        <v>156</v>
      </c>
      <c r="H135" s="1" t="s">
        <v>21</v>
      </c>
      <c r="I135" s="1">
        <v>59868789</v>
      </c>
      <c r="J135" s="2">
        <v>43678</v>
      </c>
      <c r="K135" s="1">
        <v>4110</v>
      </c>
      <c r="L135" s="1">
        <v>1222.73</v>
      </c>
      <c r="M135" s="1"/>
      <c r="N135" s="1"/>
      <c r="O135" s="1"/>
    </row>
    <row r="136" spans="1:15" x14ac:dyDescent="0.25">
      <c r="A136" s="1">
        <v>658</v>
      </c>
      <c r="B136" s="1" t="s">
        <v>206</v>
      </c>
      <c r="C136" s="1" t="s">
        <v>16</v>
      </c>
      <c r="D136" s="1" t="s">
        <v>434</v>
      </c>
      <c r="E136" s="1" t="s">
        <v>17</v>
      </c>
      <c r="F136" s="1" t="s">
        <v>18</v>
      </c>
      <c r="G136" s="1" t="s">
        <v>19</v>
      </c>
      <c r="H136" s="1" t="s">
        <v>21</v>
      </c>
      <c r="I136" s="1">
        <v>63702749</v>
      </c>
      <c r="J136" s="2">
        <v>43678</v>
      </c>
      <c r="K136" s="1">
        <v>4115</v>
      </c>
      <c r="L136" s="1">
        <v>1224.21</v>
      </c>
      <c r="M136" s="1"/>
      <c r="N136" s="1"/>
      <c r="O136" s="1"/>
    </row>
    <row r="137" spans="1:15" x14ac:dyDescent="0.25">
      <c r="A137" s="1">
        <v>663</v>
      </c>
      <c r="B137" s="1" t="s">
        <v>207</v>
      </c>
      <c r="C137" s="1" t="s">
        <v>16</v>
      </c>
      <c r="D137" s="1" t="s">
        <v>416</v>
      </c>
      <c r="E137" s="1" t="s">
        <v>17</v>
      </c>
      <c r="F137" s="1" t="s">
        <v>18</v>
      </c>
      <c r="G137" s="1" t="s">
        <v>19</v>
      </c>
      <c r="H137" s="1" t="s">
        <v>21</v>
      </c>
      <c r="I137" s="1">
        <v>63787293</v>
      </c>
      <c r="J137" s="2">
        <v>44013</v>
      </c>
      <c r="K137" s="1">
        <v>4110</v>
      </c>
      <c r="L137" s="1">
        <v>1222.73</v>
      </c>
      <c r="M137" s="1"/>
      <c r="N137" s="1"/>
      <c r="O137" s="1"/>
    </row>
    <row r="138" spans="1:15" x14ac:dyDescent="0.25">
      <c r="A138" s="1">
        <v>664</v>
      </c>
      <c r="B138" s="1" t="s">
        <v>208</v>
      </c>
      <c r="C138" s="1" t="s">
        <v>16</v>
      </c>
      <c r="D138" s="1" t="s">
        <v>434</v>
      </c>
      <c r="E138" s="1" t="s">
        <v>17</v>
      </c>
      <c r="F138" s="1" t="s">
        <v>18</v>
      </c>
      <c r="G138" s="1" t="s">
        <v>19</v>
      </c>
      <c r="H138" s="1" t="s">
        <v>45</v>
      </c>
      <c r="I138" s="1">
        <v>62479567</v>
      </c>
      <c r="J138" s="2">
        <v>44013</v>
      </c>
      <c r="K138" s="1">
        <v>4115</v>
      </c>
      <c r="L138" s="1">
        <v>1224.21</v>
      </c>
      <c r="M138" s="1"/>
      <c r="N138" s="1"/>
      <c r="O138" s="1"/>
    </row>
    <row r="139" spans="1:15" x14ac:dyDescent="0.25">
      <c r="A139" s="1">
        <v>666</v>
      </c>
      <c r="B139" s="1" t="s">
        <v>209</v>
      </c>
      <c r="C139" s="1" t="s">
        <v>16</v>
      </c>
      <c r="D139" s="1" t="s">
        <v>416</v>
      </c>
      <c r="E139" s="1" t="s">
        <v>17</v>
      </c>
      <c r="F139" s="1" t="s">
        <v>18</v>
      </c>
      <c r="G139" s="1" t="s">
        <v>19</v>
      </c>
      <c r="H139" s="1" t="s">
        <v>45</v>
      </c>
      <c r="I139" s="1">
        <v>51021712</v>
      </c>
      <c r="J139" s="2">
        <v>44562</v>
      </c>
      <c r="K139" s="1">
        <v>4110</v>
      </c>
      <c r="L139" s="1">
        <v>1222.73</v>
      </c>
      <c r="M139" s="1"/>
      <c r="N139" s="1"/>
      <c r="O139" s="1"/>
    </row>
    <row r="140" spans="1:15" x14ac:dyDescent="0.25">
      <c r="A140" s="1">
        <v>668</v>
      </c>
      <c r="B140" s="1" t="s">
        <v>210</v>
      </c>
      <c r="C140" s="1" t="s">
        <v>16</v>
      </c>
      <c r="D140" s="1" t="s">
        <v>416</v>
      </c>
      <c r="E140" s="1" t="s">
        <v>17</v>
      </c>
      <c r="F140" s="1" t="s">
        <v>18</v>
      </c>
      <c r="G140" s="1" t="s">
        <v>19</v>
      </c>
      <c r="H140" s="1" t="s">
        <v>21</v>
      </c>
      <c r="I140" s="1">
        <v>67461223</v>
      </c>
      <c r="J140" s="2">
        <v>44033</v>
      </c>
      <c r="K140" s="1">
        <v>4110</v>
      </c>
      <c r="L140" s="1">
        <v>1222.73</v>
      </c>
      <c r="M140" s="1"/>
      <c r="N140" s="1"/>
      <c r="O140" s="1"/>
    </row>
    <row r="141" spans="1:15" x14ac:dyDescent="0.25">
      <c r="A141" s="1">
        <v>672</v>
      </c>
      <c r="B141" s="1" t="s">
        <v>211</v>
      </c>
      <c r="C141" s="1" t="s">
        <v>16</v>
      </c>
      <c r="D141" s="1" t="s">
        <v>434</v>
      </c>
      <c r="E141" s="1" t="s">
        <v>17</v>
      </c>
      <c r="F141" s="1" t="s">
        <v>18</v>
      </c>
      <c r="G141" s="1" t="s">
        <v>19</v>
      </c>
      <c r="H141" s="1" t="s">
        <v>45</v>
      </c>
      <c r="I141" s="1">
        <v>65645930</v>
      </c>
      <c r="J141" s="2">
        <v>44013</v>
      </c>
      <c r="K141" s="1">
        <v>4115</v>
      </c>
      <c r="L141" s="1">
        <v>1224.21</v>
      </c>
      <c r="M141" s="1"/>
      <c r="N141" s="1"/>
      <c r="O141" s="1"/>
    </row>
    <row r="142" spans="1:15" x14ac:dyDescent="0.25">
      <c r="A142" s="1">
        <v>677</v>
      </c>
      <c r="B142" s="1" t="s">
        <v>212</v>
      </c>
      <c r="C142" s="1" t="s">
        <v>16</v>
      </c>
      <c r="D142" s="1" t="s">
        <v>416</v>
      </c>
      <c r="E142" s="1" t="s">
        <v>17</v>
      </c>
      <c r="F142" s="1" t="s">
        <v>18</v>
      </c>
      <c r="G142" s="1" t="s">
        <v>19</v>
      </c>
      <c r="H142" s="1" t="s">
        <v>21</v>
      </c>
      <c r="I142" s="1">
        <v>72989932</v>
      </c>
      <c r="J142" s="2">
        <v>44013</v>
      </c>
      <c r="K142" s="1">
        <v>4110</v>
      </c>
      <c r="L142" s="1">
        <v>1222.73</v>
      </c>
      <c r="M142" s="1"/>
      <c r="N142" s="1"/>
      <c r="O142" s="1"/>
    </row>
    <row r="143" spans="1:15" x14ac:dyDescent="0.25">
      <c r="A143" s="1">
        <v>682</v>
      </c>
      <c r="B143" s="1" t="s">
        <v>213</v>
      </c>
      <c r="C143" s="1" t="s">
        <v>16</v>
      </c>
      <c r="D143" s="1" t="s">
        <v>434</v>
      </c>
      <c r="E143" s="1" t="s">
        <v>17</v>
      </c>
      <c r="F143" s="1" t="s">
        <v>18</v>
      </c>
      <c r="G143" s="1" t="s">
        <v>19</v>
      </c>
      <c r="H143" s="1" t="s">
        <v>21</v>
      </c>
      <c r="I143" s="1">
        <v>74040660</v>
      </c>
      <c r="J143" s="2">
        <v>44013</v>
      </c>
      <c r="K143" s="1">
        <v>4110</v>
      </c>
      <c r="L143" s="1">
        <v>1222.73</v>
      </c>
      <c r="M143" s="1"/>
      <c r="N143" s="1"/>
      <c r="O143" s="1"/>
    </row>
    <row r="144" spans="1:15" x14ac:dyDescent="0.25">
      <c r="A144" s="1">
        <v>683</v>
      </c>
      <c r="B144" s="1" t="s">
        <v>214</v>
      </c>
      <c r="C144" s="1" t="s">
        <v>16</v>
      </c>
      <c r="D144" s="1" t="s">
        <v>140</v>
      </c>
      <c r="E144" s="1" t="s">
        <v>17</v>
      </c>
      <c r="F144" s="1" t="s">
        <v>215</v>
      </c>
      <c r="G144" s="1" t="s">
        <v>19</v>
      </c>
      <c r="H144" s="1" t="s">
        <v>45</v>
      </c>
      <c r="I144" s="1">
        <v>77666004</v>
      </c>
      <c r="J144" s="2">
        <v>43831</v>
      </c>
      <c r="K144" s="1">
        <v>2300</v>
      </c>
      <c r="L144" s="1">
        <v>684.25</v>
      </c>
      <c r="M144" s="1"/>
      <c r="N144" s="1"/>
      <c r="O144" s="1"/>
    </row>
    <row r="145" spans="1:15" x14ac:dyDescent="0.25">
      <c r="A145" s="1">
        <v>684</v>
      </c>
      <c r="B145" s="1" t="s">
        <v>216</v>
      </c>
      <c r="C145" s="1" t="s">
        <v>16</v>
      </c>
      <c r="D145" s="1" t="s">
        <v>434</v>
      </c>
      <c r="E145" s="1" t="s">
        <v>17</v>
      </c>
      <c r="F145" s="1" t="s">
        <v>18</v>
      </c>
      <c r="G145" s="1" t="s">
        <v>19</v>
      </c>
      <c r="H145" s="1" t="s">
        <v>21</v>
      </c>
      <c r="I145" s="1">
        <v>66162774</v>
      </c>
      <c r="J145" s="2">
        <v>43831</v>
      </c>
      <c r="K145" s="1">
        <v>4115</v>
      </c>
      <c r="L145" s="1">
        <v>1224.21</v>
      </c>
      <c r="M145" s="1"/>
      <c r="N145" s="1"/>
      <c r="O145" s="1"/>
    </row>
    <row r="146" spans="1:15" x14ac:dyDescent="0.25">
      <c r="A146" s="1">
        <v>685</v>
      </c>
      <c r="B146" s="1" t="s">
        <v>217</v>
      </c>
      <c r="C146" s="1" t="s">
        <v>16</v>
      </c>
      <c r="D146" s="1" t="s">
        <v>46</v>
      </c>
      <c r="E146" s="1" t="s">
        <v>17</v>
      </c>
      <c r="F146" s="1" t="s">
        <v>18</v>
      </c>
      <c r="G146" s="1" t="s">
        <v>19</v>
      </c>
      <c r="H146" s="1" t="s">
        <v>21</v>
      </c>
      <c r="I146" s="1">
        <v>277578</v>
      </c>
      <c r="J146" s="2">
        <v>44033</v>
      </c>
      <c r="K146" s="1">
        <v>4100</v>
      </c>
      <c r="L146" s="1">
        <v>1219.75</v>
      </c>
      <c r="M146" s="1"/>
      <c r="N146" s="1"/>
      <c r="O146" s="1"/>
    </row>
    <row r="147" spans="1:15" x14ac:dyDescent="0.25">
      <c r="A147" s="1">
        <v>687</v>
      </c>
      <c r="B147" s="1" t="s">
        <v>218</v>
      </c>
      <c r="C147" s="1" t="s">
        <v>16</v>
      </c>
      <c r="D147" s="1" t="s">
        <v>434</v>
      </c>
      <c r="E147" s="1" t="s">
        <v>17</v>
      </c>
      <c r="F147" s="1" t="s">
        <v>18</v>
      </c>
      <c r="G147" s="1" t="s">
        <v>19</v>
      </c>
      <c r="H147" s="1" t="s">
        <v>21</v>
      </c>
      <c r="I147" s="1">
        <v>75309667</v>
      </c>
      <c r="J147" s="2">
        <v>44075</v>
      </c>
      <c r="K147" s="1">
        <v>2300</v>
      </c>
      <c r="L147" s="1">
        <v>684.25</v>
      </c>
      <c r="M147" s="1"/>
      <c r="N147" s="1"/>
      <c r="O147" s="1"/>
    </row>
    <row r="148" spans="1:15" x14ac:dyDescent="0.25">
      <c r="A148" s="1">
        <v>689</v>
      </c>
      <c r="B148" s="1" t="s">
        <v>219</v>
      </c>
      <c r="C148" s="1" t="s">
        <v>16</v>
      </c>
      <c r="D148" s="1" t="s">
        <v>434</v>
      </c>
      <c r="E148" s="1" t="s">
        <v>17</v>
      </c>
      <c r="F148" s="1" t="s">
        <v>215</v>
      </c>
      <c r="G148" s="1" t="s">
        <v>19</v>
      </c>
      <c r="H148" s="1" t="s">
        <v>45</v>
      </c>
      <c r="I148" s="1">
        <v>72622706</v>
      </c>
      <c r="J148" s="2">
        <v>44013</v>
      </c>
      <c r="K148" s="1">
        <v>2707</v>
      </c>
      <c r="L148" s="1">
        <v>805.33</v>
      </c>
      <c r="M148" s="1"/>
      <c r="N148" s="1"/>
      <c r="O148" s="1"/>
    </row>
    <row r="149" spans="1:15" x14ac:dyDescent="0.25">
      <c r="A149" s="1">
        <v>690</v>
      </c>
      <c r="B149" s="1" t="s">
        <v>220</v>
      </c>
      <c r="C149" s="1" t="s">
        <v>16</v>
      </c>
      <c r="D149" s="1" t="s">
        <v>422</v>
      </c>
      <c r="E149" s="1" t="s">
        <v>17</v>
      </c>
      <c r="F149" s="1" t="s">
        <v>18</v>
      </c>
      <c r="G149" s="1" t="s">
        <v>19</v>
      </c>
      <c r="H149" s="1" t="s">
        <v>21</v>
      </c>
      <c r="I149" s="1">
        <v>71950145</v>
      </c>
      <c r="J149" s="2">
        <v>44075</v>
      </c>
      <c r="K149" s="1">
        <v>4115</v>
      </c>
      <c r="L149" s="1">
        <v>1224.21</v>
      </c>
      <c r="M149" s="1"/>
      <c r="N149" s="1"/>
      <c r="O149" s="1"/>
    </row>
    <row r="150" spans="1:15" x14ac:dyDescent="0.25">
      <c r="A150" s="1">
        <v>692</v>
      </c>
      <c r="B150" s="1" t="s">
        <v>221</v>
      </c>
      <c r="C150" s="1" t="s">
        <v>16</v>
      </c>
      <c r="D150" s="1" t="s">
        <v>416</v>
      </c>
      <c r="E150" s="1" t="s">
        <v>17</v>
      </c>
      <c r="F150" s="1" t="s">
        <v>18</v>
      </c>
      <c r="G150" s="1" t="s">
        <v>19</v>
      </c>
      <c r="H150" s="1" t="s">
        <v>21</v>
      </c>
      <c r="I150" s="1">
        <v>64435840</v>
      </c>
      <c r="J150" s="2">
        <v>44531</v>
      </c>
      <c r="K150" s="1">
        <v>4110</v>
      </c>
      <c r="L150" s="1">
        <v>1222.73</v>
      </c>
      <c r="M150" s="1"/>
      <c r="N150" s="1"/>
      <c r="O150" s="1"/>
    </row>
    <row r="151" spans="1:15" x14ac:dyDescent="0.25">
      <c r="A151" s="1">
        <v>702</v>
      </c>
      <c r="B151" s="1" t="s">
        <v>222</v>
      </c>
      <c r="C151" s="1" t="s">
        <v>16</v>
      </c>
      <c r="D151" s="1" t="s">
        <v>416</v>
      </c>
      <c r="E151" s="1" t="s">
        <v>17</v>
      </c>
      <c r="F151" s="1" t="s">
        <v>18</v>
      </c>
      <c r="G151" s="1" t="s">
        <v>19</v>
      </c>
      <c r="H151" s="1" t="s">
        <v>21</v>
      </c>
      <c r="I151" s="1">
        <v>34340285</v>
      </c>
      <c r="J151" s="2">
        <v>43831</v>
      </c>
      <c r="K151" s="1">
        <v>4110</v>
      </c>
      <c r="L151" s="1">
        <v>1222.73</v>
      </c>
      <c r="M151" s="1"/>
      <c r="N151" s="1"/>
      <c r="O151" s="1"/>
    </row>
    <row r="152" spans="1:15" x14ac:dyDescent="0.25">
      <c r="A152" s="1">
        <v>715</v>
      </c>
      <c r="B152" s="1" t="s">
        <v>223</v>
      </c>
      <c r="C152" s="1" t="s">
        <v>16</v>
      </c>
      <c r="D152" s="1" t="s">
        <v>434</v>
      </c>
      <c r="E152" s="1" t="s">
        <v>17</v>
      </c>
      <c r="F152" s="1" t="s">
        <v>18</v>
      </c>
      <c r="G152" s="1" t="s">
        <v>19</v>
      </c>
      <c r="H152" s="1" t="s">
        <v>21</v>
      </c>
      <c r="I152" s="1">
        <v>74079132</v>
      </c>
      <c r="J152" s="2">
        <v>44228</v>
      </c>
      <c r="K152" s="1">
        <v>4115</v>
      </c>
      <c r="L152" s="1">
        <v>1224.21</v>
      </c>
      <c r="M152" s="1"/>
      <c r="N152" s="1"/>
      <c r="O152" s="1"/>
    </row>
    <row r="153" spans="1:15" x14ac:dyDescent="0.25">
      <c r="A153" s="1">
        <v>717</v>
      </c>
      <c r="B153" s="1" t="s">
        <v>224</v>
      </c>
      <c r="C153" s="1" t="s">
        <v>16</v>
      </c>
      <c r="D153" s="1" t="s">
        <v>434</v>
      </c>
      <c r="E153" s="1" t="s">
        <v>17</v>
      </c>
      <c r="F153" s="1" t="s">
        <v>18</v>
      </c>
      <c r="G153" s="1" t="s">
        <v>19</v>
      </c>
      <c r="H153" s="1" t="s">
        <v>21</v>
      </c>
      <c r="I153" s="1">
        <v>77289386</v>
      </c>
      <c r="J153" s="2">
        <v>43678</v>
      </c>
      <c r="K153" s="1">
        <v>4115</v>
      </c>
      <c r="L153" s="1">
        <v>1224.21</v>
      </c>
      <c r="M153" s="1"/>
      <c r="N153" s="1"/>
      <c r="O153" s="1"/>
    </row>
    <row r="154" spans="1:15" x14ac:dyDescent="0.25">
      <c r="A154" s="1">
        <v>724</v>
      </c>
      <c r="B154" s="1" t="s">
        <v>225</v>
      </c>
      <c r="C154" s="1" t="s">
        <v>16</v>
      </c>
      <c r="D154" s="1" t="s">
        <v>434</v>
      </c>
      <c r="E154" s="1" t="s">
        <v>17</v>
      </c>
      <c r="F154" s="1" t="s">
        <v>18</v>
      </c>
      <c r="G154" s="1" t="s">
        <v>19</v>
      </c>
      <c r="H154" s="1" t="s">
        <v>21</v>
      </c>
      <c r="I154" s="1">
        <v>58590944</v>
      </c>
      <c r="J154" s="2">
        <v>43222</v>
      </c>
      <c r="K154" s="1">
        <v>4115</v>
      </c>
      <c r="L154" s="1">
        <v>1224.21</v>
      </c>
      <c r="M154" s="1"/>
      <c r="N154" s="1"/>
      <c r="O154" s="1"/>
    </row>
    <row r="155" spans="1:15" x14ac:dyDescent="0.25">
      <c r="A155" s="1">
        <v>725</v>
      </c>
      <c r="B155" s="1" t="s">
        <v>226</v>
      </c>
      <c r="C155" s="1" t="s">
        <v>16</v>
      </c>
      <c r="D155" s="1" t="s">
        <v>434</v>
      </c>
      <c r="E155" s="1" t="s">
        <v>17</v>
      </c>
      <c r="F155" s="1" t="s">
        <v>18</v>
      </c>
      <c r="G155" s="1" t="s">
        <v>19</v>
      </c>
      <c r="H155" s="1" t="s">
        <v>21</v>
      </c>
      <c r="I155" s="1">
        <v>78032999</v>
      </c>
      <c r="J155" s="2">
        <v>44240</v>
      </c>
      <c r="K155" s="1">
        <v>4115</v>
      </c>
      <c r="L155" s="1">
        <v>1224.21</v>
      </c>
      <c r="M155" s="1"/>
      <c r="N155" s="1"/>
      <c r="O155" s="1"/>
    </row>
    <row r="156" spans="1:15" x14ac:dyDescent="0.25">
      <c r="A156" s="1">
        <v>734</v>
      </c>
      <c r="B156" s="1" t="s">
        <v>227</v>
      </c>
      <c r="C156" s="1" t="s">
        <v>16</v>
      </c>
      <c r="D156" s="1" t="s">
        <v>188</v>
      </c>
      <c r="E156" s="1" t="s">
        <v>17</v>
      </c>
      <c r="F156" s="1" t="s">
        <v>18</v>
      </c>
      <c r="G156" s="1" t="s">
        <v>107</v>
      </c>
      <c r="H156" s="1" t="s">
        <v>21</v>
      </c>
      <c r="I156" s="1">
        <v>78586477</v>
      </c>
      <c r="J156" s="2">
        <v>44005</v>
      </c>
      <c r="K156" s="1">
        <v>4115</v>
      </c>
      <c r="L156" s="1">
        <v>1224.21</v>
      </c>
      <c r="M156" s="1"/>
      <c r="N156" s="1"/>
      <c r="O156" s="1"/>
    </row>
    <row r="157" spans="1:15" x14ac:dyDescent="0.25">
      <c r="A157" s="1">
        <v>735</v>
      </c>
      <c r="B157" s="1" t="s">
        <v>228</v>
      </c>
      <c r="C157" s="1" t="s">
        <v>16</v>
      </c>
      <c r="D157" s="1" t="s">
        <v>1314</v>
      </c>
      <c r="E157" s="1" t="s">
        <v>17</v>
      </c>
      <c r="F157" s="1" t="s">
        <v>18</v>
      </c>
      <c r="G157" s="1" t="s">
        <v>156</v>
      </c>
      <c r="H157" s="1" t="s">
        <v>45</v>
      </c>
      <c r="I157" s="1">
        <v>71106088</v>
      </c>
      <c r="J157" s="2">
        <v>44544</v>
      </c>
      <c r="K157" s="1">
        <v>4110</v>
      </c>
      <c r="L157" s="1">
        <v>1222.73</v>
      </c>
      <c r="M157" s="1"/>
      <c r="N157" s="1"/>
      <c r="O157" s="1"/>
    </row>
    <row r="158" spans="1:15" x14ac:dyDescent="0.25">
      <c r="A158" s="1">
        <v>739</v>
      </c>
      <c r="B158" s="1" t="s">
        <v>229</v>
      </c>
      <c r="C158" s="1" t="s">
        <v>16</v>
      </c>
      <c r="D158" s="1" t="s">
        <v>577</v>
      </c>
      <c r="E158" s="1" t="s">
        <v>17</v>
      </c>
      <c r="F158" s="1" t="s">
        <v>18</v>
      </c>
      <c r="G158" s="1" t="s">
        <v>54</v>
      </c>
      <c r="H158" s="1" t="s">
        <v>45</v>
      </c>
      <c r="I158" s="1">
        <v>72484389</v>
      </c>
      <c r="J158" s="2">
        <v>44256</v>
      </c>
      <c r="K158" s="1">
        <v>4115</v>
      </c>
      <c r="L158" s="1">
        <v>1224.21</v>
      </c>
      <c r="M158" s="1"/>
      <c r="N158" s="1"/>
      <c r="O158" s="1"/>
    </row>
    <row r="159" spans="1:15" x14ac:dyDescent="0.25">
      <c r="A159" s="1">
        <v>747</v>
      </c>
      <c r="B159" s="1" t="s">
        <v>230</v>
      </c>
      <c r="C159" s="1" t="s">
        <v>16</v>
      </c>
      <c r="D159" s="1" t="s">
        <v>434</v>
      </c>
      <c r="E159" s="1" t="s">
        <v>17</v>
      </c>
      <c r="F159" s="1" t="s">
        <v>18</v>
      </c>
      <c r="G159" s="1" t="s">
        <v>19</v>
      </c>
      <c r="H159" s="1" t="s">
        <v>21</v>
      </c>
      <c r="I159" s="1">
        <v>79120686</v>
      </c>
      <c r="J159" s="2">
        <v>44240</v>
      </c>
      <c r="K159" s="1">
        <v>4115</v>
      </c>
      <c r="L159" s="1">
        <v>1224.21</v>
      </c>
      <c r="M159" s="1"/>
      <c r="N159" s="1"/>
      <c r="O159" s="1"/>
    </row>
    <row r="160" spans="1:15" x14ac:dyDescent="0.25">
      <c r="A160" s="1">
        <v>755</v>
      </c>
      <c r="B160" s="1" t="s">
        <v>231</v>
      </c>
      <c r="C160" s="1" t="s">
        <v>16</v>
      </c>
      <c r="D160" s="1" t="s">
        <v>577</v>
      </c>
      <c r="E160" s="1" t="s">
        <v>17</v>
      </c>
      <c r="F160" s="1" t="s">
        <v>18</v>
      </c>
      <c r="G160" s="1" t="s">
        <v>54</v>
      </c>
      <c r="H160" s="1" t="s">
        <v>21</v>
      </c>
      <c r="I160" s="1">
        <v>74244702</v>
      </c>
      <c r="J160" s="2">
        <v>44240</v>
      </c>
      <c r="K160" s="1">
        <v>4115</v>
      </c>
      <c r="L160" s="1">
        <v>1224.21</v>
      </c>
      <c r="M160" s="1"/>
      <c r="N160" s="1"/>
      <c r="O160" s="1"/>
    </row>
    <row r="161" spans="1:15" x14ac:dyDescent="0.25">
      <c r="A161" s="1">
        <v>758</v>
      </c>
      <c r="B161" s="1" t="s">
        <v>232</v>
      </c>
      <c r="C161" s="1" t="s">
        <v>16</v>
      </c>
      <c r="D161" s="1" t="s">
        <v>416</v>
      </c>
      <c r="E161" s="1" t="s">
        <v>17</v>
      </c>
      <c r="F161" s="1" t="s">
        <v>18</v>
      </c>
      <c r="G161" s="1" t="s">
        <v>19</v>
      </c>
      <c r="H161" s="1" t="s">
        <v>21</v>
      </c>
      <c r="I161" s="1">
        <v>72047544</v>
      </c>
      <c r="J161" s="2">
        <v>44774</v>
      </c>
      <c r="K161" s="1">
        <v>4110</v>
      </c>
      <c r="L161" s="1">
        <v>1222.73</v>
      </c>
      <c r="M161" s="1"/>
      <c r="N161" s="1"/>
      <c r="O161" s="1"/>
    </row>
    <row r="162" spans="1:15" x14ac:dyDescent="0.25">
      <c r="A162" s="1">
        <v>763</v>
      </c>
      <c r="B162" s="1" t="s">
        <v>233</v>
      </c>
      <c r="C162" s="1" t="s">
        <v>16</v>
      </c>
      <c r="D162" s="1" t="s">
        <v>416</v>
      </c>
      <c r="E162" s="1" t="s">
        <v>17</v>
      </c>
      <c r="F162" s="1" t="s">
        <v>18</v>
      </c>
      <c r="G162" s="1" t="s">
        <v>19</v>
      </c>
      <c r="H162" s="1" t="s">
        <v>21</v>
      </c>
      <c r="I162" s="1">
        <v>75418547</v>
      </c>
      <c r="J162" s="2">
        <v>44177</v>
      </c>
      <c r="K162" s="1">
        <v>4110</v>
      </c>
      <c r="L162" s="1">
        <v>1222.73</v>
      </c>
      <c r="M162" s="1"/>
      <c r="N162" s="1"/>
      <c r="O162" s="1"/>
    </row>
    <row r="163" spans="1:15" x14ac:dyDescent="0.25">
      <c r="A163" s="1">
        <v>764</v>
      </c>
      <c r="B163" s="1" t="s">
        <v>234</v>
      </c>
      <c r="C163" s="1" t="s">
        <v>16</v>
      </c>
      <c r="D163" s="1" t="s">
        <v>1597</v>
      </c>
      <c r="E163" s="1" t="s">
        <v>17</v>
      </c>
      <c r="F163" s="1" t="s">
        <v>18</v>
      </c>
      <c r="G163" s="1" t="s">
        <v>50</v>
      </c>
      <c r="H163" s="1" t="s">
        <v>21</v>
      </c>
      <c r="I163" s="1">
        <v>71649320</v>
      </c>
      <c r="J163" s="2">
        <v>44184</v>
      </c>
      <c r="K163" s="1">
        <v>4115</v>
      </c>
      <c r="L163" s="1">
        <v>1224.21</v>
      </c>
      <c r="M163" s="1"/>
      <c r="N163" s="1"/>
      <c r="O163" s="1"/>
    </row>
    <row r="164" spans="1:15" x14ac:dyDescent="0.25">
      <c r="A164" s="1">
        <v>783</v>
      </c>
      <c r="B164" s="1" t="s">
        <v>236</v>
      </c>
      <c r="C164" s="1" t="s">
        <v>16</v>
      </c>
      <c r="D164" s="1" t="s">
        <v>188</v>
      </c>
      <c r="E164" s="1" t="s">
        <v>17</v>
      </c>
      <c r="F164" s="1" t="s">
        <v>18</v>
      </c>
      <c r="G164" s="1" t="s">
        <v>107</v>
      </c>
      <c r="H164" s="1" t="s">
        <v>45</v>
      </c>
      <c r="I164" s="1">
        <v>47773976</v>
      </c>
      <c r="J164" s="2">
        <v>44425</v>
      </c>
      <c r="K164" s="1">
        <v>4115</v>
      </c>
      <c r="L164" s="1">
        <v>1224.21</v>
      </c>
      <c r="M164" s="1"/>
      <c r="N164" s="1"/>
      <c r="O164" s="1"/>
    </row>
    <row r="165" spans="1:15" x14ac:dyDescent="0.25">
      <c r="A165" s="1">
        <v>784</v>
      </c>
      <c r="B165" s="1" t="s">
        <v>237</v>
      </c>
      <c r="C165" s="1" t="s">
        <v>16</v>
      </c>
      <c r="D165" s="1" t="s">
        <v>1126</v>
      </c>
      <c r="E165" s="1" t="s">
        <v>17</v>
      </c>
      <c r="F165" s="1" t="s">
        <v>18</v>
      </c>
      <c r="G165" s="1" t="s">
        <v>163</v>
      </c>
      <c r="H165" s="1" t="s">
        <v>21</v>
      </c>
      <c r="I165" s="1">
        <v>61293109</v>
      </c>
      <c r="J165" s="2">
        <v>44593</v>
      </c>
      <c r="K165" s="1">
        <v>4110</v>
      </c>
      <c r="L165" s="1">
        <v>1222.73</v>
      </c>
      <c r="M165" s="1"/>
      <c r="N165" s="1"/>
      <c r="O165" s="1"/>
    </row>
    <row r="166" spans="1:15" x14ac:dyDescent="0.25">
      <c r="A166" s="1">
        <v>788</v>
      </c>
      <c r="B166" s="1" t="s">
        <v>238</v>
      </c>
      <c r="C166" s="1" t="s">
        <v>16</v>
      </c>
      <c r="D166" s="1" t="s">
        <v>172</v>
      </c>
      <c r="E166" s="1" t="s">
        <v>17</v>
      </c>
      <c r="F166" s="1" t="s">
        <v>18</v>
      </c>
      <c r="G166" s="1" t="s">
        <v>107</v>
      </c>
      <c r="H166" s="1" t="s">
        <v>21</v>
      </c>
      <c r="I166" s="1">
        <v>61478895</v>
      </c>
      <c r="J166" s="2">
        <v>44706</v>
      </c>
      <c r="K166" s="1">
        <v>4100</v>
      </c>
      <c r="L166" s="1">
        <v>1219.75</v>
      </c>
      <c r="M166" s="1"/>
      <c r="N166" s="1"/>
      <c r="O166" s="1"/>
    </row>
    <row r="167" spans="1:15" x14ac:dyDescent="0.25">
      <c r="A167" s="1">
        <v>790</v>
      </c>
      <c r="B167" s="1" t="s">
        <v>239</v>
      </c>
      <c r="C167" s="1" t="s">
        <v>16</v>
      </c>
      <c r="D167" s="1" t="s">
        <v>188</v>
      </c>
      <c r="E167" s="1" t="s">
        <v>17</v>
      </c>
      <c r="F167" s="1" t="s">
        <v>18</v>
      </c>
      <c r="G167" s="1" t="s">
        <v>107</v>
      </c>
      <c r="H167" s="1" t="s">
        <v>45</v>
      </c>
      <c r="I167" s="1">
        <v>57955461</v>
      </c>
      <c r="J167" s="2">
        <v>44737</v>
      </c>
      <c r="K167" s="1">
        <v>4115</v>
      </c>
      <c r="L167" s="1">
        <v>1224.21</v>
      </c>
      <c r="M167" s="1"/>
      <c r="N167" s="1"/>
      <c r="O167" s="1"/>
    </row>
    <row r="168" spans="1:15" x14ac:dyDescent="0.25">
      <c r="A168" s="1">
        <v>792</v>
      </c>
      <c r="B168" s="1" t="s">
        <v>240</v>
      </c>
      <c r="C168" s="1" t="s">
        <v>16</v>
      </c>
      <c r="D168" s="1" t="s">
        <v>188</v>
      </c>
      <c r="E168" s="1" t="s">
        <v>17</v>
      </c>
      <c r="F168" s="1" t="s">
        <v>18</v>
      </c>
      <c r="G168" s="1" t="s">
        <v>107</v>
      </c>
      <c r="H168" s="1" t="s">
        <v>45</v>
      </c>
      <c r="I168" s="1">
        <v>63010065</v>
      </c>
      <c r="J168" s="2">
        <v>44809</v>
      </c>
      <c r="K168" s="1">
        <v>4115</v>
      </c>
      <c r="L168" s="1">
        <v>1224.21</v>
      </c>
      <c r="M168" s="1"/>
      <c r="N168" s="1"/>
      <c r="O168" s="1"/>
    </row>
    <row r="169" spans="1:15" x14ac:dyDescent="0.25">
      <c r="A169" s="1">
        <v>1001</v>
      </c>
      <c r="B169" s="1" t="s">
        <v>242</v>
      </c>
      <c r="C169" s="1" t="s">
        <v>16</v>
      </c>
      <c r="D169" s="1" t="s">
        <v>1630</v>
      </c>
      <c r="E169" s="1" t="s">
        <v>17</v>
      </c>
      <c r="F169" s="1" t="s">
        <v>18</v>
      </c>
      <c r="G169" s="1" t="s">
        <v>243</v>
      </c>
      <c r="H169" s="1" t="s">
        <v>21</v>
      </c>
      <c r="I169" s="1">
        <v>73641677</v>
      </c>
      <c r="J169" s="2">
        <v>44866</v>
      </c>
      <c r="K169" s="1">
        <v>4110</v>
      </c>
      <c r="L169" s="1">
        <v>1222.73</v>
      </c>
      <c r="M169" s="1"/>
      <c r="N169" s="1"/>
      <c r="O169" s="1"/>
    </row>
    <row r="170" spans="1:15" x14ac:dyDescent="0.25">
      <c r="A170" s="1">
        <v>1005</v>
      </c>
      <c r="B170" s="1" t="s">
        <v>244</v>
      </c>
      <c r="C170" s="1" t="s">
        <v>16</v>
      </c>
      <c r="D170" s="1" t="s">
        <v>1637</v>
      </c>
      <c r="E170" s="1" t="s">
        <v>17</v>
      </c>
      <c r="F170" s="1" t="s">
        <v>18</v>
      </c>
      <c r="G170" s="1" t="s">
        <v>243</v>
      </c>
      <c r="H170" s="1" t="s">
        <v>21</v>
      </c>
      <c r="I170" s="1">
        <v>60312897</v>
      </c>
      <c r="J170" s="2">
        <v>44801</v>
      </c>
      <c r="K170" s="1">
        <v>2702</v>
      </c>
      <c r="L170" s="1">
        <v>803.85</v>
      </c>
      <c r="M170" s="1"/>
      <c r="N170" s="1"/>
      <c r="O170" s="1"/>
    </row>
    <row r="171" spans="1:15" x14ac:dyDescent="0.25">
      <c r="A171" s="1">
        <v>1007</v>
      </c>
      <c r="B171" s="1" t="s">
        <v>246</v>
      </c>
      <c r="C171" s="1" t="s">
        <v>16</v>
      </c>
      <c r="D171" s="1" t="s">
        <v>1630</v>
      </c>
      <c r="E171" s="1" t="s">
        <v>17</v>
      </c>
      <c r="F171" s="1" t="s">
        <v>18</v>
      </c>
      <c r="G171" s="1" t="s">
        <v>243</v>
      </c>
      <c r="H171" s="1" t="s">
        <v>21</v>
      </c>
      <c r="I171" s="1">
        <v>71398511</v>
      </c>
      <c r="J171" s="2">
        <v>42169</v>
      </c>
      <c r="K171" s="1">
        <v>2707</v>
      </c>
      <c r="L171" s="1">
        <v>805.33</v>
      </c>
      <c r="M171" s="1"/>
      <c r="N171" s="1"/>
      <c r="O171" s="1"/>
    </row>
    <row r="172" spans="1:15" x14ac:dyDescent="0.25">
      <c r="A172" s="1">
        <v>1008</v>
      </c>
      <c r="B172" s="1" t="s">
        <v>247</v>
      </c>
      <c r="C172" s="1" t="s">
        <v>16</v>
      </c>
      <c r="D172" s="1" t="s">
        <v>1630</v>
      </c>
      <c r="E172" s="1" t="s">
        <v>17</v>
      </c>
      <c r="F172" s="1" t="s">
        <v>18</v>
      </c>
      <c r="G172" s="1" t="s">
        <v>243</v>
      </c>
      <c r="H172" s="1" t="s">
        <v>21</v>
      </c>
      <c r="I172" s="1">
        <v>74053427</v>
      </c>
      <c r="J172" s="2">
        <v>42611</v>
      </c>
      <c r="K172" s="1">
        <v>2707</v>
      </c>
      <c r="L172" s="1">
        <v>805.33</v>
      </c>
      <c r="M172" s="1"/>
      <c r="N172" s="1"/>
      <c r="O172" s="1"/>
    </row>
    <row r="173" spans="1:15" x14ac:dyDescent="0.25">
      <c r="A173" s="1">
        <v>1010</v>
      </c>
      <c r="B173" s="1" t="s">
        <v>248</v>
      </c>
      <c r="C173" s="1" t="s">
        <v>16</v>
      </c>
      <c r="D173" s="1" t="s">
        <v>1639</v>
      </c>
      <c r="E173" s="1" t="s">
        <v>17</v>
      </c>
      <c r="F173" s="1" t="s">
        <v>18</v>
      </c>
      <c r="G173" s="1" t="s">
        <v>243</v>
      </c>
      <c r="H173" s="1" t="s">
        <v>21</v>
      </c>
      <c r="I173" s="1">
        <v>54428128</v>
      </c>
      <c r="J173" s="2">
        <v>43313</v>
      </c>
      <c r="K173" s="1">
        <v>2702</v>
      </c>
      <c r="L173" s="1">
        <v>803.85</v>
      </c>
      <c r="M173" s="1"/>
      <c r="N173" s="1"/>
      <c r="O173" s="1"/>
    </row>
    <row r="174" spans="1:15" x14ac:dyDescent="0.25">
      <c r="A174" s="1">
        <v>1012</v>
      </c>
      <c r="B174" s="1" t="s">
        <v>249</v>
      </c>
      <c r="C174" s="1" t="s">
        <v>16</v>
      </c>
      <c r="D174" s="1" t="s">
        <v>1630</v>
      </c>
      <c r="E174" s="1" t="s">
        <v>17</v>
      </c>
      <c r="F174" s="1" t="s">
        <v>18</v>
      </c>
      <c r="G174" s="1" t="s">
        <v>243</v>
      </c>
      <c r="H174" s="1" t="s">
        <v>21</v>
      </c>
      <c r="I174" s="1">
        <v>81557903</v>
      </c>
      <c r="J174" s="2">
        <v>44713</v>
      </c>
      <c r="K174" s="1">
        <v>4115</v>
      </c>
      <c r="L174" s="1">
        <v>1224.21</v>
      </c>
      <c r="M174" s="1"/>
      <c r="N174" s="1"/>
      <c r="O174" s="1"/>
    </row>
    <row r="175" spans="1:15" x14ac:dyDescent="0.25">
      <c r="A175" s="1">
        <v>1013</v>
      </c>
      <c r="B175" s="1" t="s">
        <v>250</v>
      </c>
      <c r="C175" s="1" t="s">
        <v>16</v>
      </c>
      <c r="D175" s="1" t="s">
        <v>1630</v>
      </c>
      <c r="E175" s="1" t="s">
        <v>17</v>
      </c>
      <c r="F175" s="1" t="s">
        <v>18</v>
      </c>
      <c r="G175" s="1" t="s">
        <v>243</v>
      </c>
      <c r="H175" s="1" t="s">
        <v>21</v>
      </c>
      <c r="I175" s="1">
        <v>26791456</v>
      </c>
      <c r="J175" s="2">
        <v>44713</v>
      </c>
      <c r="K175" s="1">
        <v>4115</v>
      </c>
      <c r="L175" s="1">
        <v>1224.21</v>
      </c>
      <c r="M175" s="1"/>
      <c r="N175" s="1"/>
      <c r="O175" s="1"/>
    </row>
    <row r="176" spans="1:15" x14ac:dyDescent="0.25">
      <c r="A176" s="1">
        <v>1017</v>
      </c>
      <c r="B176" s="1" t="s">
        <v>251</v>
      </c>
      <c r="C176" s="1" t="s">
        <v>16</v>
      </c>
      <c r="D176" s="1" t="s">
        <v>1639</v>
      </c>
      <c r="E176" s="1" t="s">
        <v>17</v>
      </c>
      <c r="F176" s="1" t="s">
        <v>18</v>
      </c>
      <c r="G176" s="1" t="s">
        <v>243</v>
      </c>
      <c r="H176" s="1" t="s">
        <v>21</v>
      </c>
      <c r="I176" s="1">
        <v>81089281</v>
      </c>
      <c r="J176" s="2">
        <v>44543</v>
      </c>
      <c r="K176" s="1">
        <v>4110</v>
      </c>
      <c r="L176" s="1">
        <v>1222.73</v>
      </c>
      <c r="M176" s="1"/>
      <c r="N176" s="1"/>
      <c r="O176" s="1"/>
    </row>
    <row r="177" spans="1:15" x14ac:dyDescent="0.25">
      <c r="A177" s="1">
        <v>1018</v>
      </c>
      <c r="B177" s="1" t="s">
        <v>252</v>
      </c>
      <c r="C177" s="1" t="s">
        <v>16</v>
      </c>
      <c r="D177" s="1" t="s">
        <v>1637</v>
      </c>
      <c r="E177" s="1" t="s">
        <v>17</v>
      </c>
      <c r="F177" s="1" t="s">
        <v>18</v>
      </c>
      <c r="G177" s="1" t="s">
        <v>243</v>
      </c>
      <c r="H177" s="1" t="s">
        <v>21</v>
      </c>
      <c r="I177" s="1">
        <v>69090287</v>
      </c>
      <c r="J177" s="2">
        <v>42169</v>
      </c>
      <c r="K177" s="1">
        <v>4110</v>
      </c>
      <c r="L177" s="1">
        <v>1222.73</v>
      </c>
      <c r="M177" s="1"/>
      <c r="N177" s="1"/>
      <c r="O177" s="1"/>
    </row>
    <row r="178" spans="1:15" x14ac:dyDescent="0.25">
      <c r="A178" s="1">
        <v>1020</v>
      </c>
      <c r="B178" s="1" t="s">
        <v>253</v>
      </c>
      <c r="C178" s="1" t="s">
        <v>16</v>
      </c>
      <c r="D178" s="1" t="s">
        <v>1630</v>
      </c>
      <c r="E178" s="1" t="s">
        <v>17</v>
      </c>
      <c r="F178" s="1" t="s">
        <v>18</v>
      </c>
      <c r="G178" s="1" t="s">
        <v>243</v>
      </c>
      <c r="H178" s="1" t="s">
        <v>21</v>
      </c>
      <c r="I178" s="1">
        <v>41554294</v>
      </c>
      <c r="J178" s="2">
        <v>44075</v>
      </c>
      <c r="K178" s="1">
        <v>2707</v>
      </c>
      <c r="L178" s="1">
        <v>805.33</v>
      </c>
      <c r="M178" s="1"/>
      <c r="N178" s="1"/>
      <c r="O178" s="1"/>
    </row>
    <row r="179" spans="1:15" x14ac:dyDescent="0.25">
      <c r="A179" s="1">
        <v>1022</v>
      </c>
      <c r="B179" s="1" t="s">
        <v>254</v>
      </c>
      <c r="C179" s="1" t="s">
        <v>16</v>
      </c>
      <c r="D179" s="1" t="s">
        <v>1630</v>
      </c>
      <c r="E179" s="1" t="s">
        <v>17</v>
      </c>
      <c r="F179" s="1" t="s">
        <v>18</v>
      </c>
      <c r="G179" s="1" t="s">
        <v>243</v>
      </c>
      <c r="H179" s="1" t="s">
        <v>21</v>
      </c>
      <c r="I179" s="1">
        <v>12118865</v>
      </c>
      <c r="J179" s="2">
        <v>43306</v>
      </c>
      <c r="K179" s="1">
        <v>2707</v>
      </c>
      <c r="L179" s="1">
        <v>805.33</v>
      </c>
      <c r="M179" s="1"/>
      <c r="N179" s="1"/>
      <c r="O179" s="1"/>
    </row>
    <row r="180" spans="1:15" x14ac:dyDescent="0.25">
      <c r="A180" s="1">
        <v>1024</v>
      </c>
      <c r="B180" s="1" t="s">
        <v>255</v>
      </c>
      <c r="C180" s="1" t="s">
        <v>16</v>
      </c>
      <c r="D180" s="1" t="s">
        <v>1630</v>
      </c>
      <c r="E180" s="1" t="s">
        <v>17</v>
      </c>
      <c r="F180" s="1" t="s">
        <v>18</v>
      </c>
      <c r="G180" s="1" t="s">
        <v>243</v>
      </c>
      <c r="H180" s="1" t="s">
        <v>21</v>
      </c>
      <c r="I180" s="1">
        <v>76763204</v>
      </c>
      <c r="J180" s="2">
        <v>44013</v>
      </c>
      <c r="K180" s="1">
        <v>4115</v>
      </c>
      <c r="L180" s="1">
        <v>1224.21</v>
      </c>
      <c r="M180" s="1"/>
      <c r="N180" s="1"/>
      <c r="O180" s="1"/>
    </row>
    <row r="181" spans="1:15" x14ac:dyDescent="0.25">
      <c r="A181" s="1">
        <v>1029</v>
      </c>
      <c r="B181" s="1" t="s">
        <v>256</v>
      </c>
      <c r="C181" s="1" t="s">
        <v>16</v>
      </c>
      <c r="D181" s="1" t="s">
        <v>1630</v>
      </c>
      <c r="E181" s="1" t="s">
        <v>17</v>
      </c>
      <c r="F181" s="1" t="s">
        <v>18</v>
      </c>
      <c r="G181" s="1" t="s">
        <v>243</v>
      </c>
      <c r="H181" s="1" t="s">
        <v>21</v>
      </c>
      <c r="I181" s="1">
        <v>55447827</v>
      </c>
      <c r="J181" s="2">
        <v>44075</v>
      </c>
      <c r="K181" s="1">
        <v>2707</v>
      </c>
      <c r="L181" s="1">
        <v>805.33</v>
      </c>
      <c r="M181" s="1"/>
      <c r="N181" s="1"/>
      <c r="O181" s="1"/>
    </row>
    <row r="182" spans="1:15" x14ac:dyDescent="0.25">
      <c r="A182" s="1">
        <v>1031</v>
      </c>
      <c r="B182" s="1" t="s">
        <v>258</v>
      </c>
      <c r="C182" s="1" t="s">
        <v>16</v>
      </c>
      <c r="D182" s="1" t="s">
        <v>1630</v>
      </c>
      <c r="E182" s="1" t="s">
        <v>17</v>
      </c>
      <c r="F182" s="1" t="s">
        <v>18</v>
      </c>
      <c r="G182" s="1" t="s">
        <v>243</v>
      </c>
      <c r="H182" s="1" t="s">
        <v>21</v>
      </c>
      <c r="I182" s="1">
        <v>21792556</v>
      </c>
      <c r="J182" s="2">
        <v>43160</v>
      </c>
      <c r="K182" s="1">
        <v>2707</v>
      </c>
      <c r="L182" s="1">
        <v>805.33</v>
      </c>
      <c r="M182" s="1"/>
      <c r="N182" s="1"/>
      <c r="O182" s="1"/>
    </row>
    <row r="183" spans="1:15" x14ac:dyDescent="0.25">
      <c r="A183" s="1">
        <v>1034</v>
      </c>
      <c r="B183" s="1" t="s">
        <v>259</v>
      </c>
      <c r="C183" s="1" t="s">
        <v>16</v>
      </c>
      <c r="D183" s="1" t="s">
        <v>1630</v>
      </c>
      <c r="E183" s="1" t="s">
        <v>17</v>
      </c>
      <c r="F183" s="1" t="s">
        <v>18</v>
      </c>
      <c r="G183" s="1" t="s">
        <v>243</v>
      </c>
      <c r="H183" s="1" t="s">
        <v>21</v>
      </c>
      <c r="I183" s="1">
        <v>74053453</v>
      </c>
      <c r="J183" s="2">
        <v>42611</v>
      </c>
      <c r="K183" s="1">
        <v>2707</v>
      </c>
      <c r="L183" s="1">
        <v>805.33</v>
      </c>
      <c r="M183" s="1"/>
      <c r="N183" s="1"/>
      <c r="O183" s="1"/>
    </row>
    <row r="184" spans="1:15" x14ac:dyDescent="0.25">
      <c r="A184" s="1">
        <v>1035</v>
      </c>
      <c r="B184" s="1" t="s">
        <v>260</v>
      </c>
      <c r="C184" s="1" t="s">
        <v>16</v>
      </c>
      <c r="D184" s="1" t="s">
        <v>1630</v>
      </c>
      <c r="E184" s="1" t="s">
        <v>17</v>
      </c>
      <c r="F184" s="1" t="s">
        <v>18</v>
      </c>
      <c r="G184" s="1" t="s">
        <v>243</v>
      </c>
      <c r="H184" s="1" t="s">
        <v>21</v>
      </c>
      <c r="I184" s="1">
        <v>8344258</v>
      </c>
      <c r="J184" s="2">
        <v>42288</v>
      </c>
      <c r="K184" s="1">
        <v>2707</v>
      </c>
      <c r="L184" s="1">
        <v>805.33</v>
      </c>
      <c r="M184" s="1"/>
      <c r="N184" s="1"/>
      <c r="O184" s="1"/>
    </row>
    <row r="185" spans="1:15" x14ac:dyDescent="0.25">
      <c r="A185" s="1">
        <v>1039</v>
      </c>
      <c r="B185" s="1" t="s">
        <v>261</v>
      </c>
      <c r="C185" s="1" t="s">
        <v>16</v>
      </c>
      <c r="D185" s="1" t="s">
        <v>1630</v>
      </c>
      <c r="E185" s="1" t="s">
        <v>17</v>
      </c>
      <c r="F185" s="1" t="s">
        <v>18</v>
      </c>
      <c r="G185" s="1" t="s">
        <v>243</v>
      </c>
      <c r="H185" s="1" t="s">
        <v>21</v>
      </c>
      <c r="I185" s="1">
        <v>76786503</v>
      </c>
      <c r="J185" s="2">
        <v>45055</v>
      </c>
      <c r="K185" s="1">
        <v>2693</v>
      </c>
      <c r="L185" s="1">
        <v>801.17</v>
      </c>
      <c r="M185" s="1"/>
      <c r="N185" s="1"/>
      <c r="O185" s="1"/>
    </row>
    <row r="186" spans="1:15" x14ac:dyDescent="0.25">
      <c r="A186" s="1">
        <v>1040</v>
      </c>
      <c r="B186" s="1" t="s">
        <v>262</v>
      </c>
      <c r="C186" s="1" t="s">
        <v>16</v>
      </c>
      <c r="D186" s="1" t="s">
        <v>1725</v>
      </c>
      <c r="E186" s="1" t="s">
        <v>17</v>
      </c>
      <c r="F186" s="1" t="s">
        <v>18</v>
      </c>
      <c r="G186" s="1" t="s">
        <v>243</v>
      </c>
      <c r="H186" s="1" t="s">
        <v>21</v>
      </c>
      <c r="I186" s="1">
        <v>68488622</v>
      </c>
      <c r="J186" s="2">
        <v>41532</v>
      </c>
      <c r="K186" s="1">
        <v>3015</v>
      </c>
      <c r="L186" s="1">
        <v>896.96</v>
      </c>
      <c r="M186" s="1"/>
      <c r="N186" s="1"/>
      <c r="O186" s="1"/>
    </row>
    <row r="187" spans="1:15" x14ac:dyDescent="0.25">
      <c r="A187" s="1">
        <v>1053</v>
      </c>
      <c r="B187" s="1" t="s">
        <v>264</v>
      </c>
      <c r="C187" s="1" t="s">
        <v>16</v>
      </c>
      <c r="D187" s="1" t="s">
        <v>1639</v>
      </c>
      <c r="E187" s="1" t="s">
        <v>17</v>
      </c>
      <c r="F187" s="1" t="s">
        <v>18</v>
      </c>
      <c r="G187" s="1" t="s">
        <v>243</v>
      </c>
      <c r="H187" s="1" t="s">
        <v>21</v>
      </c>
      <c r="I187" s="1">
        <v>62066471</v>
      </c>
      <c r="J187" s="2">
        <v>44866</v>
      </c>
      <c r="K187" s="1">
        <v>2702</v>
      </c>
      <c r="L187" s="1">
        <v>803.85</v>
      </c>
      <c r="M187" s="1"/>
      <c r="N187" s="1"/>
      <c r="O187" s="1"/>
    </row>
    <row r="188" spans="1:15" x14ac:dyDescent="0.25">
      <c r="A188" s="1">
        <v>1057</v>
      </c>
      <c r="B188" s="1" t="s">
        <v>265</v>
      </c>
      <c r="C188" s="1" t="s">
        <v>16</v>
      </c>
      <c r="D188" s="1" t="s">
        <v>1630</v>
      </c>
      <c r="E188" s="1" t="s">
        <v>17</v>
      </c>
      <c r="F188" s="1" t="s">
        <v>18</v>
      </c>
      <c r="G188" s="1" t="s">
        <v>243</v>
      </c>
      <c r="H188" s="1" t="s">
        <v>21</v>
      </c>
      <c r="I188" s="1">
        <v>79546777</v>
      </c>
      <c r="J188" s="2">
        <v>44256</v>
      </c>
      <c r="K188" s="1">
        <v>2707</v>
      </c>
      <c r="L188" s="1">
        <v>805.33</v>
      </c>
      <c r="M188" s="1"/>
      <c r="N188" s="1"/>
      <c r="O188" s="1"/>
    </row>
    <row r="189" spans="1:15" x14ac:dyDescent="0.25">
      <c r="A189" s="1">
        <v>1058</v>
      </c>
      <c r="B189" s="1" t="s">
        <v>266</v>
      </c>
      <c r="C189" s="1" t="s">
        <v>16</v>
      </c>
      <c r="D189" s="1" t="s">
        <v>1740</v>
      </c>
      <c r="E189" s="1" t="s">
        <v>17</v>
      </c>
      <c r="F189" s="1" t="s">
        <v>18</v>
      </c>
      <c r="G189" s="1" t="s">
        <v>243</v>
      </c>
      <c r="H189" s="1" t="s">
        <v>21</v>
      </c>
      <c r="I189" s="1">
        <v>80128538</v>
      </c>
      <c r="J189" s="2">
        <v>44805</v>
      </c>
      <c r="K189" s="1">
        <v>2090</v>
      </c>
      <c r="L189" s="1">
        <v>621.78</v>
      </c>
      <c r="M189" s="1"/>
      <c r="N189" s="1"/>
      <c r="O189" s="1"/>
    </row>
    <row r="190" spans="1:15" x14ac:dyDescent="0.25">
      <c r="A190" s="1">
        <v>1064</v>
      </c>
      <c r="B190" s="1" t="s">
        <v>268</v>
      </c>
      <c r="C190" s="1" t="s">
        <v>16</v>
      </c>
      <c r="D190" s="1" t="s">
        <v>1630</v>
      </c>
      <c r="E190" s="1"/>
      <c r="F190" s="1" t="s">
        <v>18</v>
      </c>
      <c r="G190" s="1" t="s">
        <v>243</v>
      </c>
      <c r="H190" s="1" t="s">
        <v>21</v>
      </c>
      <c r="I190" s="1">
        <v>47117777</v>
      </c>
      <c r="J190" s="2">
        <v>45698</v>
      </c>
      <c r="K190" s="1">
        <v>0</v>
      </c>
      <c r="L190" s="1">
        <v>0</v>
      </c>
      <c r="M190" s="1"/>
      <c r="N190" s="1"/>
      <c r="O190" s="1"/>
    </row>
    <row r="191" spans="1:15" x14ac:dyDescent="0.25">
      <c r="A191" s="1">
        <v>2021</v>
      </c>
      <c r="B191" s="1" t="s">
        <v>269</v>
      </c>
      <c r="C191" s="1" t="s">
        <v>16</v>
      </c>
      <c r="D191" s="1" t="s">
        <v>1761</v>
      </c>
      <c r="E191" s="1" t="s">
        <v>17</v>
      </c>
      <c r="F191" s="1" t="s">
        <v>18</v>
      </c>
      <c r="G191" s="1" t="s">
        <v>270</v>
      </c>
      <c r="H191" s="1" t="s">
        <v>45</v>
      </c>
      <c r="I191" s="1">
        <v>48337285</v>
      </c>
      <c r="J191" s="2">
        <v>42104</v>
      </c>
      <c r="K191" s="1">
        <v>4100</v>
      </c>
      <c r="L191" s="1">
        <v>1219.75</v>
      </c>
      <c r="M191" s="1"/>
      <c r="N191" s="1"/>
      <c r="O191" s="1"/>
    </row>
    <row r="192" spans="1:15" x14ac:dyDescent="0.25">
      <c r="A192" s="1">
        <v>2027</v>
      </c>
      <c r="B192" s="1" t="s">
        <v>271</v>
      </c>
      <c r="C192" s="1" t="s">
        <v>16</v>
      </c>
      <c r="D192" s="1" t="s">
        <v>1761</v>
      </c>
      <c r="E192" s="1" t="s">
        <v>17</v>
      </c>
      <c r="F192" s="1" t="s">
        <v>18</v>
      </c>
      <c r="G192" s="1" t="s">
        <v>270</v>
      </c>
      <c r="H192" s="1" t="s">
        <v>45</v>
      </c>
      <c r="I192" s="1">
        <v>61043719</v>
      </c>
      <c r="J192" s="2">
        <v>44378</v>
      </c>
      <c r="K192" s="1">
        <v>4100</v>
      </c>
      <c r="L192" s="1">
        <v>1219.75</v>
      </c>
      <c r="M192" s="1"/>
      <c r="N192" s="1"/>
      <c r="O192" s="1"/>
    </row>
    <row r="193" spans="1:15" x14ac:dyDescent="0.25">
      <c r="A193" s="1">
        <v>2037</v>
      </c>
      <c r="B193" s="1" t="s">
        <v>272</v>
      </c>
      <c r="C193" s="1" t="s">
        <v>16</v>
      </c>
      <c r="D193" s="1" t="s">
        <v>1761</v>
      </c>
      <c r="E193" s="1" t="s">
        <v>17</v>
      </c>
      <c r="F193" s="1" t="s">
        <v>18</v>
      </c>
      <c r="G193" s="1" t="s">
        <v>270</v>
      </c>
      <c r="H193" s="1" t="s">
        <v>45</v>
      </c>
      <c r="I193" s="1">
        <v>21344592</v>
      </c>
      <c r="J193" s="2">
        <v>45174</v>
      </c>
      <c r="K193" s="1">
        <v>4100</v>
      </c>
      <c r="L193" s="1">
        <v>1219.75</v>
      </c>
      <c r="M193" s="1"/>
      <c r="N193" s="1"/>
      <c r="O193" s="1"/>
    </row>
    <row r="194" spans="1:15" x14ac:dyDescent="0.25">
      <c r="A194" s="1">
        <v>3001</v>
      </c>
      <c r="B194" s="1" t="s">
        <v>273</v>
      </c>
      <c r="C194" s="1" t="s">
        <v>16</v>
      </c>
      <c r="D194" s="1" t="s">
        <v>1789</v>
      </c>
      <c r="E194" s="1" t="s">
        <v>17</v>
      </c>
      <c r="F194" s="1" t="s">
        <v>18</v>
      </c>
      <c r="G194" s="1" t="s">
        <v>154</v>
      </c>
      <c r="H194" s="1" t="s">
        <v>45</v>
      </c>
      <c r="I194" s="1">
        <v>15956457</v>
      </c>
      <c r="J194" s="2">
        <v>41944</v>
      </c>
      <c r="K194" s="1">
        <v>4423</v>
      </c>
      <c r="L194" s="1">
        <v>1315.84</v>
      </c>
      <c r="M194" s="1"/>
      <c r="N194" s="1"/>
      <c r="O194" s="1"/>
    </row>
    <row r="195" spans="1:15" x14ac:dyDescent="0.25">
      <c r="A195" s="1">
        <v>3003</v>
      </c>
      <c r="B195" s="1" t="s">
        <v>276</v>
      </c>
      <c r="C195" s="1" t="s">
        <v>16</v>
      </c>
      <c r="D195" s="1" t="s">
        <v>277</v>
      </c>
      <c r="E195" s="1" t="s">
        <v>17</v>
      </c>
      <c r="F195" s="1" t="s">
        <v>18</v>
      </c>
      <c r="G195" s="1" t="s">
        <v>154</v>
      </c>
      <c r="H195" s="1" t="s">
        <v>45</v>
      </c>
      <c r="I195" s="1">
        <v>73564971</v>
      </c>
      <c r="J195" s="2">
        <v>42675</v>
      </c>
      <c r="K195" s="1">
        <v>4423</v>
      </c>
      <c r="L195" s="1">
        <v>1315.84</v>
      </c>
      <c r="M195" s="1"/>
      <c r="N195" s="1"/>
      <c r="O195" s="1"/>
    </row>
    <row r="196" spans="1:15" x14ac:dyDescent="0.25">
      <c r="A196" s="1">
        <v>3004</v>
      </c>
      <c r="B196" s="1" t="s">
        <v>278</v>
      </c>
      <c r="C196" s="1" t="s">
        <v>16</v>
      </c>
      <c r="D196" s="1" t="s">
        <v>277</v>
      </c>
      <c r="E196" s="1" t="s">
        <v>17</v>
      </c>
      <c r="F196" s="1" t="s">
        <v>18</v>
      </c>
      <c r="G196" s="1" t="s">
        <v>154</v>
      </c>
      <c r="H196" s="1" t="s">
        <v>45</v>
      </c>
      <c r="I196" s="1">
        <v>72795051</v>
      </c>
      <c r="J196" s="2">
        <v>42401</v>
      </c>
      <c r="K196" s="1">
        <v>4423</v>
      </c>
      <c r="L196" s="1">
        <v>1315.84</v>
      </c>
      <c r="M196" s="1"/>
      <c r="N196" s="1"/>
      <c r="O196" s="1"/>
    </row>
    <row r="197" spans="1:15" x14ac:dyDescent="0.25">
      <c r="A197" s="1">
        <v>3005</v>
      </c>
      <c r="B197" s="1" t="s">
        <v>279</v>
      </c>
      <c r="C197" s="1" t="s">
        <v>16</v>
      </c>
      <c r="D197" s="1" t="s">
        <v>1768</v>
      </c>
      <c r="E197" s="1" t="s">
        <v>17</v>
      </c>
      <c r="F197" s="1" t="s">
        <v>18</v>
      </c>
      <c r="G197" s="1" t="s">
        <v>107</v>
      </c>
      <c r="H197" s="1" t="s">
        <v>45</v>
      </c>
      <c r="I197" s="1">
        <v>60517322</v>
      </c>
      <c r="J197" s="2">
        <v>42878</v>
      </c>
      <c r="K197" s="1">
        <v>4100</v>
      </c>
      <c r="L197" s="1">
        <v>1219.75</v>
      </c>
      <c r="M197" s="1"/>
      <c r="N197" s="1"/>
      <c r="O197" s="1"/>
    </row>
    <row r="198" spans="1:15" x14ac:dyDescent="0.25">
      <c r="A198" s="1">
        <v>3006</v>
      </c>
      <c r="B198" s="1" t="s">
        <v>280</v>
      </c>
      <c r="C198" s="1" t="s">
        <v>16</v>
      </c>
      <c r="D198" s="1" t="s">
        <v>172</v>
      </c>
      <c r="E198" s="1" t="s">
        <v>17</v>
      </c>
      <c r="F198" s="1" t="s">
        <v>18</v>
      </c>
      <c r="G198" s="1" t="s">
        <v>107</v>
      </c>
      <c r="H198" s="1" t="s">
        <v>45</v>
      </c>
      <c r="I198" s="1">
        <v>6087553</v>
      </c>
      <c r="J198" s="2">
        <v>42374</v>
      </c>
      <c r="K198" s="1">
        <v>4100</v>
      </c>
      <c r="L198" s="1">
        <v>1219.75</v>
      </c>
      <c r="M198" s="1"/>
      <c r="N198" s="1"/>
      <c r="O198" s="1"/>
    </row>
    <row r="199" spans="1:15" x14ac:dyDescent="0.25">
      <c r="A199" s="1">
        <v>3007</v>
      </c>
      <c r="B199" s="1" t="s">
        <v>281</v>
      </c>
      <c r="C199" s="1" t="s">
        <v>25</v>
      </c>
      <c r="D199" s="1" t="s">
        <v>1086</v>
      </c>
      <c r="E199" s="1" t="s">
        <v>26</v>
      </c>
      <c r="F199" s="1" t="s">
        <v>18</v>
      </c>
      <c r="G199" s="1" t="s">
        <v>107</v>
      </c>
      <c r="H199" s="1" t="s">
        <v>45</v>
      </c>
      <c r="I199" s="1">
        <v>78957713</v>
      </c>
      <c r="J199" s="2">
        <v>42185</v>
      </c>
      <c r="K199" s="1">
        <v>4121</v>
      </c>
      <c r="L199" s="1">
        <v>1226</v>
      </c>
      <c r="M199" s="1"/>
      <c r="N199" s="1"/>
      <c r="O199" s="1"/>
    </row>
    <row r="200" spans="1:15" x14ac:dyDescent="0.25">
      <c r="A200" s="1">
        <v>3008</v>
      </c>
      <c r="B200" s="1" t="s">
        <v>282</v>
      </c>
      <c r="C200" s="1" t="s">
        <v>25</v>
      </c>
      <c r="D200" s="1" t="s">
        <v>1086</v>
      </c>
      <c r="E200" s="1" t="s">
        <v>26</v>
      </c>
      <c r="F200" s="1" t="s">
        <v>18</v>
      </c>
      <c r="G200" s="1" t="s">
        <v>107</v>
      </c>
      <c r="H200" s="1" t="s">
        <v>45</v>
      </c>
      <c r="I200" s="1">
        <v>69162809</v>
      </c>
      <c r="J200" s="2">
        <v>42185</v>
      </c>
      <c r="K200" s="1">
        <v>4121</v>
      </c>
      <c r="L200" s="1">
        <v>1226</v>
      </c>
      <c r="M200" s="1"/>
      <c r="N200" s="1"/>
      <c r="O200" s="1"/>
    </row>
    <row r="201" spans="1:15" x14ac:dyDescent="0.25">
      <c r="A201" s="1">
        <v>3009</v>
      </c>
      <c r="B201" s="1" t="s">
        <v>283</v>
      </c>
      <c r="C201" s="1" t="s">
        <v>16</v>
      </c>
      <c r="D201" s="1" t="s">
        <v>1824</v>
      </c>
      <c r="E201" s="1" t="s">
        <v>17</v>
      </c>
      <c r="F201" s="1" t="s">
        <v>18</v>
      </c>
      <c r="G201" s="1" t="s">
        <v>284</v>
      </c>
      <c r="H201" s="1" t="s">
        <v>45</v>
      </c>
      <c r="I201" s="1">
        <v>19432108</v>
      </c>
      <c r="J201" s="2">
        <v>43313</v>
      </c>
      <c r="K201" s="1">
        <v>4423</v>
      </c>
      <c r="L201" s="1">
        <v>1315.84</v>
      </c>
      <c r="M201" s="1"/>
      <c r="N201" s="1"/>
      <c r="O201" s="1"/>
    </row>
    <row r="202" spans="1:15" x14ac:dyDescent="0.25">
      <c r="A202" s="1">
        <v>3012</v>
      </c>
      <c r="B202" s="1" t="s">
        <v>286</v>
      </c>
      <c r="C202" s="1" t="s">
        <v>16</v>
      </c>
      <c r="D202" s="1" t="s">
        <v>1830</v>
      </c>
      <c r="E202" s="1" t="s">
        <v>17</v>
      </c>
      <c r="F202" s="1" t="s">
        <v>18</v>
      </c>
      <c r="G202" s="1" t="s">
        <v>287</v>
      </c>
      <c r="H202" s="1" t="s">
        <v>45</v>
      </c>
      <c r="I202" s="1">
        <v>17323472</v>
      </c>
      <c r="J202" s="2">
        <v>43831</v>
      </c>
      <c r="K202" s="1">
        <v>4423</v>
      </c>
      <c r="L202" s="1">
        <v>1315.84</v>
      </c>
      <c r="M202" s="1"/>
      <c r="N202" s="1"/>
      <c r="O202" s="1"/>
    </row>
    <row r="203" spans="1:15" x14ac:dyDescent="0.25">
      <c r="A203" s="1">
        <v>3017</v>
      </c>
      <c r="B203" s="1" t="s">
        <v>289</v>
      </c>
      <c r="C203" s="1" t="s">
        <v>25</v>
      </c>
      <c r="D203" s="1" t="s">
        <v>1837</v>
      </c>
      <c r="E203" s="1" t="s">
        <v>26</v>
      </c>
      <c r="F203" s="1" t="s">
        <v>18</v>
      </c>
      <c r="G203" s="1" t="s">
        <v>152</v>
      </c>
      <c r="H203" s="1" t="s">
        <v>45</v>
      </c>
      <c r="I203" s="1">
        <v>80653930</v>
      </c>
      <c r="J203" s="2">
        <v>44454</v>
      </c>
      <c r="K203" s="1">
        <v>4423</v>
      </c>
      <c r="L203" s="1">
        <v>1315.84</v>
      </c>
      <c r="M203" s="1"/>
      <c r="N203" s="1"/>
      <c r="O203" s="1"/>
    </row>
    <row r="204" spans="1:15" x14ac:dyDescent="0.25">
      <c r="A204" s="1">
        <v>3020</v>
      </c>
      <c r="B204" s="1" t="s">
        <v>291</v>
      </c>
      <c r="C204" s="1" t="s">
        <v>16</v>
      </c>
      <c r="D204" s="1" t="s">
        <v>277</v>
      </c>
      <c r="E204" s="1" t="s">
        <v>17</v>
      </c>
      <c r="F204" s="1" t="s">
        <v>18</v>
      </c>
      <c r="G204" s="1" t="s">
        <v>154</v>
      </c>
      <c r="H204" s="1" t="s">
        <v>45</v>
      </c>
      <c r="I204" s="1">
        <v>68356925</v>
      </c>
      <c r="J204" s="2">
        <v>45090</v>
      </c>
      <c r="K204" s="1">
        <v>4423</v>
      </c>
      <c r="L204" s="1">
        <v>1315.84</v>
      </c>
      <c r="M204" s="1"/>
      <c r="N204" s="1"/>
      <c r="O204" s="1"/>
    </row>
    <row r="205" spans="1:15" x14ac:dyDescent="0.25">
      <c r="A205" s="1">
        <v>3021</v>
      </c>
      <c r="B205" s="1" t="s">
        <v>292</v>
      </c>
      <c r="C205" s="1" t="s">
        <v>16</v>
      </c>
      <c r="D205" s="1" t="s">
        <v>1825</v>
      </c>
      <c r="E205" s="1" t="s">
        <v>17</v>
      </c>
      <c r="F205" s="1" t="s">
        <v>18</v>
      </c>
      <c r="G205" s="1" t="s">
        <v>287</v>
      </c>
      <c r="H205" s="1" t="s">
        <v>45</v>
      </c>
      <c r="I205" s="1">
        <v>80873265</v>
      </c>
      <c r="J205" s="2">
        <v>45231</v>
      </c>
      <c r="K205" s="1">
        <v>3015</v>
      </c>
      <c r="L205" s="1">
        <v>896.96</v>
      </c>
      <c r="M205" s="1"/>
      <c r="N205" s="1"/>
      <c r="O205" s="1"/>
    </row>
    <row r="206" spans="1:15" x14ac:dyDescent="0.25">
      <c r="A206" s="1">
        <v>3022</v>
      </c>
      <c r="B206" s="1" t="s">
        <v>295</v>
      </c>
      <c r="C206" s="1" t="s">
        <v>16</v>
      </c>
      <c r="D206" s="1" t="s">
        <v>1825</v>
      </c>
      <c r="E206" s="1" t="s">
        <v>17</v>
      </c>
      <c r="F206" s="1" t="s">
        <v>18</v>
      </c>
      <c r="G206" s="1" t="s">
        <v>287</v>
      </c>
      <c r="H206" s="1" t="s">
        <v>45</v>
      </c>
      <c r="I206" s="1">
        <v>74693662</v>
      </c>
      <c r="J206" s="2">
        <v>45231</v>
      </c>
      <c r="K206" s="1">
        <v>4423</v>
      </c>
      <c r="L206" s="1">
        <v>1315.84</v>
      </c>
      <c r="M206" s="1"/>
      <c r="N206" s="1"/>
      <c r="O206" s="1"/>
    </row>
    <row r="207" spans="1:15" x14ac:dyDescent="0.25">
      <c r="A207" s="1">
        <v>3027</v>
      </c>
      <c r="B207" s="1" t="s">
        <v>296</v>
      </c>
      <c r="C207" s="1" t="s">
        <v>16</v>
      </c>
      <c r="D207" s="1" t="s">
        <v>277</v>
      </c>
      <c r="E207" s="1" t="s">
        <v>17</v>
      </c>
      <c r="F207" s="1" t="s">
        <v>18</v>
      </c>
      <c r="G207" s="1" t="s">
        <v>154</v>
      </c>
      <c r="H207" s="1" t="s">
        <v>21</v>
      </c>
      <c r="I207" s="1">
        <v>0</v>
      </c>
      <c r="J207" s="2">
        <v>45742</v>
      </c>
      <c r="K207" s="1">
        <v>0</v>
      </c>
      <c r="L207" s="1">
        <v>0</v>
      </c>
      <c r="M207" s="1"/>
      <c r="N207" s="1"/>
      <c r="O207" s="1"/>
    </row>
    <row r="208" spans="1:15" x14ac:dyDescent="0.25">
      <c r="A208" s="1">
        <v>9000</v>
      </c>
      <c r="B208" s="1" t="s">
        <v>297</v>
      </c>
      <c r="C208" s="1" t="s">
        <v>16</v>
      </c>
      <c r="D208" s="1" t="s">
        <v>894</v>
      </c>
      <c r="E208" s="1" t="s">
        <v>17</v>
      </c>
      <c r="F208" s="1" t="s">
        <v>215</v>
      </c>
      <c r="G208" s="1" t="s">
        <v>19</v>
      </c>
      <c r="H208" s="1" t="s">
        <v>45</v>
      </c>
      <c r="I208" s="1">
        <v>13210228</v>
      </c>
      <c r="J208" s="2">
        <v>43028</v>
      </c>
      <c r="K208" s="1">
        <v>2300</v>
      </c>
      <c r="L208" s="1">
        <v>684.25</v>
      </c>
      <c r="M208" s="1"/>
      <c r="N208" s="1"/>
      <c r="O208" s="1"/>
    </row>
    <row r="209" spans="1:15" x14ac:dyDescent="0.25">
      <c r="A209" s="1">
        <v>9001</v>
      </c>
      <c r="B209" s="1" t="s">
        <v>298</v>
      </c>
      <c r="C209" s="1" t="s">
        <v>16</v>
      </c>
      <c r="D209" s="1" t="s">
        <v>422</v>
      </c>
      <c r="E209" s="1" t="s">
        <v>17</v>
      </c>
      <c r="F209" s="1" t="s">
        <v>215</v>
      </c>
      <c r="G209" s="1" t="s">
        <v>19</v>
      </c>
      <c r="H209" s="1" t="s">
        <v>45</v>
      </c>
      <c r="I209" s="1">
        <v>62596804</v>
      </c>
      <c r="J209" s="2">
        <v>43160</v>
      </c>
      <c r="K209" s="1">
        <v>2300</v>
      </c>
      <c r="L209" s="1">
        <v>684.25</v>
      </c>
      <c r="M209" s="1"/>
      <c r="N209" s="1"/>
      <c r="O209" s="1"/>
    </row>
    <row r="210" spans="1:15" x14ac:dyDescent="0.25">
      <c r="A210" s="1" t="s">
        <v>299</v>
      </c>
      <c r="B210" s="1"/>
      <c r="C210" s="1"/>
      <c r="D210" s="1"/>
      <c r="E210" s="1"/>
      <c r="F210" s="1"/>
      <c r="G210" s="1"/>
      <c r="H210" s="1"/>
      <c r="I210" s="1"/>
      <c r="J210" s="1"/>
      <c r="K210" s="5">
        <f>SUBTOTAL(109,Table15[مرتب التأمين])</f>
        <v>745065</v>
      </c>
      <c r="L210" s="1">
        <f>SUBTOTAL(109,Table15[قيمة التأمين المستحقة])</f>
        <v>221656.93999999983</v>
      </c>
      <c r="M210" s="1"/>
      <c r="N210" s="1"/>
      <c r="O21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2667-7D03-4EDE-92F4-9EC15395010C}">
  <sheetPr codeName="Sheet2"/>
  <dimension ref="A1:C41"/>
  <sheetViews>
    <sheetView rightToLeft="1" workbookViewId="0">
      <selection activeCell="B19" sqref="B19"/>
    </sheetView>
  </sheetViews>
  <sheetFormatPr defaultRowHeight="13.8" x14ac:dyDescent="0.25"/>
  <cols>
    <col min="1" max="1" width="10.69921875" bestFit="1" customWidth="1"/>
    <col min="2" max="2" width="33" bestFit="1" customWidth="1"/>
    <col min="3" max="3" width="8.796875" style="1"/>
  </cols>
  <sheetData>
    <row r="1" spans="1:3" ht="16.8" x14ac:dyDescent="0.25">
      <c r="A1" s="36" t="s">
        <v>318</v>
      </c>
      <c r="B1" s="35" t="s">
        <v>321</v>
      </c>
      <c r="C1" s="1" t="s">
        <v>1908</v>
      </c>
    </row>
    <row r="2" spans="1:3" ht="15.6" x14ac:dyDescent="0.25">
      <c r="A2" s="37">
        <v>51</v>
      </c>
      <c r="B2" s="35" t="s">
        <v>43</v>
      </c>
      <c r="C2" s="1" t="s">
        <v>1909</v>
      </c>
    </row>
    <row r="3" spans="1:3" ht="15.6" x14ac:dyDescent="0.25">
      <c r="A3" s="37">
        <v>88</v>
      </c>
      <c r="B3" s="35" t="s">
        <v>63</v>
      </c>
    </row>
    <row r="4" spans="1:3" ht="15.6" x14ac:dyDescent="0.25">
      <c r="A4" s="37">
        <v>154</v>
      </c>
      <c r="B4" s="35" t="s">
        <v>82</v>
      </c>
    </row>
    <row r="5" spans="1:3" ht="15.6" x14ac:dyDescent="0.25">
      <c r="A5" s="37">
        <v>204</v>
      </c>
      <c r="B5" s="35" t="s">
        <v>92</v>
      </c>
      <c r="C5" s="1" t="s">
        <v>1909</v>
      </c>
    </row>
    <row r="6" spans="1:3" ht="15.6" x14ac:dyDescent="0.25">
      <c r="A6" s="37">
        <v>392</v>
      </c>
      <c r="B6" s="35" t="s">
        <v>117</v>
      </c>
    </row>
    <row r="7" spans="1:3" ht="15.6" x14ac:dyDescent="0.25">
      <c r="A7" s="37">
        <v>422</v>
      </c>
      <c r="B7" s="35" t="s">
        <v>125</v>
      </c>
    </row>
    <row r="8" spans="1:3" ht="15.6" x14ac:dyDescent="0.25">
      <c r="A8" s="37">
        <v>507</v>
      </c>
      <c r="B8" s="35" t="s">
        <v>143</v>
      </c>
      <c r="C8" s="1" t="s">
        <v>1909</v>
      </c>
    </row>
    <row r="9" spans="1:3" ht="15.6" x14ac:dyDescent="0.25">
      <c r="A9" s="37">
        <v>511</v>
      </c>
      <c r="B9" s="35" t="s">
        <v>149</v>
      </c>
    </row>
    <row r="10" spans="1:3" ht="15.6" x14ac:dyDescent="0.25">
      <c r="A10" s="37">
        <v>512</v>
      </c>
      <c r="B10" s="35" t="s">
        <v>151</v>
      </c>
    </row>
    <row r="11" spans="1:3" ht="15.6" x14ac:dyDescent="0.25">
      <c r="A11" s="37">
        <v>513</v>
      </c>
      <c r="B11" s="35" t="s">
        <v>153</v>
      </c>
    </row>
    <row r="12" spans="1:3" ht="15.6" x14ac:dyDescent="0.25">
      <c r="A12" s="37">
        <v>531</v>
      </c>
      <c r="B12" s="35" t="s">
        <v>157</v>
      </c>
    </row>
    <row r="13" spans="1:3" ht="15.6" x14ac:dyDescent="0.25">
      <c r="A13" s="37">
        <v>562</v>
      </c>
      <c r="B13" s="35" t="s">
        <v>173</v>
      </c>
    </row>
    <row r="14" spans="1:3" ht="15.6" x14ac:dyDescent="0.25">
      <c r="A14" s="37">
        <v>664</v>
      </c>
      <c r="B14" s="35" t="s">
        <v>208</v>
      </c>
      <c r="C14" s="1" t="s">
        <v>1909</v>
      </c>
    </row>
    <row r="15" spans="1:3" ht="15.6" x14ac:dyDescent="0.25">
      <c r="A15" s="37">
        <v>666</v>
      </c>
      <c r="B15" s="35" t="s">
        <v>209</v>
      </c>
      <c r="C15" s="1" t="s">
        <v>1909</v>
      </c>
    </row>
    <row r="16" spans="1:3" ht="15.6" x14ac:dyDescent="0.25">
      <c r="A16" s="37">
        <v>672</v>
      </c>
      <c r="B16" s="35" t="s">
        <v>211</v>
      </c>
      <c r="C16" s="1" t="s">
        <v>1909</v>
      </c>
    </row>
    <row r="17" spans="1:3" ht="15.6" x14ac:dyDescent="0.25">
      <c r="A17" s="37">
        <v>735</v>
      </c>
      <c r="B17" s="35" t="s">
        <v>228</v>
      </c>
      <c r="C17" s="1" t="s">
        <v>1909</v>
      </c>
    </row>
    <row r="18" spans="1:3" ht="15.6" x14ac:dyDescent="0.25">
      <c r="A18" s="37">
        <v>739</v>
      </c>
      <c r="B18" s="35" t="s">
        <v>229</v>
      </c>
      <c r="C18" s="1" t="s">
        <v>1909</v>
      </c>
    </row>
    <row r="19" spans="1:3" ht="15.6" x14ac:dyDescent="0.25">
      <c r="A19" s="37">
        <v>783</v>
      </c>
      <c r="B19" s="35" t="s">
        <v>236</v>
      </c>
    </row>
    <row r="20" spans="1:3" ht="15.6" x14ac:dyDescent="0.25">
      <c r="A20" s="37">
        <v>790</v>
      </c>
      <c r="B20" s="35" t="s">
        <v>239</v>
      </c>
      <c r="C20" s="1" t="s">
        <v>1909</v>
      </c>
    </row>
    <row r="21" spans="1:3" ht="15.6" x14ac:dyDescent="0.25">
      <c r="A21" s="37">
        <v>792</v>
      </c>
      <c r="B21" s="35" t="s">
        <v>240</v>
      </c>
      <c r="C21" s="1" t="s">
        <v>1909</v>
      </c>
    </row>
    <row r="22" spans="1:3" ht="15.6" x14ac:dyDescent="0.25">
      <c r="A22" s="37">
        <v>2000</v>
      </c>
      <c r="B22" s="35" t="s">
        <v>1747</v>
      </c>
    </row>
    <row r="23" spans="1:3" ht="15.6" x14ac:dyDescent="0.25">
      <c r="A23" s="37">
        <v>2001</v>
      </c>
      <c r="B23" s="35" t="s">
        <v>1753</v>
      </c>
    </row>
    <row r="24" spans="1:3" ht="15.6" x14ac:dyDescent="0.25">
      <c r="A24" s="37">
        <v>2002</v>
      </c>
      <c r="B24" s="35" t="s">
        <v>1756</v>
      </c>
    </row>
    <row r="25" spans="1:3" ht="15.6" x14ac:dyDescent="0.25">
      <c r="A25" s="37">
        <v>2003</v>
      </c>
      <c r="B25" s="35" t="s">
        <v>1759</v>
      </c>
    </row>
    <row r="26" spans="1:3" ht="15.6" x14ac:dyDescent="0.25">
      <c r="A26" s="37">
        <v>2021</v>
      </c>
      <c r="B26" s="35" t="s">
        <v>269</v>
      </c>
    </row>
    <row r="27" spans="1:3" ht="15.6" x14ac:dyDescent="0.25">
      <c r="A27" s="37">
        <v>2027</v>
      </c>
      <c r="B27" s="35" t="s">
        <v>271</v>
      </c>
    </row>
    <row r="28" spans="1:3" ht="15.6" x14ac:dyDescent="0.25">
      <c r="A28" s="37">
        <v>2037</v>
      </c>
      <c r="B28" s="35" t="s">
        <v>272</v>
      </c>
    </row>
    <row r="29" spans="1:3" ht="15.6" x14ac:dyDescent="0.25">
      <c r="A29" s="37">
        <v>3001</v>
      </c>
      <c r="B29" s="35" t="s">
        <v>273</v>
      </c>
    </row>
    <row r="30" spans="1:3" ht="15.6" x14ac:dyDescent="0.25">
      <c r="A30" s="37">
        <v>3003</v>
      </c>
      <c r="B30" s="35" t="s">
        <v>276</v>
      </c>
    </row>
    <row r="31" spans="1:3" ht="15.6" x14ac:dyDescent="0.25">
      <c r="A31" s="37">
        <v>3004</v>
      </c>
      <c r="B31" s="35" t="s">
        <v>278</v>
      </c>
    </row>
    <row r="32" spans="1:3" ht="15.6" x14ac:dyDescent="0.25">
      <c r="A32" s="37">
        <v>3005</v>
      </c>
      <c r="B32" s="35" t="s">
        <v>279</v>
      </c>
    </row>
    <row r="33" spans="1:2" ht="15.6" x14ac:dyDescent="0.25">
      <c r="A33" s="37">
        <v>3006</v>
      </c>
      <c r="B33" s="35" t="s">
        <v>280</v>
      </c>
    </row>
    <row r="34" spans="1:2" ht="15.6" x14ac:dyDescent="0.25">
      <c r="A34" s="37">
        <v>3007</v>
      </c>
      <c r="B34" s="35" t="s">
        <v>281</v>
      </c>
    </row>
    <row r="35" spans="1:2" ht="15.6" x14ac:dyDescent="0.25">
      <c r="A35" s="37">
        <v>3008</v>
      </c>
      <c r="B35" s="35" t="s">
        <v>282</v>
      </c>
    </row>
    <row r="36" spans="1:2" ht="15.6" x14ac:dyDescent="0.25">
      <c r="A36" s="37">
        <v>3009</v>
      </c>
      <c r="B36" s="35" t="s">
        <v>283</v>
      </c>
    </row>
    <row r="37" spans="1:2" ht="15.6" x14ac:dyDescent="0.25">
      <c r="A37" s="37">
        <v>3012</v>
      </c>
      <c r="B37" s="35" t="s">
        <v>286</v>
      </c>
    </row>
    <row r="38" spans="1:2" ht="15.6" x14ac:dyDescent="0.25">
      <c r="A38" s="37">
        <v>3017</v>
      </c>
      <c r="B38" s="35" t="s">
        <v>289</v>
      </c>
    </row>
    <row r="39" spans="1:2" ht="15.6" x14ac:dyDescent="0.25">
      <c r="A39" s="37">
        <v>3020</v>
      </c>
      <c r="B39" s="35" t="s">
        <v>291</v>
      </c>
    </row>
    <row r="40" spans="1:2" ht="15.6" x14ac:dyDescent="0.25">
      <c r="A40" s="37">
        <v>3021</v>
      </c>
      <c r="B40" s="35" t="s">
        <v>292</v>
      </c>
    </row>
    <row r="41" spans="1:2" ht="15.6" x14ac:dyDescent="0.25">
      <c r="A41" s="37">
        <v>3022</v>
      </c>
      <c r="B41" s="35" t="s">
        <v>295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5FDC-D609-4919-B538-D90B536B327E}">
  <dimension ref="A1:T215"/>
  <sheetViews>
    <sheetView rightToLeft="1" tabSelected="1" topLeftCell="F204" workbookViewId="0">
      <selection activeCell="I212" sqref="I212"/>
    </sheetView>
  </sheetViews>
  <sheetFormatPr defaultRowHeight="13.8" x14ac:dyDescent="0.25"/>
  <cols>
    <col min="2" max="2" width="37.09765625" bestFit="1" customWidth="1"/>
    <col min="3" max="3" width="13.8984375" bestFit="1" customWidth="1"/>
    <col min="4" max="4" width="13.8984375" customWidth="1"/>
    <col min="5" max="5" width="24.3984375" bestFit="1" customWidth="1"/>
    <col min="6" max="6" width="24.69921875" style="65" customWidth="1"/>
    <col min="7" max="7" width="12.796875" style="57" customWidth="1"/>
    <col min="8" max="8" width="24.09765625" style="57" bestFit="1" customWidth="1"/>
    <col min="9" max="9" width="12.796875" style="57" customWidth="1"/>
    <col min="10" max="10" width="18.09765625" style="57" customWidth="1"/>
    <col min="11" max="11" width="16.69921875" customWidth="1"/>
    <col min="12" max="12" width="18.59765625" customWidth="1"/>
    <col min="13" max="13" width="18.19921875" customWidth="1"/>
    <col min="14" max="14" width="12.09765625" customWidth="1"/>
    <col min="15" max="15" width="12.59765625" customWidth="1"/>
    <col min="16" max="16" width="14.3984375" customWidth="1"/>
    <col min="17" max="17" width="16.69921875" bestFit="1" customWidth="1"/>
    <col min="18" max="18" width="16.296875" bestFit="1" customWidth="1"/>
    <col min="19" max="19" width="12.796875" bestFit="1" customWidth="1"/>
    <col min="20" max="20" width="29" bestFit="1" customWidth="1"/>
  </cols>
  <sheetData>
    <row r="1" spans="1:20" ht="16.8" x14ac:dyDescent="0.25">
      <c r="A1" s="38" t="s">
        <v>0</v>
      </c>
      <c r="B1" s="39" t="s">
        <v>300</v>
      </c>
      <c r="C1" s="39" t="s">
        <v>301</v>
      </c>
      <c r="D1" s="39" t="s">
        <v>2</v>
      </c>
      <c r="E1" s="39" t="s">
        <v>1938</v>
      </c>
      <c r="F1" s="62" t="s">
        <v>1880</v>
      </c>
      <c r="G1" s="39" t="s">
        <v>302</v>
      </c>
      <c r="H1" s="56" t="s">
        <v>303</v>
      </c>
      <c r="I1" s="56" t="s">
        <v>1904</v>
      </c>
      <c r="J1" s="56" t="s">
        <v>1905</v>
      </c>
      <c r="K1" s="56" t="s">
        <v>305</v>
      </c>
      <c r="L1" s="39" t="s">
        <v>306</v>
      </c>
      <c r="M1" s="39" t="s">
        <v>307</v>
      </c>
      <c r="N1" s="39" t="s">
        <v>308</v>
      </c>
      <c r="O1" s="39" t="s">
        <v>309</v>
      </c>
      <c r="P1" s="39" t="s">
        <v>310</v>
      </c>
      <c r="Q1" s="39" t="s">
        <v>311</v>
      </c>
      <c r="R1" s="39" t="s">
        <v>313</v>
      </c>
      <c r="S1" s="39" t="s">
        <v>312</v>
      </c>
      <c r="T1" s="40" t="s">
        <v>314</v>
      </c>
    </row>
    <row r="2" spans="1:20" ht="16.8" x14ac:dyDescent="0.25">
      <c r="A2" s="9">
        <v>14</v>
      </c>
      <c r="B2" s="10" t="s">
        <v>15</v>
      </c>
      <c r="C2" s="10" t="str">
        <f>VLOOKUP(Table6[[#This Row],[الكود]],Data[],12,0)</f>
        <v>29106011403851</v>
      </c>
      <c r="D2" s="10" t="str">
        <f>VLOOKUP(Table6[[#This Row],[الكود]],Data[],10,0)</f>
        <v>مصرى</v>
      </c>
      <c r="E2" s="10" t="str">
        <f>VLOOKUP(Table6[[#This Row],[الكود]],Data[],25,0)</f>
        <v>غير مؤمن</v>
      </c>
      <c r="F2" s="63">
        <f>VLOOKUP(Table6[[#This Row],[الكود]],Data[],88,0)</f>
        <v>45843</v>
      </c>
      <c r="G2" s="10"/>
      <c r="H2" s="54">
        <f>_xlfn.IFNA(IF(Table6[[#This Row],[الكود]]="","",VLOOKUP(Table6[[#This Row],[الكود]],Data[],97,0)),"")</f>
        <v>7300</v>
      </c>
      <c r="I2" s="54">
        <f>_xlfn.IFNA(IF(Table6[[#This Row],[الكود]]="","",VLOOKUP(Table6[[#This Row],[الكود]],Data[],99,0)),"")</f>
        <v>5615.38</v>
      </c>
      <c r="J2" s="54">
        <f>_xlfn.IFNA(IF(Table6[[#This Row],[الكود]]="","",VLOOKUP(Table6[[#This Row],[الكود]],Data[],100,0)),"")</f>
        <v>1684.62</v>
      </c>
      <c r="K2" s="54">
        <f>IF(Table6[[#This Row],[الاجر الشامل]]=0,"",I2*11%)</f>
        <v>617.69180000000006</v>
      </c>
      <c r="L2" s="54">
        <f>IF(Table6[[#This Row],[الاجر الشامل]]=0,"",I2*18.75%)</f>
        <v>1052.88375</v>
      </c>
      <c r="M2" s="17" t="str">
        <f>VLOOKUP(Table6[[#This Row],[الكود]],Data[],63,0)</f>
        <v>ادى الخدمة</v>
      </c>
      <c r="N2" s="17" t="str">
        <f>VLOOKUP(Table6[[#This Row],[الكود]],Data[],64,0)</f>
        <v>مؤهل عالى</v>
      </c>
      <c r="O2" s="17" t="b">
        <f>VLOOKUP(Table6[[#This Row],[الكود]],Data[],65,0)</f>
        <v>1</v>
      </c>
      <c r="P2" s="17" t="b">
        <f>VLOOKUP(Table6[[#This Row],[الكود]],Data[],67,0)</f>
        <v>1</v>
      </c>
      <c r="Q2" s="17"/>
      <c r="R2" s="17" t="b">
        <f>VLOOKUP(Table6[[#This Row],[الكود]],Data[],71,0)</f>
        <v>1</v>
      </c>
      <c r="S2" s="17" t="b">
        <f>VLOOKUP(Table6[[#This Row],[الكود]],Data[],73,0)</f>
        <v>1</v>
      </c>
      <c r="T2" s="41"/>
    </row>
    <row r="3" spans="1:20" ht="16.8" x14ac:dyDescent="0.25">
      <c r="A3" s="9">
        <v>24</v>
      </c>
      <c r="B3" s="10" t="s">
        <v>24</v>
      </c>
      <c r="C3" s="10" t="str">
        <f>VLOOKUP(Table6[[#This Row],[الكود]],Data[],12,0)</f>
        <v>28204111302146</v>
      </c>
      <c r="D3" s="10" t="str">
        <f>VLOOKUP(Table6[[#This Row],[الكود]],Data[],10,0)</f>
        <v>مصرية</v>
      </c>
      <c r="E3" s="10" t="str">
        <f>VLOOKUP(Table6[[#This Row],[الكود]],Data[],25,0)</f>
        <v>غير مؤمن</v>
      </c>
      <c r="F3" s="63">
        <f>VLOOKUP(Table6[[#This Row],[الكود]],Data[],88,0)</f>
        <v>45851</v>
      </c>
      <c r="G3" s="10"/>
      <c r="H3" s="54">
        <f>_xlfn.IFNA(IF(Table6[[#This Row],[الكود]]="","",VLOOKUP(Table6[[#This Row],[الكود]],Data[],97,0)),"")</f>
        <v>7000</v>
      </c>
      <c r="I3" s="54">
        <f>_xlfn.IFNA(IF(Table6[[#This Row],[الكود]]="","",VLOOKUP(Table6[[#This Row],[الكود]],Data[],99,0)),"")</f>
        <v>5384.62</v>
      </c>
      <c r="J3" s="54">
        <f>_xlfn.IFNA(IF(Table6[[#This Row],[الكود]]="","",VLOOKUP(Table6[[#This Row],[الكود]],Data[],100,0)),"")</f>
        <v>1615.38</v>
      </c>
      <c r="K3" s="54">
        <f>IF(Table6[[#This Row],[الاجر الشامل]]=0,"",I3*11%)</f>
        <v>592.30819999999994</v>
      </c>
      <c r="L3" s="54">
        <f>IF(Table6[[#This Row],[الاجر الشامل]]=0,"",I3*18.75%)</f>
        <v>1009.61625</v>
      </c>
      <c r="M3" s="17" t="str">
        <f>VLOOKUP(Table6[[#This Row],[الكود]],Data[],63,0)</f>
        <v>غير موجودة</v>
      </c>
      <c r="N3" s="17" t="str">
        <f>VLOOKUP(Table6[[#This Row],[الكود]],Data[],64,0)</f>
        <v>غير موجودة</v>
      </c>
      <c r="O3" s="17" t="b">
        <f>VLOOKUP(Table6[[#This Row],[الكود]],Data[],65,0)</f>
        <v>1</v>
      </c>
      <c r="P3" s="17" t="b">
        <f>VLOOKUP(Table6[[#This Row],[الكود]],Data[],67,0)</f>
        <v>1</v>
      </c>
      <c r="Q3" s="17"/>
      <c r="R3" s="17" t="b">
        <f>VLOOKUP(Table6[[#This Row],[الكود]],Data[],71,0)</f>
        <v>1</v>
      </c>
      <c r="S3" s="17" t="b">
        <f>VLOOKUP(Table6[[#This Row],[الكود]],Data[],73,0)</f>
        <v>0</v>
      </c>
      <c r="T3" s="41"/>
    </row>
    <row r="4" spans="1:20" ht="16.8" x14ac:dyDescent="0.25">
      <c r="A4" s="9">
        <v>25</v>
      </c>
      <c r="B4" s="10" t="s">
        <v>28</v>
      </c>
      <c r="C4" s="10" t="str">
        <f>VLOOKUP(Table6[[#This Row],[الكود]],Data[],12,0)</f>
        <v>29401011323042</v>
      </c>
      <c r="D4" s="10" t="str">
        <f>VLOOKUP(Table6[[#This Row],[الكود]],Data[],10,0)</f>
        <v>مصرية</v>
      </c>
      <c r="E4" s="10" t="str">
        <f>VLOOKUP(Table6[[#This Row],[الكود]],Data[],25,0)</f>
        <v>غير مؤمن</v>
      </c>
      <c r="F4" s="63">
        <f>VLOOKUP(Table6[[#This Row],[الكود]],Data[],88,0)</f>
        <v>45851</v>
      </c>
      <c r="G4" s="10"/>
      <c r="H4" s="54">
        <f>_xlfn.IFNA(IF(Table6[[#This Row],[الكود]]="","",VLOOKUP(Table6[[#This Row],[الكود]],Data[],97,0)),"")</f>
        <v>7000</v>
      </c>
      <c r="I4" s="54">
        <f>_xlfn.IFNA(IF(Table6[[#This Row],[الكود]]="","",VLOOKUP(Table6[[#This Row],[الكود]],Data[],99,0)),"")</f>
        <v>5384.62</v>
      </c>
      <c r="J4" s="54">
        <f>_xlfn.IFNA(IF(Table6[[#This Row],[الكود]]="","",VLOOKUP(Table6[[#This Row],[الكود]],Data[],100,0)),"")</f>
        <v>1615.38</v>
      </c>
      <c r="K4" s="54">
        <f>IF(Table6[[#This Row],[الاجر الشامل]]=0,"",I4*11%)</f>
        <v>592.30819999999994</v>
      </c>
      <c r="L4" s="54">
        <f>IF(Table6[[#This Row],[الاجر الشامل]]=0,"",I4*18.75%)</f>
        <v>1009.61625</v>
      </c>
      <c r="M4" s="17" t="str">
        <f>VLOOKUP(Table6[[#This Row],[الكود]],Data[],63,0)</f>
        <v>غير موجودة</v>
      </c>
      <c r="N4" s="17" t="str">
        <f>VLOOKUP(Table6[[#This Row],[الكود]],Data[],64,0)</f>
        <v>غير موجودة</v>
      </c>
      <c r="O4" s="17" t="b">
        <f>VLOOKUP(Table6[[#This Row],[الكود]],Data[],65,0)</f>
        <v>1</v>
      </c>
      <c r="P4" s="17" t="b">
        <f>VLOOKUP(Table6[[#This Row],[الكود]],Data[],67,0)</f>
        <v>1</v>
      </c>
      <c r="Q4" s="17"/>
      <c r="R4" s="17" t="b">
        <f>VLOOKUP(Table6[[#This Row],[الكود]],Data[],71,0)</f>
        <v>1</v>
      </c>
      <c r="S4" s="17" t="b">
        <f>VLOOKUP(Table6[[#This Row],[الكود]],Data[],73,0)</f>
        <v>0</v>
      </c>
      <c r="T4" s="41"/>
    </row>
    <row r="5" spans="1:20" ht="16.8" x14ac:dyDescent="0.25">
      <c r="A5" s="9">
        <v>33</v>
      </c>
      <c r="B5" s="10" t="s">
        <v>30</v>
      </c>
      <c r="C5" s="10" t="str">
        <f>VLOOKUP(Table6[[#This Row],[الكود]],Data[],12,0)</f>
        <v>27312241302605</v>
      </c>
      <c r="D5" s="10" t="str">
        <f>VLOOKUP(Table6[[#This Row],[الكود]],Data[],10,0)</f>
        <v>مصرية</v>
      </c>
      <c r="E5" s="10" t="str">
        <f>VLOOKUP(Table6[[#This Row],[الكود]],Data[],25,0)</f>
        <v>غير مؤمن</v>
      </c>
      <c r="F5" s="63">
        <f>VLOOKUP(Table6[[#This Row],[الكود]],Data[],88,0)</f>
        <v>45840</v>
      </c>
      <c r="G5" s="10"/>
      <c r="H5" s="54">
        <f>_xlfn.IFNA(IF(Table6[[#This Row],[الكود]]="","",VLOOKUP(Table6[[#This Row],[الكود]],Data[],97,0)),"")</f>
        <v>7000</v>
      </c>
      <c r="I5" s="54">
        <f>_xlfn.IFNA(IF(Table6[[#This Row],[الكود]]="","",VLOOKUP(Table6[[#This Row],[الكود]],Data[],99,0)),"")</f>
        <v>5384.62</v>
      </c>
      <c r="J5" s="54">
        <f>_xlfn.IFNA(IF(Table6[[#This Row],[الكود]]="","",VLOOKUP(Table6[[#This Row],[الكود]],Data[],100,0)),"")</f>
        <v>1615.38</v>
      </c>
      <c r="K5" s="54">
        <f>IF(Table6[[#This Row],[الاجر الشامل]]=0,"",I5*11%)</f>
        <v>592.30819999999994</v>
      </c>
      <c r="L5" s="54">
        <f>IF(Table6[[#This Row],[الاجر الشامل]]=0,"",I5*18.75%)</f>
        <v>1009.61625</v>
      </c>
      <c r="M5" s="17" t="str">
        <f>VLOOKUP(Table6[[#This Row],[الكود]],Data[],63,0)</f>
        <v>غير موجودة</v>
      </c>
      <c r="N5" s="17" t="str">
        <f>VLOOKUP(Table6[[#This Row],[الكود]],Data[],64,0)</f>
        <v>متوسط</v>
      </c>
      <c r="O5" s="17" t="b">
        <f>VLOOKUP(Table6[[#This Row],[الكود]],Data[],65,0)</f>
        <v>1</v>
      </c>
      <c r="P5" s="17" t="b">
        <f>VLOOKUP(Table6[[#This Row],[الكود]],Data[],67,0)</f>
        <v>1</v>
      </c>
      <c r="Q5" s="17"/>
      <c r="R5" s="17" t="b">
        <f>VLOOKUP(Table6[[#This Row],[الكود]],Data[],71,0)</f>
        <v>1</v>
      </c>
      <c r="S5" s="17" t="b">
        <f>VLOOKUP(Table6[[#This Row],[الكود]],Data[],73,0)</f>
        <v>0</v>
      </c>
      <c r="T5" s="41"/>
    </row>
    <row r="6" spans="1:20" ht="16.8" x14ac:dyDescent="0.25">
      <c r="A6" s="9">
        <v>34</v>
      </c>
      <c r="B6" s="10" t="s">
        <v>32</v>
      </c>
      <c r="C6" s="10" t="str">
        <f>VLOOKUP(Table6[[#This Row],[الكود]],Data[],12,0)</f>
        <v>28603101306102</v>
      </c>
      <c r="D6" s="10" t="str">
        <f>VLOOKUP(Table6[[#This Row],[الكود]],Data[],10,0)</f>
        <v>مصرية</v>
      </c>
      <c r="E6" s="10" t="str">
        <f>VLOOKUP(Table6[[#This Row],[الكود]],Data[],25,0)</f>
        <v>غير مؤمن</v>
      </c>
      <c r="F6" s="63">
        <f>VLOOKUP(Table6[[#This Row],[الكود]],Data[],88,0)</f>
        <v>45846</v>
      </c>
      <c r="G6" s="10"/>
      <c r="H6" s="54">
        <f>_xlfn.IFNA(IF(Table6[[#This Row],[الكود]]="","",VLOOKUP(Table6[[#This Row],[الكود]],Data[],97,0)),"")</f>
        <v>7000</v>
      </c>
      <c r="I6" s="54">
        <f>_xlfn.IFNA(IF(Table6[[#This Row],[الكود]]="","",VLOOKUP(Table6[[#This Row],[الكود]],Data[],99,0)),"")</f>
        <v>5384.62</v>
      </c>
      <c r="J6" s="54">
        <f>_xlfn.IFNA(IF(Table6[[#This Row],[الكود]]="","",VLOOKUP(Table6[[#This Row],[الكود]],Data[],100,0)),"")</f>
        <v>1615.38</v>
      </c>
      <c r="K6" s="54">
        <f>IF(Table6[[#This Row],[الاجر الشامل]]=0,"",I6*11%)</f>
        <v>592.30819999999994</v>
      </c>
      <c r="L6" s="54">
        <f>IF(Table6[[#This Row],[الاجر الشامل]]=0,"",I6*18.75%)</f>
        <v>1009.61625</v>
      </c>
      <c r="M6" s="17" t="str">
        <f>VLOOKUP(Table6[[#This Row],[الكود]],Data[],63,0)</f>
        <v>غير موجودة</v>
      </c>
      <c r="N6" s="17" t="str">
        <f>VLOOKUP(Table6[[#This Row],[الكود]],Data[],64,0)</f>
        <v>غير موجودة</v>
      </c>
      <c r="O6" s="17" t="b">
        <f>VLOOKUP(Table6[[#This Row],[الكود]],Data[],65,0)</f>
        <v>1</v>
      </c>
      <c r="P6" s="17" t="b">
        <f>VLOOKUP(Table6[[#This Row],[الكود]],Data[],67,0)</f>
        <v>1</v>
      </c>
      <c r="Q6" s="17"/>
      <c r="R6" s="17" t="b">
        <f>VLOOKUP(Table6[[#This Row],[الكود]],Data[],71,0)</f>
        <v>1</v>
      </c>
      <c r="S6" s="17" t="b">
        <f>VLOOKUP(Table6[[#This Row],[الكود]],Data[],73,0)</f>
        <v>0</v>
      </c>
      <c r="T6" s="41"/>
    </row>
    <row r="7" spans="1:20" ht="16.8" x14ac:dyDescent="0.25">
      <c r="A7" s="9">
        <v>35</v>
      </c>
      <c r="B7" s="10" t="s">
        <v>34</v>
      </c>
      <c r="C7" s="10" t="str">
        <f>VLOOKUP(Table6[[#This Row],[الكود]],Data[],12,0)</f>
        <v>28602111201027</v>
      </c>
      <c r="D7" s="10" t="str">
        <f>VLOOKUP(Table6[[#This Row],[الكود]],Data[],10,0)</f>
        <v>مصرية</v>
      </c>
      <c r="E7" s="10" t="str">
        <f>VLOOKUP(Table6[[#This Row],[الكود]],Data[],25,0)</f>
        <v>غير مؤمن</v>
      </c>
      <c r="F7" s="63">
        <f>VLOOKUP(Table6[[#This Row],[الكود]],Data[],88,0)</f>
        <v>45850</v>
      </c>
      <c r="G7" s="10"/>
      <c r="H7" s="54">
        <f>_xlfn.IFNA(IF(Table6[[#This Row],[الكود]]="","",VLOOKUP(Table6[[#This Row],[الكود]],Data[],97,0)),"")</f>
        <v>7000</v>
      </c>
      <c r="I7" s="54">
        <f>_xlfn.IFNA(IF(Table6[[#This Row],[الكود]]="","",VLOOKUP(Table6[[#This Row],[الكود]],Data[],99,0)),"")</f>
        <v>5384.62</v>
      </c>
      <c r="J7" s="54">
        <f>_xlfn.IFNA(IF(Table6[[#This Row],[الكود]]="","",VLOOKUP(Table6[[#This Row],[الكود]],Data[],100,0)),"")</f>
        <v>1615.38</v>
      </c>
      <c r="K7" s="54">
        <f>IF(Table6[[#This Row],[الاجر الشامل]]=0,"",I7*11%)</f>
        <v>592.30819999999994</v>
      </c>
      <c r="L7" s="54">
        <f>IF(Table6[[#This Row],[الاجر الشامل]]=0,"",I7*18.75%)</f>
        <v>1009.61625</v>
      </c>
      <c r="M7" s="17" t="str">
        <f>VLOOKUP(Table6[[#This Row],[الكود]],Data[],63,0)</f>
        <v>غير موجودة</v>
      </c>
      <c r="N7" s="17" t="str">
        <f>VLOOKUP(Table6[[#This Row],[الكود]],Data[],64,0)</f>
        <v>غير موجودة</v>
      </c>
      <c r="O7" s="17" t="b">
        <f>VLOOKUP(Table6[[#This Row],[الكود]],Data[],65,0)</f>
        <v>1</v>
      </c>
      <c r="P7" s="17" t="b">
        <f>VLOOKUP(Table6[[#This Row],[الكود]],Data[],67,0)</f>
        <v>1</v>
      </c>
      <c r="Q7" s="17"/>
      <c r="R7" s="17" t="b">
        <f>VLOOKUP(Table6[[#This Row],[الكود]],Data[],71,0)</f>
        <v>1</v>
      </c>
      <c r="S7" s="17" t="b">
        <f>VLOOKUP(Table6[[#This Row],[الكود]],Data[],73,0)</f>
        <v>0</v>
      </c>
      <c r="T7" s="41"/>
    </row>
    <row r="8" spans="1:20" ht="16.8" x14ac:dyDescent="0.25">
      <c r="A8" s="9">
        <v>36</v>
      </c>
      <c r="B8" s="10" t="s">
        <v>35</v>
      </c>
      <c r="C8" s="10" t="str">
        <f>VLOOKUP(Table6[[#This Row],[الكود]],Data[],12,0)</f>
        <v>28203141602229</v>
      </c>
      <c r="D8" s="10" t="str">
        <f>VLOOKUP(Table6[[#This Row],[الكود]],Data[],10,0)</f>
        <v>مصرية</v>
      </c>
      <c r="E8" s="10" t="str">
        <f>VLOOKUP(Table6[[#This Row],[الكود]],Data[],25,0)</f>
        <v>غير مؤمن</v>
      </c>
      <c r="F8" s="63">
        <f>VLOOKUP(Table6[[#This Row],[الكود]],Data[],88,0)</f>
        <v>45846</v>
      </c>
      <c r="G8" s="10"/>
      <c r="H8" s="54">
        <f>_xlfn.IFNA(IF(Table6[[#This Row],[الكود]]="","",VLOOKUP(Table6[[#This Row],[الكود]],Data[],97,0)),"")</f>
        <v>7000</v>
      </c>
      <c r="I8" s="54">
        <f>_xlfn.IFNA(IF(Table6[[#This Row],[الكود]]="","",VLOOKUP(Table6[[#This Row],[الكود]],Data[],99,0)),"")</f>
        <v>5384.62</v>
      </c>
      <c r="J8" s="54">
        <f>_xlfn.IFNA(IF(Table6[[#This Row],[الكود]]="","",VLOOKUP(Table6[[#This Row],[الكود]],Data[],100,0)),"")</f>
        <v>1615.38</v>
      </c>
      <c r="K8" s="54">
        <f>IF(Table6[[#This Row],[الاجر الشامل]]=0,"",I8*11%)</f>
        <v>592.30819999999994</v>
      </c>
      <c r="L8" s="54">
        <f>IF(Table6[[#This Row],[الاجر الشامل]]=0,"",I8*18.75%)</f>
        <v>1009.61625</v>
      </c>
      <c r="M8" s="17" t="str">
        <f>VLOOKUP(Table6[[#This Row],[الكود]],Data[],63,0)</f>
        <v>غير موجودة</v>
      </c>
      <c r="N8" s="17" t="str">
        <f>VLOOKUP(Table6[[#This Row],[الكود]],Data[],64,0)</f>
        <v>متوسط</v>
      </c>
      <c r="O8" s="17" t="b">
        <f>VLOOKUP(Table6[[#This Row],[الكود]],Data[],65,0)</f>
        <v>1</v>
      </c>
      <c r="P8" s="17" t="b">
        <f>VLOOKUP(Table6[[#This Row],[الكود]],Data[],67,0)</f>
        <v>1</v>
      </c>
      <c r="Q8" s="17"/>
      <c r="R8" s="17" t="b">
        <f>VLOOKUP(Table6[[#This Row],[الكود]],Data[],71,0)</f>
        <v>1</v>
      </c>
      <c r="S8" s="17" t="b">
        <f>VLOOKUP(Table6[[#This Row],[الكود]],Data[],73,0)</f>
        <v>0</v>
      </c>
      <c r="T8" s="41"/>
    </row>
    <row r="9" spans="1:20" ht="16.8" x14ac:dyDescent="0.25">
      <c r="A9" s="9">
        <v>38</v>
      </c>
      <c r="B9" s="10" t="s">
        <v>36</v>
      </c>
      <c r="C9" s="10" t="str">
        <f>VLOOKUP(Table6[[#This Row],[الكود]],Data[],12,0)</f>
        <v>29411012706901</v>
      </c>
      <c r="D9" s="10" t="str">
        <f>VLOOKUP(Table6[[#This Row],[الكود]],Data[],10,0)</f>
        <v>مصرية</v>
      </c>
      <c r="E9" s="10" t="str">
        <f>VLOOKUP(Table6[[#This Row],[الكود]],Data[],25,0)</f>
        <v>غير مؤمن</v>
      </c>
      <c r="F9" s="63">
        <f>VLOOKUP(Table6[[#This Row],[الكود]],Data[],88,0)</f>
        <v>45846</v>
      </c>
      <c r="G9" s="10"/>
      <c r="H9" s="54">
        <f>_xlfn.IFNA(IF(Table6[[#This Row],[الكود]]="","",VLOOKUP(Table6[[#This Row],[الكود]],Data[],97,0)),"")</f>
        <v>7000</v>
      </c>
      <c r="I9" s="54">
        <f>_xlfn.IFNA(IF(Table6[[#This Row],[الكود]]="","",VLOOKUP(Table6[[#This Row],[الكود]],Data[],99,0)),"")</f>
        <v>5384.62</v>
      </c>
      <c r="J9" s="54">
        <f>_xlfn.IFNA(IF(Table6[[#This Row],[الكود]]="","",VLOOKUP(Table6[[#This Row],[الكود]],Data[],100,0)),"")</f>
        <v>1615.38</v>
      </c>
      <c r="K9" s="54">
        <f>IF(Table6[[#This Row],[الاجر الشامل]]=0,"",I9*11%)</f>
        <v>592.30819999999994</v>
      </c>
      <c r="L9" s="54">
        <f>IF(Table6[[#This Row],[الاجر الشامل]]=0,"",I9*18.75%)</f>
        <v>1009.61625</v>
      </c>
      <c r="M9" s="17" t="str">
        <f>VLOOKUP(Table6[[#This Row],[الكود]],Data[],63,0)</f>
        <v>غير موجودة</v>
      </c>
      <c r="N9" s="17" t="str">
        <f>VLOOKUP(Table6[[#This Row],[الكود]],Data[],64,0)</f>
        <v>غير موجودة</v>
      </c>
      <c r="O9" s="17" t="b">
        <f>VLOOKUP(Table6[[#This Row],[الكود]],Data[],65,0)</f>
        <v>1</v>
      </c>
      <c r="P9" s="17" t="b">
        <f>VLOOKUP(Table6[[#This Row],[الكود]],Data[],67,0)</f>
        <v>1</v>
      </c>
      <c r="Q9" s="17"/>
      <c r="R9" s="17" t="b">
        <f>VLOOKUP(Table6[[#This Row],[الكود]],Data[],71,0)</f>
        <v>1</v>
      </c>
      <c r="S9" s="17" t="b">
        <f>VLOOKUP(Table6[[#This Row],[الكود]],Data[],73,0)</f>
        <v>0</v>
      </c>
      <c r="T9" s="41"/>
    </row>
    <row r="10" spans="1:20" ht="16.8" x14ac:dyDescent="0.25">
      <c r="A10" s="9">
        <v>39</v>
      </c>
      <c r="B10" s="10" t="s">
        <v>37</v>
      </c>
      <c r="C10" s="10" t="str">
        <f>VLOOKUP(Table6[[#This Row],[الكود]],Data[],12,0)</f>
        <v>29409271302368</v>
      </c>
      <c r="D10" s="10" t="str">
        <f>VLOOKUP(Table6[[#This Row],[الكود]],Data[],10,0)</f>
        <v>مصرية</v>
      </c>
      <c r="E10" s="10" t="str">
        <f>VLOOKUP(Table6[[#This Row],[الكود]],Data[],25,0)</f>
        <v>غير مؤمن</v>
      </c>
      <c r="F10" s="63">
        <f>VLOOKUP(Table6[[#This Row],[الكود]],Data[],88,0)</f>
        <v>45851</v>
      </c>
      <c r="G10" s="10"/>
      <c r="H10" s="54">
        <f>_xlfn.IFNA(IF(Table6[[#This Row],[الكود]]="","",VLOOKUP(Table6[[#This Row],[الكود]],Data[],97,0)),"")</f>
        <v>7000</v>
      </c>
      <c r="I10" s="54">
        <f>_xlfn.IFNA(IF(Table6[[#This Row],[الكود]]="","",VLOOKUP(Table6[[#This Row],[الكود]],Data[],99,0)),"")</f>
        <v>5384.62</v>
      </c>
      <c r="J10" s="54">
        <f>_xlfn.IFNA(IF(Table6[[#This Row],[الكود]]="","",VLOOKUP(Table6[[#This Row],[الكود]],Data[],100,0)),"")</f>
        <v>1615.38</v>
      </c>
      <c r="K10" s="54">
        <f>IF(Table6[[#This Row],[الاجر الشامل]]=0,"",I10*11%)</f>
        <v>592.30819999999994</v>
      </c>
      <c r="L10" s="54">
        <f>IF(Table6[[#This Row],[الاجر الشامل]]=0,"",I10*18.75%)</f>
        <v>1009.61625</v>
      </c>
      <c r="M10" s="17" t="str">
        <f>VLOOKUP(Table6[[#This Row],[الكود]],Data[],63,0)</f>
        <v>غير موجودة</v>
      </c>
      <c r="N10" s="17" t="str">
        <f>VLOOKUP(Table6[[#This Row],[الكود]],Data[],64,0)</f>
        <v>غير موجودة</v>
      </c>
      <c r="O10" s="17" t="b">
        <f>VLOOKUP(Table6[[#This Row],[الكود]],Data[],65,0)</f>
        <v>1</v>
      </c>
      <c r="P10" s="17" t="b">
        <f>VLOOKUP(Table6[[#This Row],[الكود]],Data[],67,0)</f>
        <v>1</v>
      </c>
      <c r="Q10" s="17"/>
      <c r="R10" s="17" t="b">
        <f>VLOOKUP(Table6[[#This Row],[الكود]],Data[],71,0)</f>
        <v>1</v>
      </c>
      <c r="S10" s="17" t="b">
        <f>VLOOKUP(Table6[[#This Row],[الكود]],Data[],73,0)</f>
        <v>0</v>
      </c>
      <c r="T10" s="41"/>
    </row>
    <row r="11" spans="1:20" ht="16.8" x14ac:dyDescent="0.25">
      <c r="A11" s="9">
        <v>40</v>
      </c>
      <c r="B11" s="10" t="s">
        <v>39</v>
      </c>
      <c r="C11" s="10" t="str">
        <f>VLOOKUP(Table6[[#This Row],[الكود]],Data[],12,0)</f>
        <v>29601011257481</v>
      </c>
      <c r="D11" s="10" t="str">
        <f>VLOOKUP(Table6[[#This Row],[الكود]],Data[],10,0)</f>
        <v>مصرية</v>
      </c>
      <c r="E11" s="10" t="str">
        <f>VLOOKUP(Table6[[#This Row],[الكود]],Data[],25,0)</f>
        <v>غير مؤمن</v>
      </c>
      <c r="F11" s="63">
        <f>VLOOKUP(Table6[[#This Row],[الكود]],Data[],88,0)</f>
        <v>45851</v>
      </c>
      <c r="G11" s="10"/>
      <c r="H11" s="54">
        <f>_xlfn.IFNA(IF(Table6[[#This Row],[الكود]]="","",VLOOKUP(Table6[[#This Row],[الكود]],Data[],97,0)),"")</f>
        <v>7000</v>
      </c>
      <c r="I11" s="54">
        <f>_xlfn.IFNA(IF(Table6[[#This Row],[الكود]]="","",VLOOKUP(Table6[[#This Row],[الكود]],Data[],99,0)),"")</f>
        <v>5384.62</v>
      </c>
      <c r="J11" s="54">
        <f>_xlfn.IFNA(IF(Table6[[#This Row],[الكود]]="","",VLOOKUP(Table6[[#This Row],[الكود]],Data[],100,0)),"")</f>
        <v>1615.38</v>
      </c>
      <c r="K11" s="54">
        <f>IF(Table6[[#This Row],[الاجر الشامل]]=0,"",I11*11%)</f>
        <v>592.30819999999994</v>
      </c>
      <c r="L11" s="54">
        <f>IF(Table6[[#This Row],[الاجر الشامل]]=0,"",I11*18.75%)</f>
        <v>1009.61625</v>
      </c>
      <c r="M11" s="17" t="str">
        <f>VLOOKUP(Table6[[#This Row],[الكود]],Data[],63,0)</f>
        <v>غير موجودة</v>
      </c>
      <c r="N11" s="17" t="str">
        <f>VLOOKUP(Table6[[#This Row],[الكود]],Data[],64,0)</f>
        <v>غير موجودة</v>
      </c>
      <c r="O11" s="17" t="b">
        <f>VLOOKUP(Table6[[#This Row],[الكود]],Data[],65,0)</f>
        <v>1</v>
      </c>
      <c r="P11" s="17" t="b">
        <f>VLOOKUP(Table6[[#This Row],[الكود]],Data[],67,0)</f>
        <v>1</v>
      </c>
      <c r="Q11" s="17"/>
      <c r="R11" s="17" t="b">
        <f>VLOOKUP(Table6[[#This Row],[الكود]],Data[],71,0)</f>
        <v>1</v>
      </c>
      <c r="S11" s="17" t="b">
        <f>VLOOKUP(Table6[[#This Row],[الكود]],Data[],73,0)</f>
        <v>0</v>
      </c>
      <c r="T11" s="41"/>
    </row>
    <row r="12" spans="1:20" ht="16.8" x14ac:dyDescent="0.25">
      <c r="A12" s="9">
        <v>42</v>
      </c>
      <c r="B12" s="10" t="s">
        <v>40</v>
      </c>
      <c r="C12" s="10" t="str">
        <f>VLOOKUP(Table6[[#This Row],[الكود]],Data[],12,0)</f>
        <v>29404011310632</v>
      </c>
      <c r="D12" s="10" t="str">
        <f>VLOOKUP(Table6[[#This Row],[الكود]],Data[],10,0)</f>
        <v>مصرى</v>
      </c>
      <c r="E12" s="10" t="str">
        <f>VLOOKUP(Table6[[#This Row],[الكود]],Data[],25,0)</f>
        <v>غير مؤمن</v>
      </c>
      <c r="F12" s="63">
        <f>VLOOKUP(Table6[[#This Row],[الكود]],Data[],88,0)</f>
        <v>45853</v>
      </c>
      <c r="G12" s="10"/>
      <c r="H12" s="54">
        <f>_xlfn.IFNA(IF(Table6[[#This Row],[الكود]]="","",VLOOKUP(Table6[[#This Row],[الكود]],Data[],97,0)),"")</f>
        <v>7100</v>
      </c>
      <c r="I12" s="54">
        <f>_xlfn.IFNA(IF(Table6[[#This Row],[الكود]]="","",VLOOKUP(Table6[[#This Row],[الكود]],Data[],99,0)),"")</f>
        <v>5461.54</v>
      </c>
      <c r="J12" s="54">
        <f>_xlfn.IFNA(IF(Table6[[#This Row],[الكود]]="","",VLOOKUP(Table6[[#This Row],[الكود]],Data[],100,0)),"")</f>
        <v>1638.46</v>
      </c>
      <c r="K12" s="54">
        <f>IF(Table6[[#This Row],[الاجر الشامل]]=0,"",I12*11%)</f>
        <v>600.76940000000002</v>
      </c>
      <c r="L12" s="54">
        <f>IF(Table6[[#This Row],[الاجر الشامل]]=0,"",I12*18.75%)</f>
        <v>1024.0387499999999</v>
      </c>
      <c r="M12" s="17" t="str">
        <f>VLOOKUP(Table6[[#This Row],[الكود]],Data[],63,0)</f>
        <v>معافى نهائي</v>
      </c>
      <c r="N12" s="17" t="str">
        <f>VLOOKUP(Table6[[#This Row],[الكود]],Data[],64,0)</f>
        <v>متوسط</v>
      </c>
      <c r="O12" s="17" t="b">
        <f>VLOOKUP(Table6[[#This Row],[الكود]],Data[],65,0)</f>
        <v>1</v>
      </c>
      <c r="P12" s="17" t="b">
        <f>VLOOKUP(Table6[[#This Row],[الكود]],Data[],67,0)</f>
        <v>1</v>
      </c>
      <c r="Q12" s="17"/>
      <c r="R12" s="17" t="b">
        <f>VLOOKUP(Table6[[#This Row],[الكود]],Data[],71,0)</f>
        <v>1</v>
      </c>
      <c r="S12" s="17" t="b">
        <f>VLOOKUP(Table6[[#This Row],[الكود]],Data[],73,0)</f>
        <v>0</v>
      </c>
      <c r="T12" s="41"/>
    </row>
    <row r="13" spans="1:20" ht="16.8" x14ac:dyDescent="0.25">
      <c r="A13" s="9">
        <v>46</v>
      </c>
      <c r="B13" s="10" t="s">
        <v>42</v>
      </c>
      <c r="C13" s="10" t="str">
        <f>VLOOKUP(Table6[[#This Row],[الكود]],Data[],12,0)</f>
        <v>28108201303657</v>
      </c>
      <c r="D13" s="10" t="str">
        <f>VLOOKUP(Table6[[#This Row],[الكود]],Data[],10,0)</f>
        <v>مصرى</v>
      </c>
      <c r="E13" s="10" t="str">
        <f>VLOOKUP(Table6[[#This Row],[الكود]],Data[],25,0)</f>
        <v>غير مؤمن</v>
      </c>
      <c r="F13" s="63">
        <f>VLOOKUP(Table6[[#This Row],[الكود]],Data[],88,0)</f>
        <v>45852</v>
      </c>
      <c r="G13" s="10"/>
      <c r="H13" s="54">
        <f>_xlfn.IFNA(IF(Table6[[#This Row],[الكود]]="","",VLOOKUP(Table6[[#This Row],[الكود]],Data[],97,0)),"")</f>
        <v>7100</v>
      </c>
      <c r="I13" s="54">
        <f>_xlfn.IFNA(IF(Table6[[#This Row],[الكود]]="","",VLOOKUP(Table6[[#This Row],[الكود]],Data[],99,0)),"")</f>
        <v>5461.54</v>
      </c>
      <c r="J13" s="54">
        <f>_xlfn.IFNA(IF(Table6[[#This Row],[الكود]]="","",VLOOKUP(Table6[[#This Row],[الكود]],Data[],100,0)),"")</f>
        <v>1638.46</v>
      </c>
      <c r="K13" s="54">
        <f>IF(Table6[[#This Row],[الاجر الشامل]]=0,"",I13*11%)</f>
        <v>600.76940000000002</v>
      </c>
      <c r="L13" s="54">
        <f>IF(Table6[[#This Row],[الاجر الشامل]]=0,"",I13*18.75%)</f>
        <v>1024.0387499999999</v>
      </c>
      <c r="M13" s="17" t="str">
        <f>VLOOKUP(Table6[[#This Row],[الكود]],Data[],63,0)</f>
        <v>موجودة</v>
      </c>
      <c r="N13" s="17" t="str">
        <f>VLOOKUP(Table6[[#This Row],[الكود]],Data[],64,0)</f>
        <v>متوسط</v>
      </c>
      <c r="O13" s="17" t="b">
        <f>VLOOKUP(Table6[[#This Row],[الكود]],Data[],65,0)</f>
        <v>1</v>
      </c>
      <c r="P13" s="17" t="b">
        <f>VLOOKUP(Table6[[#This Row],[الكود]],Data[],67,0)</f>
        <v>1</v>
      </c>
      <c r="Q13" s="17"/>
      <c r="R13" s="17" t="b">
        <f>VLOOKUP(Table6[[#This Row],[الكود]],Data[],71,0)</f>
        <v>0</v>
      </c>
      <c r="S13" s="17" t="b">
        <f>VLOOKUP(Table6[[#This Row],[الكود]],Data[],73,0)</f>
        <v>0</v>
      </c>
      <c r="T13" s="41"/>
    </row>
    <row r="14" spans="1:20" ht="16.8" x14ac:dyDescent="0.25">
      <c r="A14" s="9">
        <v>53</v>
      </c>
      <c r="B14" s="10" t="s">
        <v>47</v>
      </c>
      <c r="C14" s="10" t="str">
        <f>VLOOKUP(Table6[[#This Row],[الكود]],Data[],12,0)</f>
        <v>28106251301172</v>
      </c>
      <c r="D14" s="10" t="str">
        <f>VLOOKUP(Table6[[#This Row],[الكود]],Data[],10,0)</f>
        <v>مصرى</v>
      </c>
      <c r="E14" s="10" t="str">
        <f>VLOOKUP(Table6[[#This Row],[الكود]],Data[],25,0)</f>
        <v>غير مؤمن</v>
      </c>
      <c r="F14" s="63">
        <f>VLOOKUP(Table6[[#This Row],[الكود]],Data[],88,0)</f>
        <v>45844</v>
      </c>
      <c r="G14" s="10"/>
      <c r="H14" s="54">
        <f>_xlfn.IFNA(IF(Table6[[#This Row],[الكود]]="","",VLOOKUP(Table6[[#This Row],[الكود]],Data[],97,0)),"")</f>
        <v>7100</v>
      </c>
      <c r="I14" s="54">
        <f>_xlfn.IFNA(IF(Table6[[#This Row],[الكود]]="","",VLOOKUP(Table6[[#This Row],[الكود]],Data[],99,0)),"")</f>
        <v>5461.54</v>
      </c>
      <c r="J14" s="54">
        <f>_xlfn.IFNA(IF(Table6[[#This Row],[الكود]]="","",VLOOKUP(Table6[[#This Row],[الكود]],Data[],100,0)),"")</f>
        <v>1638.46</v>
      </c>
      <c r="K14" s="54">
        <f>IF(Table6[[#This Row],[الاجر الشامل]]=0,"",I14*11%)</f>
        <v>600.76940000000002</v>
      </c>
      <c r="L14" s="54">
        <f>IF(Table6[[#This Row],[الاجر الشامل]]=0,"",I14*18.75%)</f>
        <v>1024.0387499999999</v>
      </c>
      <c r="M14" s="17" t="str">
        <f>VLOOKUP(Table6[[#This Row],[الكود]],Data[],63,0)</f>
        <v>ادى الخدمة</v>
      </c>
      <c r="N14" s="17" t="str">
        <f>VLOOKUP(Table6[[#This Row],[الكود]],Data[],64,0)</f>
        <v>غير موجودة</v>
      </c>
      <c r="O14" s="17" t="b">
        <f>VLOOKUP(Table6[[#This Row],[الكود]],Data[],65,0)</f>
        <v>1</v>
      </c>
      <c r="P14" s="17" t="b">
        <f>VLOOKUP(Table6[[#This Row],[الكود]],Data[],67,0)</f>
        <v>1</v>
      </c>
      <c r="Q14" s="17"/>
      <c r="R14" s="17" t="b">
        <f>VLOOKUP(Table6[[#This Row],[الكود]],Data[],71,0)</f>
        <v>1</v>
      </c>
      <c r="S14" s="17" t="b">
        <f>VLOOKUP(Table6[[#This Row],[الكود]],Data[],73,0)</f>
        <v>1</v>
      </c>
      <c r="T14" s="41"/>
    </row>
    <row r="15" spans="1:20" ht="16.8" x14ac:dyDescent="0.25">
      <c r="A15" s="9">
        <v>54</v>
      </c>
      <c r="B15" s="10" t="s">
        <v>48</v>
      </c>
      <c r="C15" s="10" t="str">
        <f>VLOOKUP(Table6[[#This Row],[الكود]],Data[],12,0)</f>
        <v>27207061301319</v>
      </c>
      <c r="D15" s="10" t="str">
        <f>VLOOKUP(Table6[[#This Row],[الكود]],Data[],10,0)</f>
        <v>مصرى</v>
      </c>
      <c r="E15" s="10" t="str">
        <f>VLOOKUP(Table6[[#This Row],[الكود]],Data[],25,0)</f>
        <v>غير مؤمن</v>
      </c>
      <c r="F15" s="63">
        <f>VLOOKUP(Table6[[#This Row],[الكود]],Data[],88,0)</f>
        <v>45843</v>
      </c>
      <c r="G15" s="10"/>
      <c r="H15" s="54">
        <f>_xlfn.IFNA(IF(Table6[[#This Row],[الكود]]="","",VLOOKUP(Table6[[#This Row],[الكود]],Data[],97,0)),"")</f>
        <v>7100</v>
      </c>
      <c r="I15" s="54">
        <f>_xlfn.IFNA(IF(Table6[[#This Row],[الكود]]="","",VLOOKUP(Table6[[#This Row],[الكود]],Data[],99,0)),"")</f>
        <v>5461.54</v>
      </c>
      <c r="J15" s="54">
        <f>_xlfn.IFNA(IF(Table6[[#This Row],[الكود]]="","",VLOOKUP(Table6[[#This Row],[الكود]],Data[],100,0)),"")</f>
        <v>1638.46</v>
      </c>
      <c r="K15" s="54">
        <f>IF(Table6[[#This Row],[الاجر الشامل]]=0,"",I15*11%)</f>
        <v>600.76940000000002</v>
      </c>
      <c r="L15" s="54">
        <f>IF(Table6[[#This Row],[الاجر الشامل]]=0,"",I15*18.75%)</f>
        <v>1024.0387499999999</v>
      </c>
      <c r="M15" s="17" t="str">
        <f>VLOOKUP(Table6[[#This Row],[الكود]],Data[],63,0)</f>
        <v>غير موجودة</v>
      </c>
      <c r="N15" s="17" t="str">
        <f>VLOOKUP(Table6[[#This Row],[الكود]],Data[],64,0)</f>
        <v>غير موجودة</v>
      </c>
      <c r="O15" s="17" t="b">
        <f>VLOOKUP(Table6[[#This Row],[الكود]],Data[],65,0)</f>
        <v>1</v>
      </c>
      <c r="P15" s="17" t="b">
        <f>VLOOKUP(Table6[[#This Row],[الكود]],Data[],67,0)</f>
        <v>1</v>
      </c>
      <c r="Q15" s="17"/>
      <c r="R15" s="17" t="b">
        <f>VLOOKUP(Table6[[#This Row],[الكود]],Data[],71,0)</f>
        <v>1</v>
      </c>
      <c r="S15" s="17" t="b">
        <f>VLOOKUP(Table6[[#This Row],[الكود]],Data[],73,0)</f>
        <v>0</v>
      </c>
      <c r="T15" s="41"/>
    </row>
    <row r="16" spans="1:20" ht="16.8" x14ac:dyDescent="0.25">
      <c r="A16" s="9">
        <v>56</v>
      </c>
      <c r="B16" s="10" t="s">
        <v>49</v>
      </c>
      <c r="C16" s="10" t="str">
        <f>VLOOKUP(Table6[[#This Row],[الكود]],Data[],12,0)</f>
        <v>28712171301578</v>
      </c>
      <c r="D16" s="10" t="str">
        <f>VLOOKUP(Table6[[#This Row],[الكود]],Data[],10,0)</f>
        <v>مصرى</v>
      </c>
      <c r="E16" s="10" t="str">
        <f>VLOOKUP(Table6[[#This Row],[الكود]],Data[],25,0)</f>
        <v>غير مؤمن</v>
      </c>
      <c r="F16" s="63">
        <f>VLOOKUP(Table6[[#This Row],[الكود]],Data[],88,0)</f>
        <v>45852</v>
      </c>
      <c r="G16" s="10"/>
      <c r="H16" s="54">
        <f>_xlfn.IFNA(IF(Table6[[#This Row],[الكود]]="","",VLOOKUP(Table6[[#This Row],[الكود]],Data[],97,0)),"")</f>
        <v>7200</v>
      </c>
      <c r="I16" s="54">
        <f>_xlfn.IFNA(IF(Table6[[#This Row],[الكود]]="","",VLOOKUP(Table6[[#This Row],[الكود]],Data[],99,0)),"")</f>
        <v>5538.46</v>
      </c>
      <c r="J16" s="54">
        <f>_xlfn.IFNA(IF(Table6[[#This Row],[الكود]]="","",VLOOKUP(Table6[[#This Row],[الكود]],Data[],100,0)),"")</f>
        <v>1661.54</v>
      </c>
      <c r="K16" s="54">
        <f>IF(Table6[[#This Row],[الاجر الشامل]]=0,"",I16*11%)</f>
        <v>609.23059999999998</v>
      </c>
      <c r="L16" s="54">
        <f>IF(Table6[[#This Row],[الاجر الشامل]]=0,"",I16*18.75%)</f>
        <v>1038.4612500000001</v>
      </c>
      <c r="M16" s="17" t="str">
        <f>VLOOKUP(Table6[[#This Row],[الكود]],Data[],63,0)</f>
        <v>موجودة</v>
      </c>
      <c r="N16" s="17" t="str">
        <f>VLOOKUP(Table6[[#This Row],[الكود]],Data[],64,0)</f>
        <v>بدون</v>
      </c>
      <c r="O16" s="17" t="b">
        <f>VLOOKUP(Table6[[#This Row],[الكود]],Data[],65,0)</f>
        <v>1</v>
      </c>
      <c r="P16" s="17" t="b">
        <f>VLOOKUP(Table6[[#This Row],[الكود]],Data[],67,0)</f>
        <v>1</v>
      </c>
      <c r="Q16" s="17"/>
      <c r="R16" s="17" t="b">
        <f>VLOOKUP(Table6[[#This Row],[الكود]],Data[],71,0)</f>
        <v>1</v>
      </c>
      <c r="S16" s="17" t="b">
        <f>VLOOKUP(Table6[[#This Row],[الكود]],Data[],73,0)</f>
        <v>1</v>
      </c>
      <c r="T16" s="41"/>
    </row>
    <row r="17" spans="1:20" ht="16.8" x14ac:dyDescent="0.25">
      <c r="A17" s="9">
        <v>57</v>
      </c>
      <c r="B17" s="10" t="s">
        <v>52</v>
      </c>
      <c r="C17" s="10" t="str">
        <f>VLOOKUP(Table6[[#This Row],[الكود]],Data[],12,0)</f>
        <v>26705271300834</v>
      </c>
      <c r="D17" s="10" t="str">
        <f>VLOOKUP(Table6[[#This Row],[الكود]],Data[],10,0)</f>
        <v>مصرى</v>
      </c>
      <c r="E17" s="10" t="str">
        <f>VLOOKUP(Table6[[#This Row],[الكود]],Data[],25,0)</f>
        <v>غير مؤمن</v>
      </c>
      <c r="F17" s="63">
        <f>VLOOKUP(Table6[[#This Row],[الكود]],Data[],88,0)</f>
        <v>45845</v>
      </c>
      <c r="G17" s="10"/>
      <c r="H17" s="54">
        <f>_xlfn.IFNA(IF(Table6[[#This Row],[الكود]]="","",VLOOKUP(Table6[[#This Row],[الكود]],Data[],97,0)),"")</f>
        <v>7100</v>
      </c>
      <c r="I17" s="54">
        <f>_xlfn.IFNA(IF(Table6[[#This Row],[الكود]]="","",VLOOKUP(Table6[[#This Row],[الكود]],Data[],99,0)),"")</f>
        <v>5461.54</v>
      </c>
      <c r="J17" s="54">
        <f>_xlfn.IFNA(IF(Table6[[#This Row],[الكود]]="","",VLOOKUP(Table6[[#This Row],[الكود]],Data[],100,0)),"")</f>
        <v>1638.46</v>
      </c>
      <c r="K17" s="54">
        <f>IF(Table6[[#This Row],[الاجر الشامل]]=0,"",I17*11%)</f>
        <v>600.76940000000002</v>
      </c>
      <c r="L17" s="54">
        <f>IF(Table6[[#This Row],[الاجر الشامل]]=0,"",I17*18.75%)</f>
        <v>1024.0387499999999</v>
      </c>
      <c r="M17" s="17" t="str">
        <f>VLOOKUP(Table6[[#This Row],[الكود]],Data[],63,0)</f>
        <v>ادى الخدمة</v>
      </c>
      <c r="N17" s="17" t="str">
        <f>VLOOKUP(Table6[[#This Row],[الكود]],Data[],64,0)</f>
        <v>غير موجودة</v>
      </c>
      <c r="O17" s="17" t="b">
        <f>VLOOKUP(Table6[[#This Row],[الكود]],Data[],65,0)</f>
        <v>1</v>
      </c>
      <c r="P17" s="17" t="b">
        <f>VLOOKUP(Table6[[#This Row],[الكود]],Data[],67,0)</f>
        <v>1</v>
      </c>
      <c r="Q17" s="17"/>
      <c r="R17" s="17" t="b">
        <f>VLOOKUP(Table6[[#This Row],[الكود]],Data[],71,0)</f>
        <v>0</v>
      </c>
      <c r="S17" s="17" t="b">
        <f>VLOOKUP(Table6[[#This Row],[الكود]],Data[],73,0)</f>
        <v>0</v>
      </c>
      <c r="T17" s="41"/>
    </row>
    <row r="18" spans="1:20" ht="16.8" x14ac:dyDescent="0.25">
      <c r="A18" s="9">
        <v>81</v>
      </c>
      <c r="B18" s="10" t="s">
        <v>53</v>
      </c>
      <c r="C18" s="10" t="str">
        <f>VLOOKUP(Table6[[#This Row],[الكود]],Data[],12,0)</f>
        <v>29106011313011</v>
      </c>
      <c r="D18" s="10" t="str">
        <f>VLOOKUP(Table6[[#This Row],[الكود]],Data[],10,0)</f>
        <v>مصرى</v>
      </c>
      <c r="E18" s="10" t="str">
        <f>VLOOKUP(Table6[[#This Row],[الكود]],Data[],25,0)</f>
        <v>غير مؤمن</v>
      </c>
      <c r="F18" s="63">
        <f>VLOOKUP(Table6[[#This Row],[الكود]],Data[],88,0)</f>
        <v>45844</v>
      </c>
      <c r="G18" s="10"/>
      <c r="H18" s="54">
        <f>_xlfn.IFNA(IF(Table6[[#This Row],[الكود]]="","",VLOOKUP(Table6[[#This Row],[الكود]],Data[],97,0)),"")</f>
        <v>7300</v>
      </c>
      <c r="I18" s="54">
        <f>_xlfn.IFNA(IF(Table6[[#This Row],[الكود]]="","",VLOOKUP(Table6[[#This Row],[الكود]],Data[],99,0)),"")</f>
        <v>5615.38</v>
      </c>
      <c r="J18" s="54">
        <f>_xlfn.IFNA(IF(Table6[[#This Row],[الكود]]="","",VLOOKUP(Table6[[#This Row],[الكود]],Data[],100,0)),"")</f>
        <v>1684.62</v>
      </c>
      <c r="K18" s="54">
        <f>IF(Table6[[#This Row],[الاجر الشامل]]=0,"",I18*11%)</f>
        <v>617.69180000000006</v>
      </c>
      <c r="L18" s="54">
        <f>IF(Table6[[#This Row],[الاجر الشامل]]=0,"",I18*18.75%)</f>
        <v>1052.88375</v>
      </c>
      <c r="M18" s="17" t="str">
        <f>VLOOKUP(Table6[[#This Row],[الكود]],Data[],63,0)</f>
        <v>موجودة</v>
      </c>
      <c r="N18" s="17" t="str">
        <f>VLOOKUP(Table6[[#This Row],[الكود]],Data[],64,0)</f>
        <v>متوسط</v>
      </c>
      <c r="O18" s="17" t="b">
        <f>VLOOKUP(Table6[[#This Row],[الكود]],Data[],65,0)</f>
        <v>1</v>
      </c>
      <c r="P18" s="17" t="b">
        <f>VLOOKUP(Table6[[#This Row],[الكود]],Data[],67,0)</f>
        <v>1</v>
      </c>
      <c r="Q18" s="17"/>
      <c r="R18" s="17" t="b">
        <f>VLOOKUP(Table6[[#This Row],[الكود]],Data[],71,0)</f>
        <v>1</v>
      </c>
      <c r="S18" s="17" t="b">
        <f>VLOOKUP(Table6[[#This Row],[الكود]],Data[],73,0)</f>
        <v>0</v>
      </c>
      <c r="T18" s="41"/>
    </row>
    <row r="19" spans="1:20" ht="16.8" x14ac:dyDescent="0.25">
      <c r="A19" s="9">
        <v>82</v>
      </c>
      <c r="B19" s="10" t="s">
        <v>56</v>
      </c>
      <c r="C19" s="10" t="str">
        <f>VLOOKUP(Table6[[#This Row],[الكود]],Data[],12,0)</f>
        <v>29002171302937</v>
      </c>
      <c r="D19" s="10" t="str">
        <f>VLOOKUP(Table6[[#This Row],[الكود]],Data[],10,0)</f>
        <v>مصرى</v>
      </c>
      <c r="E19" s="10" t="str">
        <f>VLOOKUP(Table6[[#This Row],[الكود]],Data[],25,0)</f>
        <v>غير مؤمن</v>
      </c>
      <c r="F19" s="63">
        <f>VLOOKUP(Table6[[#This Row],[الكود]],Data[],88,0)</f>
        <v>45840</v>
      </c>
      <c r="G19" s="10"/>
      <c r="H19" s="54">
        <f>_xlfn.IFNA(IF(Table6[[#This Row],[الكود]]="","",VLOOKUP(Table6[[#This Row],[الكود]],Data[],97,0)),"")</f>
        <v>7300</v>
      </c>
      <c r="I19" s="54">
        <f>_xlfn.IFNA(IF(Table6[[#This Row],[الكود]]="","",VLOOKUP(Table6[[#This Row],[الكود]],Data[],99,0)),"")</f>
        <v>5615.38</v>
      </c>
      <c r="J19" s="54">
        <f>_xlfn.IFNA(IF(Table6[[#This Row],[الكود]]="","",VLOOKUP(Table6[[#This Row],[الكود]],Data[],100,0)),"")</f>
        <v>1684.62</v>
      </c>
      <c r="K19" s="54">
        <f>IF(Table6[[#This Row],[الاجر الشامل]]=0,"",I19*11%)</f>
        <v>617.69180000000006</v>
      </c>
      <c r="L19" s="54">
        <f>IF(Table6[[#This Row],[الاجر الشامل]]=0,"",I19*18.75%)</f>
        <v>1052.88375</v>
      </c>
      <c r="M19" s="17" t="str">
        <f>VLOOKUP(Table6[[#This Row],[الكود]],Data[],63,0)</f>
        <v>ادى الخدمة</v>
      </c>
      <c r="N19" s="17" t="str">
        <f>VLOOKUP(Table6[[#This Row],[الكود]],Data[],64,0)</f>
        <v>متوسط</v>
      </c>
      <c r="O19" s="17" t="b">
        <f>VLOOKUP(Table6[[#This Row],[الكود]],Data[],65,0)</f>
        <v>1</v>
      </c>
      <c r="P19" s="17" t="b">
        <f>VLOOKUP(Table6[[#This Row],[الكود]],Data[],67,0)</f>
        <v>1</v>
      </c>
      <c r="Q19" s="17"/>
      <c r="R19" s="17" t="b">
        <f>VLOOKUP(Table6[[#This Row],[الكود]],Data[],71,0)</f>
        <v>0</v>
      </c>
      <c r="S19" s="17" t="b">
        <f>VLOOKUP(Table6[[#This Row],[الكود]],Data[],73,0)</f>
        <v>0</v>
      </c>
      <c r="T19" s="41"/>
    </row>
    <row r="20" spans="1:20" ht="16.8" x14ac:dyDescent="0.25">
      <c r="A20" s="9">
        <v>83</v>
      </c>
      <c r="B20" s="10" t="s">
        <v>57</v>
      </c>
      <c r="C20" s="10" t="str">
        <f>VLOOKUP(Table6[[#This Row],[الكود]],Data[],12,0)</f>
        <v>29309011304311</v>
      </c>
      <c r="D20" s="10" t="str">
        <f>VLOOKUP(Table6[[#This Row],[الكود]],Data[],10,0)</f>
        <v>مصرى</v>
      </c>
      <c r="E20" s="10" t="str">
        <f>VLOOKUP(Table6[[#This Row],[الكود]],Data[],25,0)</f>
        <v>غير مؤمن</v>
      </c>
      <c r="F20" s="63">
        <f>VLOOKUP(Table6[[#This Row],[الكود]],Data[],88,0)</f>
        <v>45853</v>
      </c>
      <c r="G20" s="10"/>
      <c r="H20" s="54">
        <f>_xlfn.IFNA(IF(Table6[[#This Row],[الكود]]="","",VLOOKUP(Table6[[#This Row],[الكود]],Data[],97,0)),"")</f>
        <v>7300</v>
      </c>
      <c r="I20" s="54">
        <f>_xlfn.IFNA(IF(Table6[[#This Row],[الكود]]="","",VLOOKUP(Table6[[#This Row],[الكود]],Data[],99,0)),"")</f>
        <v>5615.38</v>
      </c>
      <c r="J20" s="54">
        <f>_xlfn.IFNA(IF(Table6[[#This Row],[الكود]]="","",VLOOKUP(Table6[[#This Row],[الكود]],Data[],100,0)),"")</f>
        <v>1684.62</v>
      </c>
      <c r="K20" s="54">
        <f>IF(Table6[[#This Row],[الاجر الشامل]]=0,"",I20*11%)</f>
        <v>617.69180000000006</v>
      </c>
      <c r="L20" s="54">
        <f>IF(Table6[[#This Row],[الاجر الشامل]]=0,"",I20*18.75%)</f>
        <v>1052.88375</v>
      </c>
      <c r="M20" s="17" t="str">
        <f>VLOOKUP(Table6[[#This Row],[الكود]],Data[],63,0)</f>
        <v>موجودة</v>
      </c>
      <c r="N20" s="17" t="str">
        <f>VLOOKUP(Table6[[#This Row],[الكود]],Data[],64,0)</f>
        <v>غير موجودة</v>
      </c>
      <c r="O20" s="17" t="b">
        <f>VLOOKUP(Table6[[#This Row],[الكود]],Data[],65,0)</f>
        <v>1</v>
      </c>
      <c r="P20" s="17" t="b">
        <f>VLOOKUP(Table6[[#This Row],[الكود]],Data[],67,0)</f>
        <v>1</v>
      </c>
      <c r="Q20" s="17"/>
      <c r="R20" s="17" t="b">
        <f>VLOOKUP(Table6[[#This Row],[الكود]],Data[],71,0)</f>
        <v>1</v>
      </c>
      <c r="S20" s="17" t="b">
        <f>VLOOKUP(Table6[[#This Row],[الكود]],Data[],73,0)</f>
        <v>0</v>
      </c>
      <c r="T20" s="41"/>
    </row>
    <row r="21" spans="1:20" ht="16.8" x14ac:dyDescent="0.25">
      <c r="A21" s="9">
        <v>84</v>
      </c>
      <c r="B21" s="10" t="s">
        <v>59</v>
      </c>
      <c r="C21" s="10" t="str">
        <f>VLOOKUP(Table6[[#This Row],[الكود]],Data[],12,0)</f>
        <v>29607291300732</v>
      </c>
      <c r="D21" s="10" t="str">
        <f>VLOOKUP(Table6[[#This Row],[الكود]],Data[],10,0)</f>
        <v>مصرى</v>
      </c>
      <c r="E21" s="10" t="str">
        <f>VLOOKUP(Table6[[#This Row],[الكود]],Data[],25,0)</f>
        <v>غير مؤمن</v>
      </c>
      <c r="F21" s="63">
        <f>VLOOKUP(Table6[[#This Row],[الكود]],Data[],88,0)</f>
        <v>45843</v>
      </c>
      <c r="G21" s="10"/>
      <c r="H21" s="54">
        <f>_xlfn.IFNA(IF(Table6[[#This Row],[الكود]]="","",VLOOKUP(Table6[[#This Row],[الكود]],Data[],97,0)),"")</f>
        <v>7300</v>
      </c>
      <c r="I21" s="54">
        <f>_xlfn.IFNA(IF(Table6[[#This Row],[الكود]]="","",VLOOKUP(Table6[[#This Row],[الكود]],Data[],99,0)),"")</f>
        <v>5615.38</v>
      </c>
      <c r="J21" s="54">
        <f>_xlfn.IFNA(IF(Table6[[#This Row],[الكود]]="","",VLOOKUP(Table6[[#This Row],[الكود]],Data[],100,0)),"")</f>
        <v>1684.62</v>
      </c>
      <c r="K21" s="54">
        <f>IF(Table6[[#This Row],[الاجر الشامل]]=0,"",I21*11%)</f>
        <v>617.69180000000006</v>
      </c>
      <c r="L21" s="54">
        <f>IF(Table6[[#This Row],[الاجر الشامل]]=0,"",I21*18.75%)</f>
        <v>1052.88375</v>
      </c>
      <c r="M21" s="17" t="str">
        <f>VLOOKUP(Table6[[#This Row],[الكود]],Data[],63,0)</f>
        <v>غير موجودة</v>
      </c>
      <c r="N21" s="17" t="str">
        <f>VLOOKUP(Table6[[#This Row],[الكود]],Data[],64,0)</f>
        <v>متوسط</v>
      </c>
      <c r="O21" s="17" t="b">
        <f>VLOOKUP(Table6[[#This Row],[الكود]],Data[],65,0)</f>
        <v>1</v>
      </c>
      <c r="P21" s="17" t="b">
        <f>VLOOKUP(Table6[[#This Row],[الكود]],Data[],67,0)</f>
        <v>1</v>
      </c>
      <c r="Q21" s="17"/>
      <c r="R21" s="17" t="b">
        <f>VLOOKUP(Table6[[#This Row],[الكود]],Data[],71,0)</f>
        <v>0</v>
      </c>
      <c r="S21" s="17" t="b">
        <f>VLOOKUP(Table6[[#This Row],[الكود]],Data[],73,0)</f>
        <v>0</v>
      </c>
      <c r="T21" s="41"/>
    </row>
    <row r="22" spans="1:20" ht="16.8" x14ac:dyDescent="0.25">
      <c r="A22" s="9">
        <v>86</v>
      </c>
      <c r="B22" s="10" t="s">
        <v>60</v>
      </c>
      <c r="C22" s="10" t="str">
        <f>VLOOKUP(Table6[[#This Row],[الكود]],Data[],12,0)</f>
        <v>29304161500133</v>
      </c>
      <c r="D22" s="10" t="str">
        <f>VLOOKUP(Table6[[#This Row],[الكود]],Data[],10,0)</f>
        <v>مصرى</v>
      </c>
      <c r="E22" s="10" t="str">
        <f>VLOOKUP(Table6[[#This Row],[الكود]],Data[],25,0)</f>
        <v>غير مؤمن</v>
      </c>
      <c r="F22" s="63">
        <f>VLOOKUP(Table6[[#This Row],[الكود]],Data[],88,0)</f>
        <v>45851</v>
      </c>
      <c r="G22" s="10"/>
      <c r="H22" s="54">
        <f>_xlfn.IFNA(IF(Table6[[#This Row],[الكود]]="","",VLOOKUP(Table6[[#This Row],[الكود]],Data[],97,0)),"")</f>
        <v>7300</v>
      </c>
      <c r="I22" s="54">
        <f>_xlfn.IFNA(IF(Table6[[#This Row],[الكود]]="","",VLOOKUP(Table6[[#This Row],[الكود]],Data[],99,0)),"")</f>
        <v>5615.38</v>
      </c>
      <c r="J22" s="54">
        <f>_xlfn.IFNA(IF(Table6[[#This Row],[الكود]]="","",VLOOKUP(Table6[[#This Row],[الكود]],Data[],100,0)),"")</f>
        <v>1684.62</v>
      </c>
      <c r="K22" s="54">
        <f>IF(Table6[[#This Row],[الاجر الشامل]]=0,"",I22*11%)</f>
        <v>617.69180000000006</v>
      </c>
      <c r="L22" s="54">
        <f>IF(Table6[[#This Row],[الاجر الشامل]]=0,"",I22*18.75%)</f>
        <v>1052.88375</v>
      </c>
      <c r="M22" s="17" t="str">
        <f>VLOOKUP(Table6[[#This Row],[الكود]],Data[],63,0)</f>
        <v>موجودة</v>
      </c>
      <c r="N22" s="17" t="str">
        <f>VLOOKUP(Table6[[#This Row],[الكود]],Data[],64,0)</f>
        <v>متوسط</v>
      </c>
      <c r="O22" s="17" t="b">
        <f>VLOOKUP(Table6[[#This Row],[الكود]],Data[],65,0)</f>
        <v>1</v>
      </c>
      <c r="P22" s="17" t="b">
        <f>VLOOKUP(Table6[[#This Row],[الكود]],Data[],67,0)</f>
        <v>1</v>
      </c>
      <c r="Q22" s="17"/>
      <c r="R22" s="17" t="b">
        <f>VLOOKUP(Table6[[#This Row],[الكود]],Data[],71,0)</f>
        <v>0</v>
      </c>
      <c r="S22" s="17" t="b">
        <f>VLOOKUP(Table6[[#This Row],[الكود]],Data[],73,0)</f>
        <v>0</v>
      </c>
      <c r="T22" s="41"/>
    </row>
    <row r="23" spans="1:20" ht="16.8" x14ac:dyDescent="0.25">
      <c r="A23" s="9">
        <v>91</v>
      </c>
      <c r="B23" s="10" t="s">
        <v>66</v>
      </c>
      <c r="C23" s="10" t="str">
        <f>VLOOKUP(Table6[[#This Row],[الكود]],Data[],12,0)</f>
        <v>27002011201711</v>
      </c>
      <c r="D23" s="10" t="str">
        <f>VLOOKUP(Table6[[#This Row],[الكود]],Data[],10,0)</f>
        <v>مصرى</v>
      </c>
      <c r="E23" s="10" t="str">
        <f>VLOOKUP(Table6[[#This Row],[الكود]],Data[],25,0)</f>
        <v>غير مؤمن</v>
      </c>
      <c r="F23" s="63">
        <f>VLOOKUP(Table6[[#This Row],[الكود]],Data[],88,0)</f>
        <v>45850</v>
      </c>
      <c r="G23" s="10"/>
      <c r="H23" s="54">
        <f>_xlfn.IFNA(IF(Table6[[#This Row],[الكود]]="","",VLOOKUP(Table6[[#This Row],[الكود]],Data[],97,0)),"")</f>
        <v>7000</v>
      </c>
      <c r="I23" s="54">
        <f>_xlfn.IFNA(IF(Table6[[#This Row],[الكود]]="","",VLOOKUP(Table6[[#This Row],[الكود]],Data[],99,0)),"")</f>
        <v>5384.62</v>
      </c>
      <c r="J23" s="54">
        <f>_xlfn.IFNA(IF(Table6[[#This Row],[الكود]]="","",VLOOKUP(Table6[[#This Row],[الكود]],Data[],100,0)),"")</f>
        <v>1615.38</v>
      </c>
      <c r="K23" s="54">
        <f>IF(Table6[[#This Row],[الاجر الشامل]]=0,"",I23*11%)</f>
        <v>592.30819999999994</v>
      </c>
      <c r="L23" s="54">
        <f>IF(Table6[[#This Row],[الاجر الشامل]]=0,"",I23*18.75%)</f>
        <v>1009.61625</v>
      </c>
      <c r="M23" s="17" t="str">
        <f>VLOOKUP(Table6[[#This Row],[الكود]],Data[],63,0)</f>
        <v>موجودة</v>
      </c>
      <c r="N23" s="17" t="str">
        <f>VLOOKUP(Table6[[#This Row],[الكود]],Data[],64,0)</f>
        <v>بدون</v>
      </c>
      <c r="O23" s="17" t="b">
        <f>VLOOKUP(Table6[[#This Row],[الكود]],Data[],65,0)</f>
        <v>1</v>
      </c>
      <c r="P23" s="17" t="b">
        <f>VLOOKUP(Table6[[#This Row],[الكود]],Data[],67,0)</f>
        <v>1</v>
      </c>
      <c r="Q23" s="17"/>
      <c r="R23" s="17" t="b">
        <f>VLOOKUP(Table6[[#This Row],[الكود]],Data[],71,0)</f>
        <v>1</v>
      </c>
      <c r="S23" s="17" t="b">
        <f>VLOOKUP(Table6[[#This Row],[الكود]],Data[],73,0)</f>
        <v>0</v>
      </c>
      <c r="T23" s="41"/>
    </row>
    <row r="24" spans="1:20" ht="16.8" x14ac:dyDescent="0.25">
      <c r="A24" s="9">
        <v>99</v>
      </c>
      <c r="B24" s="10" t="s">
        <v>67</v>
      </c>
      <c r="C24" s="10" t="str">
        <f>VLOOKUP(Table6[[#This Row],[الكود]],Data[],12,0)</f>
        <v>28907241301274</v>
      </c>
      <c r="D24" s="10" t="str">
        <f>VLOOKUP(Table6[[#This Row],[الكود]],Data[],10,0)</f>
        <v>مصرى</v>
      </c>
      <c r="E24" s="10" t="str">
        <f>VLOOKUP(Table6[[#This Row],[الكود]],Data[],25,0)</f>
        <v>غير مؤمن</v>
      </c>
      <c r="F24" s="63">
        <f>VLOOKUP(Table6[[#This Row],[الكود]],Data[],88,0)</f>
        <v>45852</v>
      </c>
      <c r="G24" s="10"/>
      <c r="H24" s="54">
        <f>_xlfn.IFNA(IF(Table6[[#This Row],[الكود]]="","",VLOOKUP(Table6[[#This Row],[الكود]],Data[],97,0)),"")</f>
        <v>7100</v>
      </c>
      <c r="I24" s="54">
        <f>_xlfn.IFNA(IF(Table6[[#This Row],[الكود]]="","",VLOOKUP(Table6[[#This Row],[الكود]],Data[],99,0)),"")</f>
        <v>5461.54</v>
      </c>
      <c r="J24" s="54">
        <f>_xlfn.IFNA(IF(Table6[[#This Row],[الكود]]="","",VLOOKUP(Table6[[#This Row],[الكود]],Data[],100,0)),"")</f>
        <v>1638.46</v>
      </c>
      <c r="K24" s="54">
        <f>IF(Table6[[#This Row],[الاجر الشامل]]=0,"",I24*11%)</f>
        <v>600.76940000000002</v>
      </c>
      <c r="L24" s="54">
        <f>IF(Table6[[#This Row],[الاجر الشامل]]=0,"",I24*18.75%)</f>
        <v>1024.0387499999999</v>
      </c>
      <c r="M24" s="17" t="str">
        <f>VLOOKUP(Table6[[#This Row],[الكود]],Data[],63,0)</f>
        <v>موجودة</v>
      </c>
      <c r="N24" s="17" t="str">
        <f>VLOOKUP(Table6[[#This Row],[الكود]],Data[],64,0)</f>
        <v>متوسط</v>
      </c>
      <c r="O24" s="17" t="b">
        <f>VLOOKUP(Table6[[#This Row],[الكود]],Data[],65,0)</f>
        <v>1</v>
      </c>
      <c r="P24" s="17" t="b">
        <f>VLOOKUP(Table6[[#This Row],[الكود]],Data[],67,0)</f>
        <v>0</v>
      </c>
      <c r="Q24" s="17"/>
      <c r="R24" s="17" t="b">
        <f>VLOOKUP(Table6[[#This Row],[الكود]],Data[],71,0)</f>
        <v>0</v>
      </c>
      <c r="S24" s="17" t="b">
        <f>VLOOKUP(Table6[[#This Row],[الكود]],Data[],73,0)</f>
        <v>0</v>
      </c>
      <c r="T24" s="41"/>
    </row>
    <row r="25" spans="1:20" ht="16.8" x14ac:dyDescent="0.25">
      <c r="A25" s="9">
        <v>114</v>
      </c>
      <c r="B25" s="10" t="s">
        <v>68</v>
      </c>
      <c r="C25" s="10" t="str">
        <f>VLOOKUP(Table6[[#This Row],[الكود]],Data[],12,0)</f>
        <v>29603141300534</v>
      </c>
      <c r="D25" s="10" t="str">
        <f>VLOOKUP(Table6[[#This Row],[الكود]],Data[],10,0)</f>
        <v>مصرى</v>
      </c>
      <c r="E25" s="10" t="str">
        <f>VLOOKUP(Table6[[#This Row],[الكود]],Data[],25,0)</f>
        <v>غير مؤمن</v>
      </c>
      <c r="F25" s="63">
        <f>VLOOKUP(Table6[[#This Row],[الكود]],Data[],88,0)</f>
        <v>45853</v>
      </c>
      <c r="G25" s="10"/>
      <c r="H25" s="54">
        <f>_xlfn.IFNA(IF(Table6[[#This Row],[الكود]]="","",VLOOKUP(Table6[[#This Row],[الكود]],Data[],97,0)),"")</f>
        <v>7500</v>
      </c>
      <c r="I25" s="54">
        <f>_xlfn.IFNA(IF(Table6[[#This Row],[الكود]]="","",VLOOKUP(Table6[[#This Row],[الكود]],Data[],99,0)),"")</f>
        <v>5769.23</v>
      </c>
      <c r="J25" s="54">
        <f>_xlfn.IFNA(IF(Table6[[#This Row],[الكود]]="","",VLOOKUP(Table6[[#This Row],[الكود]],Data[],100,0)),"")</f>
        <v>1730.77</v>
      </c>
      <c r="K25" s="54">
        <f>IF(Table6[[#This Row],[الاجر الشامل]]=0,"",I25*11%)</f>
        <v>634.61529999999993</v>
      </c>
      <c r="L25" s="54">
        <f>IF(Table6[[#This Row],[الاجر الشامل]]=0,"",I25*18.75%)</f>
        <v>1081.7306249999999</v>
      </c>
      <c r="M25" s="17" t="str">
        <f>VLOOKUP(Table6[[#This Row],[الكود]],Data[],63,0)</f>
        <v>موجودة</v>
      </c>
      <c r="N25" s="17" t="str">
        <f>VLOOKUP(Table6[[#This Row],[الكود]],Data[],64,0)</f>
        <v>موجودة</v>
      </c>
      <c r="O25" s="17" t="b">
        <f>VLOOKUP(Table6[[#This Row],[الكود]],Data[],65,0)</f>
        <v>1</v>
      </c>
      <c r="P25" s="17" t="b">
        <f>VLOOKUP(Table6[[#This Row],[الكود]],Data[],67,0)</f>
        <v>1</v>
      </c>
      <c r="Q25" s="17"/>
      <c r="R25" s="17" t="b">
        <f>VLOOKUP(Table6[[#This Row],[الكود]],Data[],71,0)</f>
        <v>1</v>
      </c>
      <c r="S25" s="17" t="b">
        <f>VLOOKUP(Table6[[#This Row],[الكود]],Data[],73,0)</f>
        <v>0</v>
      </c>
      <c r="T25" s="41"/>
    </row>
    <row r="26" spans="1:20" ht="16.8" x14ac:dyDescent="0.25">
      <c r="A26" s="9">
        <v>117</v>
      </c>
      <c r="B26" s="10" t="s">
        <v>70</v>
      </c>
      <c r="C26" s="10" t="str">
        <f>VLOOKUP(Table6[[#This Row],[الكود]],Data[],12,0)</f>
        <v>29711171301036</v>
      </c>
      <c r="D26" s="10" t="str">
        <f>VLOOKUP(Table6[[#This Row],[الكود]],Data[],10,0)</f>
        <v>مصرى</v>
      </c>
      <c r="E26" s="10" t="str">
        <f>VLOOKUP(Table6[[#This Row],[الكود]],Data[],25,0)</f>
        <v>غير مؤمن</v>
      </c>
      <c r="F26" s="63">
        <f>VLOOKUP(Table6[[#This Row],[الكود]],Data[],88,0)</f>
        <v>45853</v>
      </c>
      <c r="G26" s="10"/>
      <c r="H26" s="54">
        <f>_xlfn.IFNA(IF(Table6[[#This Row],[الكود]]="","",VLOOKUP(Table6[[#This Row],[الكود]],Data[],97,0)),"")</f>
        <v>7400</v>
      </c>
      <c r="I26" s="54">
        <f>_xlfn.IFNA(IF(Table6[[#This Row],[الكود]]="","",VLOOKUP(Table6[[#This Row],[الكود]],Data[],99,0)),"")</f>
        <v>5692.31</v>
      </c>
      <c r="J26" s="54">
        <f>_xlfn.IFNA(IF(Table6[[#This Row],[الكود]]="","",VLOOKUP(Table6[[#This Row],[الكود]],Data[],100,0)),"")</f>
        <v>1707.69</v>
      </c>
      <c r="K26" s="54">
        <f>IF(Table6[[#This Row],[الاجر الشامل]]=0,"",I26*11%)</f>
        <v>626.15410000000008</v>
      </c>
      <c r="L26" s="54">
        <f>IF(Table6[[#This Row],[الاجر الشامل]]=0,"",I26*18.75%)</f>
        <v>1067.308125</v>
      </c>
      <c r="M26" s="17" t="str">
        <f>VLOOKUP(Table6[[#This Row],[الكود]],Data[],63,0)</f>
        <v>غير موجودة</v>
      </c>
      <c r="N26" s="17" t="str">
        <f>VLOOKUP(Table6[[#This Row],[الكود]],Data[],64,0)</f>
        <v>بدون</v>
      </c>
      <c r="O26" s="17" t="b">
        <f>VLOOKUP(Table6[[#This Row],[الكود]],Data[],65,0)</f>
        <v>1</v>
      </c>
      <c r="P26" s="17" t="b">
        <f>VLOOKUP(Table6[[#This Row],[الكود]],Data[],67,0)</f>
        <v>1</v>
      </c>
      <c r="Q26" s="17"/>
      <c r="R26" s="17" t="b">
        <f>VLOOKUP(Table6[[#This Row],[الكود]],Data[],71,0)</f>
        <v>1</v>
      </c>
      <c r="S26" s="17" t="b">
        <f>VLOOKUP(Table6[[#This Row],[الكود]],Data[],73,0)</f>
        <v>1</v>
      </c>
      <c r="T26" s="41"/>
    </row>
    <row r="27" spans="1:20" ht="16.8" x14ac:dyDescent="0.25">
      <c r="A27" s="9">
        <v>118</v>
      </c>
      <c r="B27" s="10" t="s">
        <v>71</v>
      </c>
      <c r="C27" s="10" t="str">
        <f>VLOOKUP(Table6[[#This Row],[الكود]],Data[],12,0)</f>
        <v>29401181500356</v>
      </c>
      <c r="D27" s="10" t="str">
        <f>VLOOKUP(Table6[[#This Row],[الكود]],Data[],10,0)</f>
        <v>مصرى</v>
      </c>
      <c r="E27" s="10" t="str">
        <f>VLOOKUP(Table6[[#This Row],[الكود]],Data[],25,0)</f>
        <v>غير مؤمن</v>
      </c>
      <c r="F27" s="63">
        <f>VLOOKUP(Table6[[#This Row],[الكود]],Data[],88,0)</f>
        <v>45839</v>
      </c>
      <c r="G27" s="10"/>
      <c r="H27" s="54">
        <f>_xlfn.IFNA(IF(Table6[[#This Row],[الكود]]="","",VLOOKUP(Table6[[#This Row],[الكود]],Data[],97,0)),"")</f>
        <v>7300</v>
      </c>
      <c r="I27" s="54">
        <f>_xlfn.IFNA(IF(Table6[[#This Row],[الكود]]="","",VLOOKUP(Table6[[#This Row],[الكود]],Data[],99,0)),"")</f>
        <v>5615.38</v>
      </c>
      <c r="J27" s="54">
        <f>_xlfn.IFNA(IF(Table6[[#This Row],[الكود]]="","",VLOOKUP(Table6[[#This Row],[الكود]],Data[],100,0)),"")</f>
        <v>1684.62</v>
      </c>
      <c r="K27" s="54">
        <f>IF(Table6[[#This Row],[الاجر الشامل]]=0,"",I27*11%)</f>
        <v>617.69180000000006</v>
      </c>
      <c r="L27" s="54">
        <f>IF(Table6[[#This Row],[الاجر الشامل]]=0,"",I27*18.75%)</f>
        <v>1052.88375</v>
      </c>
      <c r="M27" s="17" t="str">
        <f>VLOOKUP(Table6[[#This Row],[الكود]],Data[],63,0)</f>
        <v>موجودة</v>
      </c>
      <c r="N27" s="17" t="str">
        <f>VLOOKUP(Table6[[#This Row],[الكود]],Data[],64,0)</f>
        <v>متوسط</v>
      </c>
      <c r="O27" s="17" t="b">
        <f>VLOOKUP(Table6[[#This Row],[الكود]],Data[],65,0)</f>
        <v>1</v>
      </c>
      <c r="P27" s="17" t="b">
        <f>VLOOKUP(Table6[[#This Row],[الكود]],Data[],67,0)</f>
        <v>1</v>
      </c>
      <c r="Q27" s="17"/>
      <c r="R27" s="17" t="b">
        <f>VLOOKUP(Table6[[#This Row],[الكود]],Data[],71,0)</f>
        <v>1</v>
      </c>
      <c r="S27" s="17" t="b">
        <f>VLOOKUP(Table6[[#This Row],[الكود]],Data[],73,0)</f>
        <v>0</v>
      </c>
      <c r="T27" s="41"/>
    </row>
    <row r="28" spans="1:20" ht="16.8" x14ac:dyDescent="0.25">
      <c r="A28" s="9">
        <v>120</v>
      </c>
      <c r="B28" s="10" t="s">
        <v>72</v>
      </c>
      <c r="C28" s="10" t="str">
        <f>VLOOKUP(Table6[[#This Row],[الكود]],Data[],12,0)</f>
        <v>29711261300438</v>
      </c>
      <c r="D28" s="10" t="str">
        <f>VLOOKUP(Table6[[#This Row],[الكود]],Data[],10,0)</f>
        <v>مصرى</v>
      </c>
      <c r="E28" s="10" t="str">
        <f>VLOOKUP(Table6[[#This Row],[الكود]],Data[],25,0)</f>
        <v>غير مؤمن</v>
      </c>
      <c r="F28" s="63">
        <f>VLOOKUP(Table6[[#This Row],[الكود]],Data[],88,0)</f>
        <v>45843</v>
      </c>
      <c r="G28" s="10"/>
      <c r="H28" s="54">
        <f>_xlfn.IFNA(IF(Table6[[#This Row],[الكود]]="","",VLOOKUP(Table6[[#This Row],[الكود]],Data[],97,0)),"")</f>
        <v>7300</v>
      </c>
      <c r="I28" s="54">
        <f>_xlfn.IFNA(IF(Table6[[#This Row],[الكود]]="","",VLOOKUP(Table6[[#This Row],[الكود]],Data[],99,0)),"")</f>
        <v>5615.38</v>
      </c>
      <c r="J28" s="54">
        <f>_xlfn.IFNA(IF(Table6[[#This Row],[الكود]]="","",VLOOKUP(Table6[[#This Row],[الكود]],Data[],100,0)),"")</f>
        <v>1684.62</v>
      </c>
      <c r="K28" s="54">
        <f>IF(Table6[[#This Row],[الاجر الشامل]]=0,"",I28*11%)</f>
        <v>617.69180000000006</v>
      </c>
      <c r="L28" s="54">
        <f>IF(Table6[[#This Row],[الاجر الشامل]]=0,"",I28*18.75%)</f>
        <v>1052.88375</v>
      </c>
      <c r="M28" s="17" t="str">
        <f>VLOOKUP(Table6[[#This Row],[الكود]],Data[],63,0)</f>
        <v>غير موجودة</v>
      </c>
      <c r="N28" s="17" t="str">
        <f>VLOOKUP(Table6[[#This Row],[الكود]],Data[],64,0)</f>
        <v>غير موجودة</v>
      </c>
      <c r="O28" s="17" t="b">
        <f>VLOOKUP(Table6[[#This Row],[الكود]],Data[],65,0)</f>
        <v>1</v>
      </c>
      <c r="P28" s="17" t="b">
        <f>VLOOKUP(Table6[[#This Row],[الكود]],Data[],67,0)</f>
        <v>0</v>
      </c>
      <c r="Q28" s="17"/>
      <c r="R28" s="17" t="b">
        <f>VLOOKUP(Table6[[#This Row],[الكود]],Data[],71,0)</f>
        <v>0</v>
      </c>
      <c r="S28" s="17" t="b">
        <f>VLOOKUP(Table6[[#This Row],[الكود]],Data[],73,0)</f>
        <v>0</v>
      </c>
      <c r="T28" s="41"/>
    </row>
    <row r="29" spans="1:20" ht="16.8" x14ac:dyDescent="0.25">
      <c r="A29" s="9">
        <v>122</v>
      </c>
      <c r="B29" s="10" t="s">
        <v>73</v>
      </c>
      <c r="C29" s="10" t="str">
        <f>VLOOKUP(Table6[[#This Row],[الكود]],Data[],12,0)</f>
        <v>29605011300799</v>
      </c>
      <c r="D29" s="10" t="str">
        <f>VLOOKUP(Table6[[#This Row],[الكود]],Data[],10,0)</f>
        <v>مصرى</v>
      </c>
      <c r="E29" s="10" t="str">
        <f>VLOOKUP(Table6[[#This Row],[الكود]],Data[],25,0)</f>
        <v>غير مؤمن</v>
      </c>
      <c r="F29" s="63">
        <f>VLOOKUP(Table6[[#This Row],[الكود]],Data[],88,0)</f>
        <v>45840</v>
      </c>
      <c r="G29" s="10"/>
      <c r="H29" s="54">
        <f>_xlfn.IFNA(IF(Table6[[#This Row],[الكود]]="","",VLOOKUP(Table6[[#This Row],[الكود]],Data[],97,0)),"")</f>
        <v>7300</v>
      </c>
      <c r="I29" s="54">
        <f>_xlfn.IFNA(IF(Table6[[#This Row],[الكود]]="","",VLOOKUP(Table6[[#This Row],[الكود]],Data[],99,0)),"")</f>
        <v>5615.38</v>
      </c>
      <c r="J29" s="54">
        <f>_xlfn.IFNA(IF(Table6[[#This Row],[الكود]]="","",VLOOKUP(Table6[[#This Row],[الكود]],Data[],100,0)),"")</f>
        <v>1684.62</v>
      </c>
      <c r="K29" s="54">
        <f>IF(Table6[[#This Row],[الاجر الشامل]]=0,"",I29*11%)</f>
        <v>617.69180000000006</v>
      </c>
      <c r="L29" s="54">
        <f>IF(Table6[[#This Row],[الاجر الشامل]]=0,"",I29*18.75%)</f>
        <v>1052.88375</v>
      </c>
      <c r="M29" s="17" t="str">
        <f>VLOOKUP(Table6[[#This Row],[الكود]],Data[],63,0)</f>
        <v>موجودة</v>
      </c>
      <c r="N29" s="17" t="str">
        <f>VLOOKUP(Table6[[#This Row],[الكود]],Data[],64,0)</f>
        <v>موجودة</v>
      </c>
      <c r="O29" s="17" t="b">
        <f>VLOOKUP(Table6[[#This Row],[الكود]],Data[],65,0)</f>
        <v>1</v>
      </c>
      <c r="P29" s="17" t="b">
        <f>VLOOKUP(Table6[[#This Row],[الكود]],Data[],67,0)</f>
        <v>1</v>
      </c>
      <c r="Q29" s="17"/>
      <c r="R29" s="17" t="b">
        <f>VLOOKUP(Table6[[#This Row],[الكود]],Data[],71,0)</f>
        <v>1</v>
      </c>
      <c r="S29" s="17" t="b">
        <f>VLOOKUP(Table6[[#This Row],[الكود]],Data[],73,0)</f>
        <v>0</v>
      </c>
      <c r="T29" s="41"/>
    </row>
    <row r="30" spans="1:20" ht="16.8" x14ac:dyDescent="0.25">
      <c r="A30" s="9">
        <v>125</v>
      </c>
      <c r="B30" s="10" t="s">
        <v>74</v>
      </c>
      <c r="C30" s="10" t="str">
        <f>VLOOKUP(Table6[[#This Row],[الكود]],Data[],12,0)</f>
        <v>28509011305895</v>
      </c>
      <c r="D30" s="10" t="str">
        <f>VLOOKUP(Table6[[#This Row],[الكود]],Data[],10,0)</f>
        <v>مصرى</v>
      </c>
      <c r="E30" s="10" t="str">
        <f>VLOOKUP(Table6[[#This Row],[الكود]],Data[],25,0)</f>
        <v>غير مؤمن</v>
      </c>
      <c r="F30" s="63">
        <f>VLOOKUP(Table6[[#This Row],[الكود]],Data[],88,0)</f>
        <v>45845</v>
      </c>
      <c r="G30" s="10"/>
      <c r="H30" s="54">
        <f>_xlfn.IFNA(IF(Table6[[#This Row],[الكود]]="","",VLOOKUP(Table6[[#This Row],[الكود]],Data[],97,0)),"")</f>
        <v>7300</v>
      </c>
      <c r="I30" s="54">
        <f>_xlfn.IFNA(IF(Table6[[#This Row],[الكود]]="","",VLOOKUP(Table6[[#This Row],[الكود]],Data[],99,0)),"")</f>
        <v>5615.38</v>
      </c>
      <c r="J30" s="54">
        <f>_xlfn.IFNA(IF(Table6[[#This Row],[الكود]]="","",VLOOKUP(Table6[[#This Row],[الكود]],Data[],100,0)),"")</f>
        <v>1684.62</v>
      </c>
      <c r="K30" s="54">
        <f>IF(Table6[[#This Row],[الاجر الشامل]]=0,"",I30*11%)</f>
        <v>617.69180000000006</v>
      </c>
      <c r="L30" s="54">
        <f>IF(Table6[[#This Row],[الاجر الشامل]]=0,"",I30*18.75%)</f>
        <v>1052.88375</v>
      </c>
      <c r="M30" s="17" t="str">
        <f>VLOOKUP(Table6[[#This Row],[الكود]],Data[],63,0)</f>
        <v>موجودة</v>
      </c>
      <c r="N30" s="17" t="str">
        <f>VLOOKUP(Table6[[#This Row],[الكود]],Data[],64,0)</f>
        <v>موجودة</v>
      </c>
      <c r="O30" s="17" t="b">
        <f>VLOOKUP(Table6[[#This Row],[الكود]],Data[],65,0)</f>
        <v>1</v>
      </c>
      <c r="P30" s="17" t="b">
        <f>VLOOKUP(Table6[[#This Row],[الكود]],Data[],67,0)</f>
        <v>1</v>
      </c>
      <c r="Q30" s="17"/>
      <c r="R30" s="17" t="b">
        <f>VLOOKUP(Table6[[#This Row],[الكود]],Data[],71,0)</f>
        <v>0</v>
      </c>
      <c r="S30" s="17" t="b">
        <f>VLOOKUP(Table6[[#This Row],[الكود]],Data[],73,0)</f>
        <v>0</v>
      </c>
      <c r="T30" s="41"/>
    </row>
    <row r="31" spans="1:20" ht="16.8" x14ac:dyDescent="0.25">
      <c r="A31" s="9">
        <v>134</v>
      </c>
      <c r="B31" s="10" t="s">
        <v>75</v>
      </c>
      <c r="C31" s="10" t="str">
        <f>VLOOKUP(Table6[[#This Row],[الكود]],Data[],12,0)</f>
        <v>29910011248786</v>
      </c>
      <c r="D31" s="10" t="str">
        <f>VLOOKUP(Table6[[#This Row],[الكود]],Data[],10,0)</f>
        <v>مصرية</v>
      </c>
      <c r="E31" s="10" t="str">
        <f>VLOOKUP(Table6[[#This Row],[الكود]],Data[],25,0)</f>
        <v>غير مؤمن</v>
      </c>
      <c r="F31" s="63">
        <f>VLOOKUP(Table6[[#This Row],[الكود]],Data[],88,0)</f>
        <v>45851</v>
      </c>
      <c r="G31" s="10"/>
      <c r="H31" s="54">
        <f>_xlfn.IFNA(IF(Table6[[#This Row],[الكود]]="","",VLOOKUP(Table6[[#This Row],[الكود]],Data[],97,0)),"")</f>
        <v>7000</v>
      </c>
      <c r="I31" s="54">
        <f>_xlfn.IFNA(IF(Table6[[#This Row],[الكود]]="","",VLOOKUP(Table6[[#This Row],[الكود]],Data[],99,0)),"")</f>
        <v>5384.62</v>
      </c>
      <c r="J31" s="54">
        <f>_xlfn.IFNA(IF(Table6[[#This Row],[الكود]]="","",VLOOKUP(Table6[[#This Row],[الكود]],Data[],100,0)),"")</f>
        <v>1615.38</v>
      </c>
      <c r="K31" s="54">
        <f>IF(Table6[[#This Row],[الاجر الشامل]]=0,"",I31*11%)</f>
        <v>592.30819999999994</v>
      </c>
      <c r="L31" s="54">
        <f>IF(Table6[[#This Row],[الاجر الشامل]]=0,"",I31*18.75%)</f>
        <v>1009.61625</v>
      </c>
      <c r="M31" s="17" t="str">
        <f>VLOOKUP(Table6[[#This Row],[الكود]],Data[],63,0)</f>
        <v>غير موجودة</v>
      </c>
      <c r="N31" s="17" t="str">
        <f>VLOOKUP(Table6[[#This Row],[الكود]],Data[],64,0)</f>
        <v>غير موجودة</v>
      </c>
      <c r="O31" s="17" t="b">
        <f>VLOOKUP(Table6[[#This Row],[الكود]],Data[],65,0)</f>
        <v>1</v>
      </c>
      <c r="P31" s="17" t="b">
        <f>VLOOKUP(Table6[[#This Row],[الكود]],Data[],67,0)</f>
        <v>1</v>
      </c>
      <c r="Q31" s="17"/>
      <c r="R31" s="17" t="b">
        <f>VLOOKUP(Table6[[#This Row],[الكود]],Data[],71,0)</f>
        <v>0</v>
      </c>
      <c r="S31" s="17" t="b">
        <f>VLOOKUP(Table6[[#This Row],[الكود]],Data[],73,0)</f>
        <v>0</v>
      </c>
      <c r="T31" s="41"/>
    </row>
    <row r="32" spans="1:20" ht="16.8" x14ac:dyDescent="0.25">
      <c r="A32" s="9">
        <v>144</v>
      </c>
      <c r="B32" s="10" t="s">
        <v>76</v>
      </c>
      <c r="C32" s="10" t="str">
        <f>VLOOKUP(Table6[[#This Row],[الكود]],Data[],12,0)</f>
        <v>28003251302426</v>
      </c>
      <c r="D32" s="10" t="str">
        <f>VLOOKUP(Table6[[#This Row],[الكود]],Data[],10,0)</f>
        <v>مصرية</v>
      </c>
      <c r="E32" s="10" t="str">
        <f>VLOOKUP(Table6[[#This Row],[الكود]],Data[],25,0)</f>
        <v>غير مؤمن</v>
      </c>
      <c r="F32" s="63">
        <f>VLOOKUP(Table6[[#This Row],[الكود]],Data[],88,0)</f>
        <v>45851</v>
      </c>
      <c r="G32" s="10"/>
      <c r="H32" s="54">
        <f>_xlfn.IFNA(IF(Table6[[#This Row],[الكود]]="","",VLOOKUP(Table6[[#This Row],[الكود]],Data[],97,0)),"")</f>
        <v>7000</v>
      </c>
      <c r="I32" s="54">
        <f>_xlfn.IFNA(IF(Table6[[#This Row],[الكود]]="","",VLOOKUP(Table6[[#This Row],[الكود]],Data[],99,0)),"")</f>
        <v>5384.62</v>
      </c>
      <c r="J32" s="54">
        <f>_xlfn.IFNA(IF(Table6[[#This Row],[الكود]]="","",VLOOKUP(Table6[[#This Row],[الكود]],Data[],100,0)),"")</f>
        <v>1615.38</v>
      </c>
      <c r="K32" s="54">
        <f>IF(Table6[[#This Row],[الاجر الشامل]]=0,"",I32*11%)</f>
        <v>592.30819999999994</v>
      </c>
      <c r="L32" s="54">
        <f>IF(Table6[[#This Row],[الاجر الشامل]]=0,"",I32*18.75%)</f>
        <v>1009.61625</v>
      </c>
      <c r="M32" s="17" t="str">
        <f>VLOOKUP(Table6[[#This Row],[الكود]],Data[],63,0)</f>
        <v>غير موجودة</v>
      </c>
      <c r="N32" s="17" t="str">
        <f>VLOOKUP(Table6[[#This Row],[الكود]],Data[],64,0)</f>
        <v>موجودة</v>
      </c>
      <c r="O32" s="17" t="b">
        <f>VLOOKUP(Table6[[#This Row],[الكود]],Data[],65,0)</f>
        <v>1</v>
      </c>
      <c r="P32" s="17" t="b">
        <f>VLOOKUP(Table6[[#This Row],[الكود]],Data[],67,0)</f>
        <v>1</v>
      </c>
      <c r="Q32" s="17"/>
      <c r="R32" s="17" t="b">
        <f>VLOOKUP(Table6[[#This Row],[الكود]],Data[],71,0)</f>
        <v>1</v>
      </c>
      <c r="S32" s="17" t="b">
        <f>VLOOKUP(Table6[[#This Row],[الكود]],Data[],73,0)</f>
        <v>0</v>
      </c>
      <c r="T32" s="41"/>
    </row>
    <row r="33" spans="1:20" ht="16.8" x14ac:dyDescent="0.25">
      <c r="A33" s="9">
        <v>146</v>
      </c>
      <c r="B33" s="10" t="s">
        <v>77</v>
      </c>
      <c r="C33" s="10" t="str">
        <f>VLOOKUP(Table6[[#This Row],[الكود]],Data[],12,0)</f>
        <v>29811221301681</v>
      </c>
      <c r="D33" s="10" t="str">
        <f>VLOOKUP(Table6[[#This Row],[الكود]],Data[],10,0)</f>
        <v>مصرية</v>
      </c>
      <c r="E33" s="10" t="str">
        <f>VLOOKUP(Table6[[#This Row],[الكود]],Data[],25,0)</f>
        <v>غير مؤمن</v>
      </c>
      <c r="F33" s="63">
        <f>VLOOKUP(Table6[[#This Row],[الكود]],Data[],88,0)</f>
        <v>45851</v>
      </c>
      <c r="G33" s="10"/>
      <c r="H33" s="54">
        <f>_xlfn.IFNA(IF(Table6[[#This Row],[الكود]]="","",VLOOKUP(Table6[[#This Row],[الكود]],Data[],97,0)),"")</f>
        <v>7000</v>
      </c>
      <c r="I33" s="54">
        <f>_xlfn.IFNA(IF(Table6[[#This Row],[الكود]]="","",VLOOKUP(Table6[[#This Row],[الكود]],Data[],99,0)),"")</f>
        <v>5384.62</v>
      </c>
      <c r="J33" s="54">
        <f>_xlfn.IFNA(IF(Table6[[#This Row],[الكود]]="","",VLOOKUP(Table6[[#This Row],[الكود]],Data[],100,0)),"")</f>
        <v>1615.38</v>
      </c>
      <c r="K33" s="54">
        <f>IF(Table6[[#This Row],[الاجر الشامل]]=0,"",I33*11%)</f>
        <v>592.30819999999994</v>
      </c>
      <c r="L33" s="54">
        <f>IF(Table6[[#This Row],[الاجر الشامل]]=0,"",I33*18.75%)</f>
        <v>1009.61625</v>
      </c>
      <c r="M33" s="17" t="str">
        <f>VLOOKUP(Table6[[#This Row],[الكود]],Data[],63,0)</f>
        <v>غير موجودة</v>
      </c>
      <c r="N33" s="17" t="str">
        <f>VLOOKUP(Table6[[#This Row],[الكود]],Data[],64,0)</f>
        <v>موجودة</v>
      </c>
      <c r="O33" s="17" t="b">
        <f>VLOOKUP(Table6[[#This Row],[الكود]],Data[],65,0)</f>
        <v>1</v>
      </c>
      <c r="P33" s="17" t="b">
        <f>VLOOKUP(Table6[[#This Row],[الكود]],Data[],67,0)</f>
        <v>1</v>
      </c>
      <c r="Q33" s="17"/>
      <c r="R33" s="17" t="b">
        <f>VLOOKUP(Table6[[#This Row],[الكود]],Data[],71,0)</f>
        <v>1</v>
      </c>
      <c r="S33" s="17" t="b">
        <f>VLOOKUP(Table6[[#This Row],[الكود]],Data[],73,0)</f>
        <v>0</v>
      </c>
      <c r="T33" s="41"/>
    </row>
    <row r="34" spans="1:20" ht="16.8" x14ac:dyDescent="0.25">
      <c r="A34" s="9">
        <v>147</v>
      </c>
      <c r="B34" s="10" t="s">
        <v>78</v>
      </c>
      <c r="C34" s="10" t="str">
        <f>VLOOKUP(Table6[[#This Row],[الكود]],Data[],12,0)</f>
        <v>27703091300608</v>
      </c>
      <c r="D34" s="10" t="str">
        <f>VLOOKUP(Table6[[#This Row],[الكود]],Data[],10,0)</f>
        <v>مصرية</v>
      </c>
      <c r="E34" s="10" t="str">
        <f>VLOOKUP(Table6[[#This Row],[الكود]],Data[],25,0)</f>
        <v>غير مؤمن</v>
      </c>
      <c r="F34" s="63">
        <f>VLOOKUP(Table6[[#This Row],[الكود]],Data[],88,0)</f>
        <v>45851</v>
      </c>
      <c r="G34" s="10"/>
      <c r="H34" s="54">
        <f>_xlfn.IFNA(IF(Table6[[#This Row],[الكود]]="","",VLOOKUP(Table6[[#This Row],[الكود]],Data[],97,0)),"")</f>
        <v>7000</v>
      </c>
      <c r="I34" s="54">
        <f>_xlfn.IFNA(IF(Table6[[#This Row],[الكود]]="","",VLOOKUP(Table6[[#This Row],[الكود]],Data[],99,0)),"")</f>
        <v>5384.62</v>
      </c>
      <c r="J34" s="54">
        <f>_xlfn.IFNA(IF(Table6[[#This Row],[الكود]]="","",VLOOKUP(Table6[[#This Row],[الكود]],Data[],100,0)),"")</f>
        <v>1615.38</v>
      </c>
      <c r="K34" s="54">
        <f>IF(Table6[[#This Row],[الاجر الشامل]]=0,"",I34*11%)</f>
        <v>592.30819999999994</v>
      </c>
      <c r="L34" s="54">
        <f>IF(Table6[[#This Row],[الاجر الشامل]]=0,"",I34*18.75%)</f>
        <v>1009.61625</v>
      </c>
      <c r="M34" s="17" t="str">
        <f>VLOOKUP(Table6[[#This Row],[الكود]],Data[],63,0)</f>
        <v>غير موجودة</v>
      </c>
      <c r="N34" s="17" t="str">
        <f>VLOOKUP(Table6[[#This Row],[الكود]],Data[],64,0)</f>
        <v>غير موجودة</v>
      </c>
      <c r="O34" s="17" t="b">
        <f>VLOOKUP(Table6[[#This Row],[الكود]],Data[],65,0)</f>
        <v>1</v>
      </c>
      <c r="P34" s="17" t="b">
        <f>VLOOKUP(Table6[[#This Row],[الكود]],Data[],67,0)</f>
        <v>1</v>
      </c>
      <c r="Q34" s="17"/>
      <c r="R34" s="17" t="b">
        <f>VLOOKUP(Table6[[#This Row],[الكود]],Data[],71,0)</f>
        <v>1</v>
      </c>
      <c r="S34" s="17" t="b">
        <f>VLOOKUP(Table6[[#This Row],[الكود]],Data[],73,0)</f>
        <v>0</v>
      </c>
      <c r="T34" s="41"/>
    </row>
    <row r="35" spans="1:20" ht="16.8" x14ac:dyDescent="0.25">
      <c r="A35" s="9">
        <v>149</v>
      </c>
      <c r="B35" s="10" t="s">
        <v>79</v>
      </c>
      <c r="C35" s="10" t="str">
        <f>VLOOKUP(Table6[[#This Row],[الكود]],Data[],12,0)</f>
        <v>28702032200109</v>
      </c>
      <c r="D35" s="10" t="str">
        <f>VLOOKUP(Table6[[#This Row],[الكود]],Data[],10,0)</f>
        <v>مصرية</v>
      </c>
      <c r="E35" s="10" t="str">
        <f>VLOOKUP(Table6[[#This Row],[الكود]],Data[],25,0)</f>
        <v>غير مؤمن</v>
      </c>
      <c r="F35" s="63">
        <f>VLOOKUP(Table6[[#This Row],[الكود]],Data[],88,0)</f>
        <v>45851</v>
      </c>
      <c r="G35" s="10"/>
      <c r="H35" s="54">
        <f>_xlfn.IFNA(IF(Table6[[#This Row],[الكود]]="","",VLOOKUP(Table6[[#This Row],[الكود]],Data[],97,0)),"")</f>
        <v>7000</v>
      </c>
      <c r="I35" s="54">
        <f>_xlfn.IFNA(IF(Table6[[#This Row],[الكود]]="","",VLOOKUP(Table6[[#This Row],[الكود]],Data[],99,0)),"")</f>
        <v>5384.62</v>
      </c>
      <c r="J35" s="54">
        <f>_xlfn.IFNA(IF(Table6[[#This Row],[الكود]]="","",VLOOKUP(Table6[[#This Row],[الكود]],Data[],100,0)),"")</f>
        <v>1615.38</v>
      </c>
      <c r="K35" s="54">
        <f>IF(Table6[[#This Row],[الاجر الشامل]]=0,"",I35*11%)</f>
        <v>592.30819999999994</v>
      </c>
      <c r="L35" s="54">
        <f>IF(Table6[[#This Row],[الاجر الشامل]]=0,"",I35*18.75%)</f>
        <v>1009.61625</v>
      </c>
      <c r="M35" s="17" t="str">
        <f>VLOOKUP(Table6[[#This Row],[الكود]],Data[],63,0)</f>
        <v>غير موجودة</v>
      </c>
      <c r="N35" s="17" t="str">
        <f>VLOOKUP(Table6[[#This Row],[الكود]],Data[],64,0)</f>
        <v>موجودة</v>
      </c>
      <c r="O35" s="17" t="b">
        <f>VLOOKUP(Table6[[#This Row],[الكود]],Data[],65,0)</f>
        <v>1</v>
      </c>
      <c r="P35" s="17" t="b">
        <f>VLOOKUP(Table6[[#This Row],[الكود]],Data[],67,0)</f>
        <v>1</v>
      </c>
      <c r="Q35" s="17"/>
      <c r="R35" s="17" t="b">
        <f>VLOOKUP(Table6[[#This Row],[الكود]],Data[],71,0)</f>
        <v>1</v>
      </c>
      <c r="S35" s="17" t="b">
        <f>VLOOKUP(Table6[[#This Row],[الكود]],Data[],73,0)</f>
        <v>0</v>
      </c>
      <c r="T35" s="41"/>
    </row>
    <row r="36" spans="1:20" ht="16.8" x14ac:dyDescent="0.25">
      <c r="A36" s="9">
        <v>151</v>
      </c>
      <c r="B36" s="10" t="s">
        <v>80</v>
      </c>
      <c r="C36" s="10" t="str">
        <f>VLOOKUP(Table6[[#This Row],[الكود]],Data[],12,0)</f>
        <v>27505061201021</v>
      </c>
      <c r="D36" s="10" t="str">
        <f>VLOOKUP(Table6[[#This Row],[الكود]],Data[],10,0)</f>
        <v>مصرية</v>
      </c>
      <c r="E36" s="10" t="str">
        <f>VLOOKUP(Table6[[#This Row],[الكود]],Data[],25,0)</f>
        <v>غير مؤمن</v>
      </c>
      <c r="F36" s="63">
        <f>VLOOKUP(Table6[[#This Row],[الكود]],Data[],88,0)</f>
        <v>45852</v>
      </c>
      <c r="G36" s="10"/>
      <c r="H36" s="54">
        <f>_xlfn.IFNA(IF(Table6[[#This Row],[الكود]]="","",VLOOKUP(Table6[[#This Row],[الكود]],Data[],97,0)),"")</f>
        <v>7000</v>
      </c>
      <c r="I36" s="54">
        <f>_xlfn.IFNA(IF(Table6[[#This Row],[الكود]]="","",VLOOKUP(Table6[[#This Row],[الكود]],Data[],99,0)),"")</f>
        <v>5384.62</v>
      </c>
      <c r="J36" s="54">
        <f>_xlfn.IFNA(IF(Table6[[#This Row],[الكود]]="","",VLOOKUP(Table6[[#This Row],[الكود]],Data[],100,0)),"")</f>
        <v>1615.38</v>
      </c>
      <c r="K36" s="54">
        <f>IF(Table6[[#This Row],[الاجر الشامل]]=0,"",I36*11%)</f>
        <v>592.30819999999994</v>
      </c>
      <c r="L36" s="54">
        <f>IF(Table6[[#This Row],[الاجر الشامل]]=0,"",I36*18.75%)</f>
        <v>1009.61625</v>
      </c>
      <c r="M36" s="17" t="str">
        <f>VLOOKUP(Table6[[#This Row],[الكود]],Data[],63,0)</f>
        <v>غير موجودة</v>
      </c>
      <c r="N36" s="17" t="str">
        <f>VLOOKUP(Table6[[#This Row],[الكود]],Data[],64,0)</f>
        <v>غير موجودة</v>
      </c>
      <c r="O36" s="17" t="b">
        <f>VLOOKUP(Table6[[#This Row],[الكود]],Data[],65,0)</f>
        <v>1</v>
      </c>
      <c r="P36" s="17" t="b">
        <f>VLOOKUP(Table6[[#This Row],[الكود]],Data[],67,0)</f>
        <v>1</v>
      </c>
      <c r="Q36" s="17"/>
      <c r="R36" s="17" t="b">
        <f>VLOOKUP(Table6[[#This Row],[الكود]],Data[],71,0)</f>
        <v>1</v>
      </c>
      <c r="S36" s="17" t="b">
        <f>VLOOKUP(Table6[[#This Row],[الكود]],Data[],73,0)</f>
        <v>0</v>
      </c>
      <c r="T36" s="41"/>
    </row>
    <row r="37" spans="1:20" ht="16.8" x14ac:dyDescent="0.25">
      <c r="A37" s="9">
        <v>153</v>
      </c>
      <c r="B37" s="10" t="s">
        <v>81</v>
      </c>
      <c r="C37" s="10" t="str">
        <f>VLOOKUP(Table6[[#This Row],[الكود]],Data[],12,0)</f>
        <v>29105191301078</v>
      </c>
      <c r="D37" s="10" t="str">
        <f>VLOOKUP(Table6[[#This Row],[الكود]],Data[],10,0)</f>
        <v>مصرى</v>
      </c>
      <c r="E37" s="10" t="str">
        <f>VLOOKUP(Table6[[#This Row],[الكود]],Data[],25,0)</f>
        <v>غير مؤمن</v>
      </c>
      <c r="F37" s="63">
        <f>VLOOKUP(Table6[[#This Row],[الكود]],Data[],88,0)</f>
        <v>45839</v>
      </c>
      <c r="G37" s="10"/>
      <c r="H37" s="54">
        <f>_xlfn.IFNA(IF(Table6[[#This Row],[الكود]]="","",VLOOKUP(Table6[[#This Row],[الكود]],Data[],97,0)),"")</f>
        <v>7100</v>
      </c>
      <c r="I37" s="54">
        <f>_xlfn.IFNA(IF(Table6[[#This Row],[الكود]]="","",VLOOKUP(Table6[[#This Row],[الكود]],Data[],99,0)),"")</f>
        <v>5461.54</v>
      </c>
      <c r="J37" s="54">
        <f>_xlfn.IFNA(IF(Table6[[#This Row],[الكود]]="","",VLOOKUP(Table6[[#This Row],[الكود]],Data[],100,0)),"")</f>
        <v>1638.46</v>
      </c>
      <c r="K37" s="54">
        <f>IF(Table6[[#This Row],[الاجر الشامل]]=0,"",I37*11%)</f>
        <v>600.76940000000002</v>
      </c>
      <c r="L37" s="54">
        <f>IF(Table6[[#This Row],[الاجر الشامل]]=0,"",I37*18.75%)</f>
        <v>1024.0387499999999</v>
      </c>
      <c r="M37" s="17" t="str">
        <f>VLOOKUP(Table6[[#This Row],[الكود]],Data[],63,0)</f>
        <v>غير موجودة</v>
      </c>
      <c r="N37" s="17" t="str">
        <f>VLOOKUP(Table6[[#This Row],[الكود]],Data[],64,0)</f>
        <v>غير موجودة</v>
      </c>
      <c r="O37" s="17" t="b">
        <f>VLOOKUP(Table6[[#This Row],[الكود]],Data[],65,0)</f>
        <v>0</v>
      </c>
      <c r="P37" s="17" t="b">
        <f>VLOOKUP(Table6[[#This Row],[الكود]],Data[],67,0)</f>
        <v>1</v>
      </c>
      <c r="Q37" s="17"/>
      <c r="R37" s="17" t="b">
        <f>VLOOKUP(Table6[[#This Row],[الكود]],Data[],71,0)</f>
        <v>0</v>
      </c>
      <c r="S37" s="17" t="b">
        <f>VLOOKUP(Table6[[#This Row],[الكود]],Data[],73,0)</f>
        <v>0</v>
      </c>
      <c r="T37" s="41"/>
    </row>
    <row r="38" spans="1:20" ht="16.8" x14ac:dyDescent="0.25">
      <c r="A38" s="9">
        <v>155</v>
      </c>
      <c r="B38" s="10" t="s">
        <v>83</v>
      </c>
      <c r="C38" s="10" t="str">
        <f>VLOOKUP(Table6[[#This Row],[الكود]],Data[],12,0)</f>
        <v>30012011304918</v>
      </c>
      <c r="D38" s="10" t="str">
        <f>VLOOKUP(Table6[[#This Row],[الكود]],Data[],10,0)</f>
        <v>مصرى</v>
      </c>
      <c r="E38" s="10" t="str">
        <f>VLOOKUP(Table6[[#This Row],[الكود]],Data[],25,0)</f>
        <v>غير مؤمن</v>
      </c>
      <c r="F38" s="63">
        <f>VLOOKUP(Table6[[#This Row],[الكود]],Data[],88,0)</f>
        <v>45853</v>
      </c>
      <c r="G38" s="10"/>
      <c r="H38" s="54">
        <f>_xlfn.IFNA(IF(Table6[[#This Row],[الكود]]="","",VLOOKUP(Table6[[#This Row],[الكود]],Data[],97,0)),"")</f>
        <v>7100</v>
      </c>
      <c r="I38" s="54">
        <f>_xlfn.IFNA(IF(Table6[[#This Row],[الكود]]="","",VLOOKUP(Table6[[#This Row],[الكود]],Data[],99,0)),"")</f>
        <v>5461.54</v>
      </c>
      <c r="J38" s="54">
        <f>_xlfn.IFNA(IF(Table6[[#This Row],[الكود]]="","",VLOOKUP(Table6[[#This Row],[الكود]],Data[],100,0)),"")</f>
        <v>1638.46</v>
      </c>
      <c r="K38" s="54">
        <f>IF(Table6[[#This Row],[الاجر الشامل]]=0,"",I38*11%)</f>
        <v>600.76940000000002</v>
      </c>
      <c r="L38" s="54">
        <f>IF(Table6[[#This Row],[الاجر الشامل]]=0,"",I38*18.75%)</f>
        <v>1024.0387499999999</v>
      </c>
      <c r="M38" s="17" t="str">
        <f>VLOOKUP(Table6[[#This Row],[الكود]],Data[],63,0)</f>
        <v>غير موجودة</v>
      </c>
      <c r="N38" s="17" t="str">
        <f>VLOOKUP(Table6[[#This Row],[الكود]],Data[],64,0)</f>
        <v>غير موجودة</v>
      </c>
      <c r="O38" s="17" t="b">
        <f>VLOOKUP(Table6[[#This Row],[الكود]],Data[],65,0)</f>
        <v>0</v>
      </c>
      <c r="P38" s="17" t="b">
        <f>VLOOKUP(Table6[[#This Row],[الكود]],Data[],67,0)</f>
        <v>1</v>
      </c>
      <c r="Q38" s="17"/>
      <c r="R38" s="17" t="b">
        <f>VLOOKUP(Table6[[#This Row],[الكود]],Data[],71,0)</f>
        <v>1</v>
      </c>
      <c r="S38" s="17" t="b">
        <f>VLOOKUP(Table6[[#This Row],[الكود]],Data[],73,0)</f>
        <v>0</v>
      </c>
      <c r="T38" s="41"/>
    </row>
    <row r="39" spans="1:20" ht="16.8" x14ac:dyDescent="0.25">
      <c r="A39" s="9">
        <v>156</v>
      </c>
      <c r="B39" s="10" t="s">
        <v>84</v>
      </c>
      <c r="C39" s="10" t="str">
        <f>VLOOKUP(Table6[[#This Row],[الكود]],Data[],12,0)</f>
        <v>30112051303374</v>
      </c>
      <c r="D39" s="10" t="str">
        <f>VLOOKUP(Table6[[#This Row],[الكود]],Data[],10,0)</f>
        <v>مصرى</v>
      </c>
      <c r="E39" s="10" t="str">
        <f>VLOOKUP(Table6[[#This Row],[الكود]],Data[],25,0)</f>
        <v>غير مؤمن</v>
      </c>
      <c r="F39" s="63">
        <f>VLOOKUP(Table6[[#This Row],[الكود]],Data[],88,0)</f>
        <v>1</v>
      </c>
      <c r="G39" s="10"/>
      <c r="H39" s="54">
        <f>_xlfn.IFNA(IF(Table6[[#This Row],[الكود]]="","",VLOOKUP(Table6[[#This Row],[الكود]],Data[],97,0)),"")</f>
        <v>7100</v>
      </c>
      <c r="I39" s="54">
        <f>_xlfn.IFNA(IF(Table6[[#This Row],[الكود]]="","",VLOOKUP(Table6[[#This Row],[الكود]],Data[],99,0)),"")</f>
        <v>5461.54</v>
      </c>
      <c r="J39" s="54">
        <f>_xlfn.IFNA(IF(Table6[[#This Row],[الكود]]="","",VLOOKUP(Table6[[#This Row],[الكود]],Data[],100,0)),"")</f>
        <v>1638.46</v>
      </c>
      <c r="K39" s="54">
        <f>IF(Table6[[#This Row],[الاجر الشامل]]=0,"",I39*11%)</f>
        <v>600.76940000000002</v>
      </c>
      <c r="L39" s="54">
        <f>IF(Table6[[#This Row],[الاجر الشامل]]=0,"",I39*18.75%)</f>
        <v>1024.0387499999999</v>
      </c>
      <c r="M39" s="17" t="str">
        <f>VLOOKUP(Table6[[#This Row],[الكود]],Data[],63,0)</f>
        <v>معافى مؤقت</v>
      </c>
      <c r="N39" s="17" t="str">
        <f>VLOOKUP(Table6[[#This Row],[الكود]],Data[],64,0)</f>
        <v>متوسط</v>
      </c>
      <c r="O39" s="17" t="b">
        <f>VLOOKUP(Table6[[#This Row],[الكود]],Data[],65,0)</f>
        <v>1</v>
      </c>
      <c r="P39" s="17" t="b">
        <f>VLOOKUP(Table6[[#This Row],[الكود]],Data[],67,0)</f>
        <v>1</v>
      </c>
      <c r="Q39" s="17"/>
      <c r="R39" s="17" t="b">
        <f>VLOOKUP(Table6[[#This Row],[الكود]],Data[],71,0)</f>
        <v>0</v>
      </c>
      <c r="S39" s="17" t="b">
        <f>VLOOKUP(Table6[[#This Row],[الكود]],Data[],73,0)</f>
        <v>1</v>
      </c>
      <c r="T39" s="41"/>
    </row>
    <row r="40" spans="1:20" ht="16.8" x14ac:dyDescent="0.25">
      <c r="A40" s="9">
        <v>162</v>
      </c>
      <c r="B40" s="10" t="s">
        <v>85</v>
      </c>
      <c r="C40" s="10" t="str">
        <f>VLOOKUP(Table6[[#This Row],[الكود]],Data[],12,0)</f>
        <v>27102281300759</v>
      </c>
      <c r="D40" s="10" t="str">
        <f>VLOOKUP(Table6[[#This Row],[الكود]],Data[],10,0)</f>
        <v>مصرى</v>
      </c>
      <c r="E40" s="10" t="str">
        <f>VLOOKUP(Table6[[#This Row],[الكود]],Data[],25,0)</f>
        <v>غير مؤمن</v>
      </c>
      <c r="F40" s="63">
        <f>VLOOKUP(Table6[[#This Row],[الكود]],Data[],88,0)</f>
        <v>45852</v>
      </c>
      <c r="G40" s="10"/>
      <c r="H40" s="54">
        <f>_xlfn.IFNA(IF(Table6[[#This Row],[الكود]]="","",VLOOKUP(Table6[[#This Row],[الكود]],Data[],97,0)),"")</f>
        <v>7100</v>
      </c>
      <c r="I40" s="54">
        <f>_xlfn.IFNA(IF(Table6[[#This Row],[الكود]]="","",VLOOKUP(Table6[[#This Row],[الكود]],Data[],99,0)),"")</f>
        <v>5461.54</v>
      </c>
      <c r="J40" s="54">
        <f>_xlfn.IFNA(IF(Table6[[#This Row],[الكود]]="","",VLOOKUP(Table6[[#This Row],[الكود]],Data[],100,0)),"")</f>
        <v>1638.46</v>
      </c>
      <c r="K40" s="54">
        <f>IF(Table6[[#This Row],[الاجر الشامل]]=0,"",I40*11%)</f>
        <v>600.76940000000002</v>
      </c>
      <c r="L40" s="54">
        <f>IF(Table6[[#This Row],[الاجر الشامل]]=0,"",I40*18.75%)</f>
        <v>1024.0387499999999</v>
      </c>
      <c r="M40" s="17" t="str">
        <f>VLOOKUP(Table6[[#This Row],[الكود]],Data[],63,0)</f>
        <v>ادى الخدمة</v>
      </c>
      <c r="N40" s="17" t="str">
        <f>VLOOKUP(Table6[[#This Row],[الكود]],Data[],64,0)</f>
        <v>غير موجودة</v>
      </c>
      <c r="O40" s="17" t="b">
        <f>VLOOKUP(Table6[[#This Row],[الكود]],Data[],65,0)</f>
        <v>1</v>
      </c>
      <c r="P40" s="17" t="b">
        <f>VLOOKUP(Table6[[#This Row],[الكود]],Data[],67,0)</f>
        <v>1</v>
      </c>
      <c r="Q40" s="17"/>
      <c r="R40" s="17" t="b">
        <f>VLOOKUP(Table6[[#This Row],[الكود]],Data[],71,0)</f>
        <v>1</v>
      </c>
      <c r="S40" s="17" t="b">
        <f>VLOOKUP(Table6[[#This Row],[الكود]],Data[],73,0)</f>
        <v>0</v>
      </c>
      <c r="T40" s="41"/>
    </row>
    <row r="41" spans="1:20" ht="16.8" x14ac:dyDescent="0.25">
      <c r="A41" s="9">
        <v>163</v>
      </c>
      <c r="B41" s="10" t="s">
        <v>86</v>
      </c>
      <c r="C41" s="10" t="str">
        <f>VLOOKUP(Table6[[#This Row],[الكود]],Data[],12,0)</f>
        <v>29008251302031</v>
      </c>
      <c r="D41" s="10" t="str">
        <f>VLOOKUP(Table6[[#This Row],[الكود]],Data[],10,0)</f>
        <v>مصرى</v>
      </c>
      <c r="E41" s="10" t="str">
        <f>VLOOKUP(Table6[[#This Row],[الكود]],Data[],25,0)</f>
        <v>غير مؤمن</v>
      </c>
      <c r="F41" s="63">
        <f>VLOOKUP(Table6[[#This Row],[الكود]],Data[],88,0)</f>
        <v>45840</v>
      </c>
      <c r="G41" s="10"/>
      <c r="H41" s="54">
        <f>_xlfn.IFNA(IF(Table6[[#This Row],[الكود]]="","",VLOOKUP(Table6[[#This Row],[الكود]],Data[],97,0)),"")</f>
        <v>7100</v>
      </c>
      <c r="I41" s="54">
        <f>_xlfn.IFNA(IF(Table6[[#This Row],[الكود]]="","",VLOOKUP(Table6[[#This Row],[الكود]],Data[],99,0)),"")</f>
        <v>5461.54</v>
      </c>
      <c r="J41" s="54">
        <f>_xlfn.IFNA(IF(Table6[[#This Row],[الكود]]="","",VLOOKUP(Table6[[#This Row],[الكود]],Data[],100,0)),"")</f>
        <v>1638.46</v>
      </c>
      <c r="K41" s="54">
        <f>IF(Table6[[#This Row],[الاجر الشامل]]=0,"",I41*11%)</f>
        <v>600.76940000000002</v>
      </c>
      <c r="L41" s="54">
        <f>IF(Table6[[#This Row],[الاجر الشامل]]=0,"",I41*18.75%)</f>
        <v>1024.0387499999999</v>
      </c>
      <c r="M41" s="17" t="str">
        <f>VLOOKUP(Table6[[#This Row],[الكود]],Data[],63,0)</f>
        <v>غير موجودة</v>
      </c>
      <c r="N41" s="17" t="str">
        <f>VLOOKUP(Table6[[#This Row],[الكود]],Data[],64,0)</f>
        <v>غير موجودة</v>
      </c>
      <c r="O41" s="17" t="b">
        <f>VLOOKUP(Table6[[#This Row],[الكود]],Data[],65,0)</f>
        <v>1</v>
      </c>
      <c r="P41" s="17" t="b">
        <f>VLOOKUP(Table6[[#This Row],[الكود]],Data[],67,0)</f>
        <v>1</v>
      </c>
      <c r="Q41" s="17"/>
      <c r="R41" s="17" t="b">
        <f>VLOOKUP(Table6[[#This Row],[الكود]],Data[],71,0)</f>
        <v>1</v>
      </c>
      <c r="S41" s="17" t="b">
        <f>VLOOKUP(Table6[[#This Row],[الكود]],Data[],73,0)</f>
        <v>0</v>
      </c>
      <c r="T41" s="41"/>
    </row>
    <row r="42" spans="1:20" ht="16.8" x14ac:dyDescent="0.25">
      <c r="A42" s="9">
        <v>164</v>
      </c>
      <c r="B42" s="10" t="s">
        <v>87</v>
      </c>
      <c r="C42" s="10" t="str">
        <f>VLOOKUP(Table6[[#This Row],[الكود]],Data[],12,0)</f>
        <v>28702241301435</v>
      </c>
      <c r="D42" s="10" t="str">
        <f>VLOOKUP(Table6[[#This Row],[الكود]],Data[],10,0)</f>
        <v>مصرى</v>
      </c>
      <c r="E42" s="10" t="str">
        <f>VLOOKUP(Table6[[#This Row],[الكود]],Data[],25,0)</f>
        <v>غير مؤمن</v>
      </c>
      <c r="F42" s="63">
        <f>VLOOKUP(Table6[[#This Row],[الكود]],Data[],88,0)</f>
        <v>45840</v>
      </c>
      <c r="G42" s="10"/>
      <c r="H42" s="54">
        <f>_xlfn.IFNA(IF(Table6[[#This Row],[الكود]]="","",VLOOKUP(Table6[[#This Row],[الكود]],Data[],97,0)),"")</f>
        <v>7100</v>
      </c>
      <c r="I42" s="54">
        <f>_xlfn.IFNA(IF(Table6[[#This Row],[الكود]]="","",VLOOKUP(Table6[[#This Row],[الكود]],Data[],99,0)),"")</f>
        <v>5461.54</v>
      </c>
      <c r="J42" s="54">
        <f>_xlfn.IFNA(IF(Table6[[#This Row],[الكود]]="","",VLOOKUP(Table6[[#This Row],[الكود]],Data[],100,0)),"")</f>
        <v>1638.46</v>
      </c>
      <c r="K42" s="54">
        <f>IF(Table6[[#This Row],[الاجر الشامل]]=0,"",I42*11%)</f>
        <v>600.76940000000002</v>
      </c>
      <c r="L42" s="54">
        <f>IF(Table6[[#This Row],[الاجر الشامل]]=0,"",I42*18.75%)</f>
        <v>1024.0387499999999</v>
      </c>
      <c r="M42" s="17" t="str">
        <f>VLOOKUP(Table6[[#This Row],[الكود]],Data[],63,0)</f>
        <v>معافى نهائي</v>
      </c>
      <c r="N42" s="17" t="str">
        <f>VLOOKUP(Table6[[#This Row],[الكود]],Data[],64,0)</f>
        <v>غير موجودة</v>
      </c>
      <c r="O42" s="17" t="b">
        <f>VLOOKUP(Table6[[#This Row],[الكود]],Data[],65,0)</f>
        <v>0</v>
      </c>
      <c r="P42" s="17" t="b">
        <f>VLOOKUP(Table6[[#This Row],[الكود]],Data[],67,0)</f>
        <v>1</v>
      </c>
      <c r="Q42" s="17"/>
      <c r="R42" s="17" t="b">
        <f>VLOOKUP(Table6[[#This Row],[الكود]],Data[],71,0)</f>
        <v>1</v>
      </c>
      <c r="S42" s="17" t="b">
        <f>VLOOKUP(Table6[[#This Row],[الكود]],Data[],73,0)</f>
        <v>0</v>
      </c>
      <c r="T42" s="41"/>
    </row>
    <row r="43" spans="1:20" ht="16.8" x14ac:dyDescent="0.25">
      <c r="A43" s="9">
        <v>167</v>
      </c>
      <c r="B43" s="10" t="s">
        <v>88</v>
      </c>
      <c r="C43" s="10" t="str">
        <f>VLOOKUP(Table6[[#This Row],[الكود]],Data[],12,0)</f>
        <v>27505041300899</v>
      </c>
      <c r="D43" s="10" t="str">
        <f>VLOOKUP(Table6[[#This Row],[الكود]],Data[],10,0)</f>
        <v>مصرى</v>
      </c>
      <c r="E43" s="10" t="str">
        <f>VLOOKUP(Table6[[#This Row],[الكود]],Data[],25,0)</f>
        <v>غير مؤمن</v>
      </c>
      <c r="F43" s="63">
        <f>VLOOKUP(Table6[[#This Row],[الكود]],Data[],88,0)</f>
        <v>1</v>
      </c>
      <c r="G43" s="10"/>
      <c r="H43" s="54">
        <f>_xlfn.IFNA(IF(Table6[[#This Row],[الكود]]="","",VLOOKUP(Table6[[#This Row],[الكود]],Data[],97,0)),"")</f>
        <v>0</v>
      </c>
      <c r="I43" s="54">
        <f>_xlfn.IFNA(IF(Table6[[#This Row],[الكود]]="","",VLOOKUP(Table6[[#This Row],[الكود]],Data[],99,0)),"")</f>
        <v>0</v>
      </c>
      <c r="J43" s="54">
        <f>_xlfn.IFNA(IF(Table6[[#This Row],[الكود]]="","",VLOOKUP(Table6[[#This Row],[الكود]],Data[],100,0)),"")</f>
        <v>0</v>
      </c>
      <c r="K43" s="54" t="str">
        <f>IF(Table6[[#This Row],[الاجر الشامل]]=0,"",I43*11%)</f>
        <v/>
      </c>
      <c r="L43" s="54" t="str">
        <f>IF(Table6[[#This Row],[الاجر الشامل]]=0,"",I43*18.75%)</f>
        <v/>
      </c>
      <c r="M43" s="17" t="str">
        <f>VLOOKUP(Table6[[#This Row],[الكود]],Data[],63,0)</f>
        <v>غير موجودة</v>
      </c>
      <c r="N43" s="17" t="str">
        <f>VLOOKUP(Table6[[#This Row],[الكود]],Data[],64,0)</f>
        <v>غير موجودة</v>
      </c>
      <c r="O43" s="17" t="b">
        <f>VLOOKUP(Table6[[#This Row],[الكود]],Data[],65,0)</f>
        <v>1</v>
      </c>
      <c r="P43" s="17" t="b">
        <f>VLOOKUP(Table6[[#This Row],[الكود]],Data[],67,0)</f>
        <v>0</v>
      </c>
      <c r="Q43" s="17"/>
      <c r="R43" s="17" t="b">
        <f>VLOOKUP(Table6[[#This Row],[الكود]],Data[],71,0)</f>
        <v>1</v>
      </c>
      <c r="S43" s="17" t="b">
        <f>VLOOKUP(Table6[[#This Row],[الكود]],Data[],73,0)</f>
        <v>0</v>
      </c>
      <c r="T43" s="41"/>
    </row>
    <row r="44" spans="1:20" ht="16.8" x14ac:dyDescent="0.25">
      <c r="A44" s="9">
        <v>194</v>
      </c>
      <c r="B44" s="10" t="s">
        <v>89</v>
      </c>
      <c r="C44" s="10" t="str">
        <f>VLOOKUP(Table6[[#This Row],[الكود]],Data[],12,0)</f>
        <v>30006101303856</v>
      </c>
      <c r="D44" s="10" t="str">
        <f>VLOOKUP(Table6[[#This Row],[الكود]],Data[],10,0)</f>
        <v>مصرى</v>
      </c>
      <c r="E44" s="10" t="str">
        <f>VLOOKUP(Table6[[#This Row],[الكود]],Data[],25,0)</f>
        <v>غير مؤمن</v>
      </c>
      <c r="F44" s="63">
        <f>VLOOKUP(Table6[[#This Row],[الكود]],Data[],88,0)</f>
        <v>45853</v>
      </c>
      <c r="G44" s="10"/>
      <c r="H44" s="54">
        <f>_xlfn.IFNA(IF(Table6[[#This Row],[الكود]]="","",VLOOKUP(Table6[[#This Row],[الكود]],Data[],97,0)),"")</f>
        <v>7300</v>
      </c>
      <c r="I44" s="54">
        <f>_xlfn.IFNA(IF(Table6[[#This Row],[الكود]]="","",VLOOKUP(Table6[[#This Row],[الكود]],Data[],99,0)),"")</f>
        <v>5615.38</v>
      </c>
      <c r="J44" s="54">
        <f>_xlfn.IFNA(IF(Table6[[#This Row],[الكود]]="","",VLOOKUP(Table6[[#This Row],[الكود]],Data[],100,0)),"")</f>
        <v>1684.62</v>
      </c>
      <c r="K44" s="54">
        <f>IF(Table6[[#This Row],[الاجر الشامل]]=0,"",I44*11%)</f>
        <v>617.69180000000006</v>
      </c>
      <c r="L44" s="54">
        <f>IF(Table6[[#This Row],[الاجر الشامل]]=0,"",I44*18.75%)</f>
        <v>1052.88375</v>
      </c>
      <c r="M44" s="17" t="str">
        <f>VLOOKUP(Table6[[#This Row],[الكود]],Data[],63,0)</f>
        <v>ادى الخدمة</v>
      </c>
      <c r="N44" s="17" t="str">
        <f>VLOOKUP(Table6[[#This Row],[الكود]],Data[],64,0)</f>
        <v>مؤهل متوسط</v>
      </c>
      <c r="O44" s="17" t="b">
        <f>VLOOKUP(Table6[[#This Row],[الكود]],Data[],65,0)</f>
        <v>1</v>
      </c>
      <c r="P44" s="17" t="b">
        <f>VLOOKUP(Table6[[#This Row],[الكود]],Data[],67,0)</f>
        <v>1</v>
      </c>
      <c r="Q44" s="17"/>
      <c r="R44" s="17" t="b">
        <f>VLOOKUP(Table6[[#This Row],[الكود]],Data[],71,0)</f>
        <v>0</v>
      </c>
      <c r="S44" s="17" t="b">
        <f>VLOOKUP(Table6[[#This Row],[الكود]],Data[],73,0)</f>
        <v>0</v>
      </c>
      <c r="T44" s="41"/>
    </row>
    <row r="45" spans="1:20" ht="16.8" x14ac:dyDescent="0.25">
      <c r="A45" s="9">
        <v>195</v>
      </c>
      <c r="B45" s="10" t="s">
        <v>90</v>
      </c>
      <c r="C45" s="10" t="str">
        <f>VLOOKUP(Table6[[#This Row],[الكود]],Data[],12,0)</f>
        <v>29112011301578</v>
      </c>
      <c r="D45" s="10" t="str">
        <f>VLOOKUP(Table6[[#This Row],[الكود]],Data[],10,0)</f>
        <v>مصرى</v>
      </c>
      <c r="E45" s="10" t="str">
        <f>VLOOKUP(Table6[[#This Row],[الكود]],Data[],25,0)</f>
        <v>غير مؤمن</v>
      </c>
      <c r="F45" s="63">
        <f>VLOOKUP(Table6[[#This Row],[الكود]],Data[],88,0)</f>
        <v>45846</v>
      </c>
      <c r="G45" s="10"/>
      <c r="H45" s="54">
        <f>_xlfn.IFNA(IF(Table6[[#This Row],[الكود]]="","",VLOOKUP(Table6[[#This Row],[الكود]],Data[],97,0)),"")</f>
        <v>7300</v>
      </c>
      <c r="I45" s="54">
        <f>_xlfn.IFNA(IF(Table6[[#This Row],[الكود]]="","",VLOOKUP(Table6[[#This Row],[الكود]],Data[],99,0)),"")</f>
        <v>5615.38</v>
      </c>
      <c r="J45" s="54">
        <f>_xlfn.IFNA(IF(Table6[[#This Row],[الكود]]="","",VLOOKUP(Table6[[#This Row],[الكود]],Data[],100,0)),"")</f>
        <v>1684.62</v>
      </c>
      <c r="K45" s="54">
        <f>IF(Table6[[#This Row],[الاجر الشامل]]=0,"",I45*11%)</f>
        <v>617.69180000000006</v>
      </c>
      <c r="L45" s="54">
        <f>IF(Table6[[#This Row],[الاجر الشامل]]=0,"",I45*18.75%)</f>
        <v>1052.88375</v>
      </c>
      <c r="M45" s="17" t="str">
        <f>VLOOKUP(Table6[[#This Row],[الكود]],Data[],63,0)</f>
        <v>موجودة</v>
      </c>
      <c r="N45" s="17" t="str">
        <f>VLOOKUP(Table6[[#This Row],[الكود]],Data[],64,0)</f>
        <v>عالى</v>
      </c>
      <c r="O45" s="17" t="b">
        <f>VLOOKUP(Table6[[#This Row],[الكود]],Data[],65,0)</f>
        <v>1</v>
      </c>
      <c r="P45" s="17" t="b">
        <f>VLOOKUP(Table6[[#This Row],[الكود]],Data[],67,0)</f>
        <v>1</v>
      </c>
      <c r="Q45" s="17"/>
      <c r="R45" s="17" t="b">
        <f>VLOOKUP(Table6[[#This Row],[الكود]],Data[],71,0)</f>
        <v>1</v>
      </c>
      <c r="S45" s="17" t="b">
        <f>VLOOKUP(Table6[[#This Row],[الكود]],Data[],73,0)</f>
        <v>0</v>
      </c>
      <c r="T45" s="41"/>
    </row>
    <row r="46" spans="1:20" ht="16.8" x14ac:dyDescent="0.25">
      <c r="A46" s="9">
        <v>200</v>
      </c>
      <c r="B46" s="10" t="s">
        <v>91</v>
      </c>
      <c r="C46" s="10" t="str">
        <f>VLOOKUP(Table6[[#This Row],[الكود]],Data[],12,0)</f>
        <v>29611251302454</v>
      </c>
      <c r="D46" s="10" t="str">
        <f>VLOOKUP(Table6[[#This Row],[الكود]],Data[],10,0)</f>
        <v>مصرى</v>
      </c>
      <c r="E46" s="10" t="str">
        <f>VLOOKUP(Table6[[#This Row],[الكود]],Data[],25,0)</f>
        <v>غير مؤمن</v>
      </c>
      <c r="F46" s="63">
        <f>VLOOKUP(Table6[[#This Row],[الكود]],Data[],88,0)</f>
        <v>45840</v>
      </c>
      <c r="G46" s="10"/>
      <c r="H46" s="54">
        <f>_xlfn.IFNA(IF(Table6[[#This Row],[الكود]]="","",VLOOKUP(Table6[[#This Row],[الكود]],Data[],97,0)),"")</f>
        <v>7100</v>
      </c>
      <c r="I46" s="54">
        <f>_xlfn.IFNA(IF(Table6[[#This Row],[الكود]]="","",VLOOKUP(Table6[[#This Row],[الكود]],Data[],99,0)),"")</f>
        <v>5461.54</v>
      </c>
      <c r="J46" s="54">
        <f>_xlfn.IFNA(IF(Table6[[#This Row],[الكود]]="","",VLOOKUP(Table6[[#This Row],[الكود]],Data[],100,0)),"")</f>
        <v>1638.46</v>
      </c>
      <c r="K46" s="54">
        <f>IF(Table6[[#This Row],[الاجر الشامل]]=0,"",I46*11%)</f>
        <v>600.76940000000002</v>
      </c>
      <c r="L46" s="54">
        <f>IF(Table6[[#This Row],[الاجر الشامل]]=0,"",I46*18.75%)</f>
        <v>1024.0387499999999</v>
      </c>
      <c r="M46" s="17" t="str">
        <f>VLOOKUP(Table6[[#This Row],[الكود]],Data[],63,0)</f>
        <v>موجودة</v>
      </c>
      <c r="N46" s="17" t="str">
        <f>VLOOKUP(Table6[[#This Row],[الكود]],Data[],64,0)</f>
        <v>موجودة</v>
      </c>
      <c r="O46" s="17" t="b">
        <f>VLOOKUP(Table6[[#This Row],[الكود]],Data[],65,0)</f>
        <v>1</v>
      </c>
      <c r="P46" s="17" t="b">
        <f>VLOOKUP(Table6[[#This Row],[الكود]],Data[],67,0)</f>
        <v>1</v>
      </c>
      <c r="Q46" s="17"/>
      <c r="R46" s="17" t="b">
        <f>VLOOKUP(Table6[[#This Row],[الكود]],Data[],71,0)</f>
        <v>1</v>
      </c>
      <c r="S46" s="17" t="b">
        <f>VLOOKUP(Table6[[#This Row],[الكود]],Data[],73,0)</f>
        <v>0</v>
      </c>
      <c r="T46" s="41"/>
    </row>
    <row r="47" spans="1:20" ht="16.8" x14ac:dyDescent="0.25">
      <c r="A47" s="9">
        <v>206</v>
      </c>
      <c r="B47" s="10" t="s">
        <v>93</v>
      </c>
      <c r="C47" s="10" t="str">
        <f>VLOOKUP(Table6[[#This Row],[الكود]],Data[],12,0)</f>
        <v>29806011303378</v>
      </c>
      <c r="D47" s="10" t="str">
        <f>VLOOKUP(Table6[[#This Row],[الكود]],Data[],10,0)</f>
        <v>مصرى</v>
      </c>
      <c r="E47" s="10" t="str">
        <f>VLOOKUP(Table6[[#This Row],[الكود]],Data[],25,0)</f>
        <v>غير مؤمن</v>
      </c>
      <c r="F47" s="63">
        <f>VLOOKUP(Table6[[#This Row],[الكود]],Data[],88,0)</f>
        <v>45852</v>
      </c>
      <c r="G47" s="10"/>
      <c r="H47" s="54">
        <f>_xlfn.IFNA(IF(Table6[[#This Row],[الكود]]="","",VLOOKUP(Table6[[#This Row],[الكود]],Data[],97,0)),"")</f>
        <v>7300</v>
      </c>
      <c r="I47" s="54">
        <f>_xlfn.IFNA(IF(Table6[[#This Row],[الكود]]="","",VLOOKUP(Table6[[#This Row],[الكود]],Data[],99,0)),"")</f>
        <v>5615.38</v>
      </c>
      <c r="J47" s="54">
        <f>_xlfn.IFNA(IF(Table6[[#This Row],[الكود]]="","",VLOOKUP(Table6[[#This Row],[الكود]],Data[],100,0)),"")</f>
        <v>1684.62</v>
      </c>
      <c r="K47" s="54">
        <f>IF(Table6[[#This Row],[الاجر الشامل]]=0,"",I47*11%)</f>
        <v>617.69180000000006</v>
      </c>
      <c r="L47" s="54">
        <f>IF(Table6[[#This Row],[الاجر الشامل]]=0,"",I47*18.75%)</f>
        <v>1052.88375</v>
      </c>
      <c r="M47" s="17" t="str">
        <f>VLOOKUP(Table6[[#This Row],[الكود]],Data[],63,0)</f>
        <v>معافى مؤقت</v>
      </c>
      <c r="N47" s="17" t="str">
        <f>VLOOKUP(Table6[[#This Row],[الكود]],Data[],64,0)</f>
        <v>متوسط</v>
      </c>
      <c r="O47" s="17" t="b">
        <f>VLOOKUP(Table6[[#This Row],[الكود]],Data[],65,0)</f>
        <v>1</v>
      </c>
      <c r="P47" s="17" t="b">
        <f>VLOOKUP(Table6[[#This Row],[الكود]],Data[],67,0)</f>
        <v>1</v>
      </c>
      <c r="Q47" s="17"/>
      <c r="R47" s="17" t="b">
        <f>VLOOKUP(Table6[[#This Row],[الكود]],Data[],71,0)</f>
        <v>1</v>
      </c>
      <c r="S47" s="17" t="b">
        <f>VLOOKUP(Table6[[#This Row],[الكود]],Data[],73,0)</f>
        <v>0</v>
      </c>
      <c r="T47" s="41"/>
    </row>
    <row r="48" spans="1:20" ht="16.8" x14ac:dyDescent="0.25">
      <c r="A48" s="9">
        <v>216</v>
      </c>
      <c r="B48" s="10" t="s">
        <v>94</v>
      </c>
      <c r="C48" s="10" t="str">
        <f>VLOOKUP(Table6[[#This Row],[الكود]],Data[],12,0)</f>
        <v>30005011320755</v>
      </c>
      <c r="D48" s="10" t="str">
        <f>VLOOKUP(Table6[[#This Row],[الكود]],Data[],10,0)</f>
        <v>مصرى</v>
      </c>
      <c r="E48" s="10" t="str">
        <f>VLOOKUP(Table6[[#This Row],[الكود]],Data[],25,0)</f>
        <v>غير مؤمن</v>
      </c>
      <c r="F48" s="63">
        <f>VLOOKUP(Table6[[#This Row],[الكود]],Data[],88,0)</f>
        <v>45840</v>
      </c>
      <c r="G48" s="10"/>
      <c r="H48" s="54">
        <f>_xlfn.IFNA(IF(Table6[[#This Row],[الكود]]="","",VLOOKUP(Table6[[#This Row],[الكود]],Data[],97,0)),"")</f>
        <v>7300</v>
      </c>
      <c r="I48" s="54">
        <f>_xlfn.IFNA(IF(Table6[[#This Row],[الكود]]="","",VLOOKUP(Table6[[#This Row],[الكود]],Data[],99,0)),"")</f>
        <v>5615.38</v>
      </c>
      <c r="J48" s="54">
        <f>_xlfn.IFNA(IF(Table6[[#This Row],[الكود]]="","",VLOOKUP(Table6[[#This Row],[الكود]],Data[],100,0)),"")</f>
        <v>1684.62</v>
      </c>
      <c r="K48" s="54">
        <f>IF(Table6[[#This Row],[الاجر الشامل]]=0,"",I48*11%)</f>
        <v>617.69180000000006</v>
      </c>
      <c r="L48" s="54">
        <f>IF(Table6[[#This Row],[الاجر الشامل]]=0,"",I48*18.75%)</f>
        <v>1052.88375</v>
      </c>
      <c r="M48" s="17" t="str">
        <f>VLOOKUP(Table6[[#This Row],[الكود]],Data[],63,0)</f>
        <v>موجودة</v>
      </c>
      <c r="N48" s="17" t="str">
        <f>VLOOKUP(Table6[[#This Row],[الكود]],Data[],64,0)</f>
        <v>متوسط</v>
      </c>
      <c r="O48" s="17" t="b">
        <f>VLOOKUP(Table6[[#This Row],[الكود]],Data[],65,0)</f>
        <v>1</v>
      </c>
      <c r="P48" s="17" t="b">
        <f>VLOOKUP(Table6[[#This Row],[الكود]],Data[],67,0)</f>
        <v>1</v>
      </c>
      <c r="Q48" s="17"/>
      <c r="R48" s="17" t="b">
        <f>VLOOKUP(Table6[[#This Row],[الكود]],Data[],71,0)</f>
        <v>1</v>
      </c>
      <c r="S48" s="17" t="b">
        <f>VLOOKUP(Table6[[#This Row],[الكود]],Data[],73,0)</f>
        <v>0</v>
      </c>
      <c r="T48" s="41"/>
    </row>
    <row r="49" spans="1:20" ht="16.8" x14ac:dyDescent="0.25">
      <c r="A49" s="9">
        <v>250</v>
      </c>
      <c r="B49" s="10" t="s">
        <v>95</v>
      </c>
      <c r="C49" s="10" t="str">
        <f>VLOOKUP(Table6[[#This Row],[الكود]],Data[],12,0)</f>
        <v>28603170103574</v>
      </c>
      <c r="D49" s="10" t="str">
        <f>VLOOKUP(Table6[[#This Row],[الكود]],Data[],10,0)</f>
        <v>مصرى</v>
      </c>
      <c r="E49" s="10" t="str">
        <f>VLOOKUP(Table6[[#This Row],[الكود]],Data[],25,0)</f>
        <v>غير مؤمن</v>
      </c>
      <c r="F49" s="63">
        <f>VLOOKUP(Table6[[#This Row],[الكود]],Data[],88,0)</f>
        <v>45844</v>
      </c>
      <c r="G49" s="10"/>
      <c r="H49" s="54">
        <f>_xlfn.IFNA(IF(Table6[[#This Row],[الكود]]="","",VLOOKUP(Table6[[#This Row],[الكود]],Data[],97,0)),"")</f>
        <v>7300</v>
      </c>
      <c r="I49" s="54">
        <f>_xlfn.IFNA(IF(Table6[[#This Row],[الكود]]="","",VLOOKUP(Table6[[#This Row],[الكود]],Data[],99,0)),"")</f>
        <v>5615.38</v>
      </c>
      <c r="J49" s="54">
        <f>_xlfn.IFNA(IF(Table6[[#This Row],[الكود]]="","",VLOOKUP(Table6[[#This Row],[الكود]],Data[],100,0)),"")</f>
        <v>1684.62</v>
      </c>
      <c r="K49" s="54">
        <f>IF(Table6[[#This Row],[الاجر الشامل]]=0,"",I49*11%)</f>
        <v>617.69180000000006</v>
      </c>
      <c r="L49" s="54">
        <f>IF(Table6[[#This Row],[الاجر الشامل]]=0,"",I49*18.75%)</f>
        <v>1052.88375</v>
      </c>
      <c r="M49" s="17" t="str">
        <f>VLOOKUP(Table6[[#This Row],[الكود]],Data[],63,0)</f>
        <v>موجودة</v>
      </c>
      <c r="N49" s="17" t="str">
        <f>VLOOKUP(Table6[[#This Row],[الكود]],Data[],64,0)</f>
        <v>موجودة</v>
      </c>
      <c r="O49" s="17" t="b">
        <f>VLOOKUP(Table6[[#This Row],[الكود]],Data[],65,0)</f>
        <v>1</v>
      </c>
      <c r="P49" s="17" t="b">
        <f>VLOOKUP(Table6[[#This Row],[الكود]],Data[],67,0)</f>
        <v>1</v>
      </c>
      <c r="Q49" s="17"/>
      <c r="R49" s="17" t="b">
        <f>VLOOKUP(Table6[[#This Row],[الكود]],Data[],71,0)</f>
        <v>0</v>
      </c>
      <c r="S49" s="17" t="b">
        <f>VLOOKUP(Table6[[#This Row],[الكود]],Data[],73,0)</f>
        <v>0</v>
      </c>
      <c r="T49" s="41"/>
    </row>
    <row r="50" spans="1:20" ht="16.8" x14ac:dyDescent="0.25">
      <c r="A50" s="9">
        <v>307</v>
      </c>
      <c r="B50" s="10" t="s">
        <v>97</v>
      </c>
      <c r="C50" s="10" t="str">
        <f>VLOOKUP(Table6[[#This Row],[الكود]],Data[],12,0)</f>
        <v>27603011402311</v>
      </c>
      <c r="D50" s="10" t="str">
        <f>VLOOKUP(Table6[[#This Row],[الكود]],Data[],10,0)</f>
        <v>مصرى</v>
      </c>
      <c r="E50" s="10" t="str">
        <f>VLOOKUP(Table6[[#This Row],[الكود]],Data[],25,0)</f>
        <v>غير مؤمن</v>
      </c>
      <c r="F50" s="63">
        <f>VLOOKUP(Table6[[#This Row],[الكود]],Data[],88,0)</f>
        <v>45844</v>
      </c>
      <c r="G50" s="10"/>
      <c r="H50" s="54">
        <f>_xlfn.IFNA(IF(Table6[[#This Row],[الكود]]="","",VLOOKUP(Table6[[#This Row],[الكود]],Data[],97,0)),"")</f>
        <v>7300</v>
      </c>
      <c r="I50" s="54">
        <f>_xlfn.IFNA(IF(Table6[[#This Row],[الكود]]="","",VLOOKUP(Table6[[#This Row],[الكود]],Data[],99,0)),"")</f>
        <v>5615.38</v>
      </c>
      <c r="J50" s="54">
        <f>_xlfn.IFNA(IF(Table6[[#This Row],[الكود]]="","",VLOOKUP(Table6[[#This Row],[الكود]],Data[],100,0)),"")</f>
        <v>1684.62</v>
      </c>
      <c r="K50" s="54">
        <f>IF(Table6[[#This Row],[الاجر الشامل]]=0,"",I50*11%)</f>
        <v>617.69180000000006</v>
      </c>
      <c r="L50" s="54">
        <f>IF(Table6[[#This Row],[الاجر الشامل]]=0,"",I50*18.75%)</f>
        <v>1052.88375</v>
      </c>
      <c r="M50" s="17" t="str">
        <f>VLOOKUP(Table6[[#This Row],[الكود]],Data[],63,0)</f>
        <v>موجودة</v>
      </c>
      <c r="N50" s="17" t="str">
        <f>VLOOKUP(Table6[[#This Row],[الكود]],Data[],64,0)</f>
        <v>غير موجودة</v>
      </c>
      <c r="O50" s="17" t="b">
        <f>VLOOKUP(Table6[[#This Row],[الكود]],Data[],65,0)</f>
        <v>1</v>
      </c>
      <c r="P50" s="17" t="b">
        <f>VLOOKUP(Table6[[#This Row],[الكود]],Data[],67,0)</f>
        <v>1</v>
      </c>
      <c r="Q50" s="17"/>
      <c r="R50" s="17" t="b">
        <f>VLOOKUP(Table6[[#This Row],[الكود]],Data[],71,0)</f>
        <v>0</v>
      </c>
      <c r="S50" s="17" t="b">
        <f>VLOOKUP(Table6[[#This Row],[الكود]],Data[],73,0)</f>
        <v>0</v>
      </c>
      <c r="T50" s="41"/>
    </row>
    <row r="51" spans="1:20" ht="16.8" x14ac:dyDescent="0.25">
      <c r="A51" s="9">
        <v>308</v>
      </c>
      <c r="B51" s="10" t="s">
        <v>98</v>
      </c>
      <c r="C51" s="10" t="str">
        <f>VLOOKUP(Table6[[#This Row],[الكود]],Data[],12,0)</f>
        <v>29212021500077</v>
      </c>
      <c r="D51" s="10" t="str">
        <f>VLOOKUP(Table6[[#This Row],[الكود]],Data[],10,0)</f>
        <v>مصرى</v>
      </c>
      <c r="E51" s="10" t="str">
        <f>VLOOKUP(Table6[[#This Row],[الكود]],Data[],25,0)</f>
        <v>غير مؤمن</v>
      </c>
      <c r="F51" s="63">
        <f>VLOOKUP(Table6[[#This Row],[الكود]],Data[],88,0)</f>
        <v>45845</v>
      </c>
      <c r="G51" s="10"/>
      <c r="H51" s="54">
        <f>_xlfn.IFNA(IF(Table6[[#This Row],[الكود]]="","",VLOOKUP(Table6[[#This Row],[الكود]],Data[],97,0)),"")</f>
        <v>7500</v>
      </c>
      <c r="I51" s="54">
        <f>_xlfn.IFNA(IF(Table6[[#This Row],[الكود]]="","",VLOOKUP(Table6[[#This Row],[الكود]],Data[],99,0)),"")</f>
        <v>5769.23</v>
      </c>
      <c r="J51" s="54">
        <f>_xlfn.IFNA(IF(Table6[[#This Row],[الكود]]="","",VLOOKUP(Table6[[#This Row],[الكود]],Data[],100,0)),"")</f>
        <v>1730.77</v>
      </c>
      <c r="K51" s="54">
        <f>IF(Table6[[#This Row],[الاجر الشامل]]=0,"",I51*11%)</f>
        <v>634.61529999999993</v>
      </c>
      <c r="L51" s="54">
        <f>IF(Table6[[#This Row],[الاجر الشامل]]=0,"",I51*18.75%)</f>
        <v>1081.7306249999999</v>
      </c>
      <c r="M51" s="17" t="str">
        <f>VLOOKUP(Table6[[#This Row],[الكود]],Data[],63,0)</f>
        <v>موجودة</v>
      </c>
      <c r="N51" s="17" t="str">
        <f>VLOOKUP(Table6[[#This Row],[الكود]],Data[],64,0)</f>
        <v>موجودة</v>
      </c>
      <c r="O51" s="17" t="b">
        <f>VLOOKUP(Table6[[#This Row],[الكود]],Data[],65,0)</f>
        <v>1</v>
      </c>
      <c r="P51" s="17" t="b">
        <f>VLOOKUP(Table6[[#This Row],[الكود]],Data[],67,0)</f>
        <v>1</v>
      </c>
      <c r="Q51" s="17"/>
      <c r="R51" s="17" t="b">
        <f>VLOOKUP(Table6[[#This Row],[الكود]],Data[],71,0)</f>
        <v>0</v>
      </c>
      <c r="S51" s="17" t="b">
        <f>VLOOKUP(Table6[[#This Row],[الكود]],Data[],73,0)</f>
        <v>0</v>
      </c>
      <c r="T51" s="41"/>
    </row>
    <row r="52" spans="1:20" ht="16.8" x14ac:dyDescent="0.25">
      <c r="A52" s="9">
        <v>309</v>
      </c>
      <c r="B52" s="10" t="s">
        <v>99</v>
      </c>
      <c r="C52" s="10" t="str">
        <f>VLOOKUP(Table6[[#This Row],[الكود]],Data[],12,0)</f>
        <v>28308222400236</v>
      </c>
      <c r="D52" s="10" t="str">
        <f>VLOOKUP(Table6[[#This Row],[الكود]],Data[],10,0)</f>
        <v>مصرى</v>
      </c>
      <c r="E52" s="10" t="str">
        <f>VLOOKUP(Table6[[#This Row],[الكود]],Data[],25,0)</f>
        <v>غير مؤمن</v>
      </c>
      <c r="F52" s="63">
        <f>VLOOKUP(Table6[[#This Row],[الكود]],Data[],88,0)</f>
        <v>45853</v>
      </c>
      <c r="G52" s="10"/>
      <c r="H52" s="54">
        <f>_xlfn.IFNA(IF(Table6[[#This Row],[الكود]]="","",VLOOKUP(Table6[[#This Row],[الكود]],Data[],97,0)),"")</f>
        <v>7400</v>
      </c>
      <c r="I52" s="54">
        <f>_xlfn.IFNA(IF(Table6[[#This Row],[الكود]]="","",VLOOKUP(Table6[[#This Row],[الكود]],Data[],99,0)),"")</f>
        <v>5692.31</v>
      </c>
      <c r="J52" s="54">
        <f>_xlfn.IFNA(IF(Table6[[#This Row],[الكود]]="","",VLOOKUP(Table6[[#This Row],[الكود]],Data[],100,0)),"")</f>
        <v>1707.69</v>
      </c>
      <c r="K52" s="54">
        <f>IF(Table6[[#This Row],[الاجر الشامل]]=0,"",I52*11%)</f>
        <v>626.15410000000008</v>
      </c>
      <c r="L52" s="54">
        <f>IF(Table6[[#This Row],[الاجر الشامل]]=0,"",I52*18.75%)</f>
        <v>1067.308125</v>
      </c>
      <c r="M52" s="17" t="str">
        <f>VLOOKUP(Table6[[#This Row],[الكود]],Data[],63,0)</f>
        <v>موجودة</v>
      </c>
      <c r="N52" s="17" t="str">
        <f>VLOOKUP(Table6[[#This Row],[الكود]],Data[],64,0)</f>
        <v>موجودة</v>
      </c>
      <c r="O52" s="17" t="b">
        <f>VLOOKUP(Table6[[#This Row],[الكود]],Data[],65,0)</f>
        <v>1</v>
      </c>
      <c r="P52" s="17" t="b">
        <f>VLOOKUP(Table6[[#This Row],[الكود]],Data[],67,0)</f>
        <v>1</v>
      </c>
      <c r="Q52" s="17"/>
      <c r="R52" s="17" t="b">
        <f>VLOOKUP(Table6[[#This Row],[الكود]],Data[],71,0)</f>
        <v>0</v>
      </c>
      <c r="S52" s="17" t="b">
        <f>VLOOKUP(Table6[[#This Row],[الكود]],Data[],73,0)</f>
        <v>0</v>
      </c>
      <c r="T52" s="41"/>
    </row>
    <row r="53" spans="1:20" ht="16.8" x14ac:dyDescent="0.25">
      <c r="A53" s="9">
        <v>310</v>
      </c>
      <c r="B53" s="10" t="s">
        <v>100</v>
      </c>
      <c r="C53" s="10" t="str">
        <f>VLOOKUP(Table6[[#This Row],[الكود]],Data[],12,0)</f>
        <v>28208031500511</v>
      </c>
      <c r="D53" s="10" t="str">
        <f>VLOOKUP(Table6[[#This Row],[الكود]],Data[],10,0)</f>
        <v>مصرى</v>
      </c>
      <c r="E53" s="10" t="str">
        <f>VLOOKUP(Table6[[#This Row],[الكود]],Data[],25,0)</f>
        <v>غير مؤمن</v>
      </c>
      <c r="F53" s="63">
        <f>VLOOKUP(Table6[[#This Row],[الكود]],Data[],88,0)</f>
        <v>45850</v>
      </c>
      <c r="G53" s="10"/>
      <c r="H53" s="54">
        <f>_xlfn.IFNA(IF(Table6[[#This Row],[الكود]]="","",VLOOKUP(Table6[[#This Row],[الكود]],Data[],97,0)),"")</f>
        <v>7000</v>
      </c>
      <c r="I53" s="54">
        <f>_xlfn.IFNA(IF(Table6[[#This Row],[الكود]]="","",VLOOKUP(Table6[[#This Row],[الكود]],Data[],99,0)),"")</f>
        <v>5384.62</v>
      </c>
      <c r="J53" s="54">
        <f>_xlfn.IFNA(IF(Table6[[#This Row],[الكود]]="","",VLOOKUP(Table6[[#This Row],[الكود]],Data[],100,0)),"")</f>
        <v>1615.38</v>
      </c>
      <c r="K53" s="54">
        <f>IF(Table6[[#This Row],[الاجر الشامل]]=0,"",I53*11%)</f>
        <v>592.30819999999994</v>
      </c>
      <c r="L53" s="54">
        <f>IF(Table6[[#This Row],[الاجر الشامل]]=0,"",I53*18.75%)</f>
        <v>1009.61625</v>
      </c>
      <c r="M53" s="17" t="str">
        <f>VLOOKUP(Table6[[#This Row],[الكود]],Data[],63,0)</f>
        <v>ادى الخدمة</v>
      </c>
      <c r="N53" s="17" t="str">
        <f>VLOOKUP(Table6[[#This Row],[الكود]],Data[],64,0)</f>
        <v>متوسط</v>
      </c>
      <c r="O53" s="17" t="b">
        <f>VLOOKUP(Table6[[#This Row],[الكود]],Data[],65,0)</f>
        <v>1</v>
      </c>
      <c r="P53" s="17" t="b">
        <f>VLOOKUP(Table6[[#This Row],[الكود]],Data[],67,0)</f>
        <v>0</v>
      </c>
      <c r="Q53" s="17"/>
      <c r="R53" s="17" t="b">
        <f>VLOOKUP(Table6[[#This Row],[الكود]],Data[],71,0)</f>
        <v>1</v>
      </c>
      <c r="S53" s="17" t="b">
        <f>VLOOKUP(Table6[[#This Row],[الكود]],Data[],73,0)</f>
        <v>0</v>
      </c>
      <c r="T53" s="41"/>
    </row>
    <row r="54" spans="1:20" ht="16.8" x14ac:dyDescent="0.25">
      <c r="A54" s="9">
        <v>311</v>
      </c>
      <c r="B54" s="10" t="s">
        <v>102</v>
      </c>
      <c r="C54" s="10" t="str">
        <f>VLOOKUP(Table6[[#This Row],[الكود]],Data[],12,0)</f>
        <v>29402152400578</v>
      </c>
      <c r="D54" s="10" t="str">
        <f>VLOOKUP(Table6[[#This Row],[الكود]],Data[],10,0)</f>
        <v>مصرى</v>
      </c>
      <c r="E54" s="10" t="str">
        <f>VLOOKUP(Table6[[#This Row],[الكود]],Data[],25,0)</f>
        <v>غير مؤمن</v>
      </c>
      <c r="F54" s="63">
        <f>VLOOKUP(Table6[[#This Row],[الكود]],Data[],88,0)</f>
        <v>45853</v>
      </c>
      <c r="G54" s="10"/>
      <c r="H54" s="54">
        <f>_xlfn.IFNA(IF(Table6[[#This Row],[الكود]]="","",VLOOKUP(Table6[[#This Row],[الكود]],Data[],97,0)),"")</f>
        <v>7500</v>
      </c>
      <c r="I54" s="54">
        <f>_xlfn.IFNA(IF(Table6[[#This Row],[الكود]]="","",VLOOKUP(Table6[[#This Row],[الكود]],Data[],99,0)),"")</f>
        <v>5769.23</v>
      </c>
      <c r="J54" s="54">
        <f>_xlfn.IFNA(IF(Table6[[#This Row],[الكود]]="","",VLOOKUP(Table6[[#This Row],[الكود]],Data[],100,0)),"")</f>
        <v>1730.77</v>
      </c>
      <c r="K54" s="54">
        <f>IF(Table6[[#This Row],[الاجر الشامل]]=0,"",I54*11%)</f>
        <v>634.61529999999993</v>
      </c>
      <c r="L54" s="54">
        <f>IF(Table6[[#This Row],[الاجر الشامل]]=0,"",I54*18.75%)</f>
        <v>1081.7306249999999</v>
      </c>
      <c r="M54" s="17" t="str">
        <f>VLOOKUP(Table6[[#This Row],[الكود]],Data[],63,0)</f>
        <v>غير موجودة</v>
      </c>
      <c r="N54" s="17" t="str">
        <f>VLOOKUP(Table6[[#This Row],[الكود]],Data[],64,0)</f>
        <v>غير موجودة</v>
      </c>
      <c r="O54" s="17" t="b">
        <f>VLOOKUP(Table6[[#This Row],[الكود]],Data[],65,0)</f>
        <v>0</v>
      </c>
      <c r="P54" s="17" t="b">
        <f>VLOOKUP(Table6[[#This Row],[الكود]],Data[],67,0)</f>
        <v>1</v>
      </c>
      <c r="Q54" s="17"/>
      <c r="R54" s="17" t="b">
        <f>VLOOKUP(Table6[[#This Row],[الكود]],Data[],71,0)</f>
        <v>1</v>
      </c>
      <c r="S54" s="17" t="b">
        <f>VLOOKUP(Table6[[#This Row],[الكود]],Data[],73,0)</f>
        <v>0</v>
      </c>
      <c r="T54" s="41"/>
    </row>
    <row r="55" spans="1:20" ht="16.8" x14ac:dyDescent="0.25">
      <c r="A55" s="9">
        <v>312</v>
      </c>
      <c r="B55" s="10" t="s">
        <v>103</v>
      </c>
      <c r="C55" s="10" t="str">
        <f>VLOOKUP(Table6[[#This Row],[الكود]],Data[],12,0)</f>
        <v>29505011400616</v>
      </c>
      <c r="D55" s="10" t="str">
        <f>VLOOKUP(Table6[[#This Row],[الكود]],Data[],10,0)</f>
        <v>مصرى</v>
      </c>
      <c r="E55" s="10" t="str">
        <f>VLOOKUP(Table6[[#This Row],[الكود]],Data[],25,0)</f>
        <v>غير مؤمن</v>
      </c>
      <c r="F55" s="63">
        <f>VLOOKUP(Table6[[#This Row],[الكود]],Data[],88,0)</f>
        <v>45843</v>
      </c>
      <c r="G55" s="10"/>
      <c r="H55" s="54">
        <f>_xlfn.IFNA(IF(Table6[[#This Row],[الكود]]="","",VLOOKUP(Table6[[#This Row],[الكود]],Data[],97,0)),"")</f>
        <v>7500</v>
      </c>
      <c r="I55" s="54">
        <f>_xlfn.IFNA(IF(Table6[[#This Row],[الكود]]="","",VLOOKUP(Table6[[#This Row],[الكود]],Data[],99,0)),"")</f>
        <v>5769.23</v>
      </c>
      <c r="J55" s="54">
        <f>_xlfn.IFNA(IF(Table6[[#This Row],[الكود]]="","",VLOOKUP(Table6[[#This Row],[الكود]],Data[],100,0)),"")</f>
        <v>1730.77</v>
      </c>
      <c r="K55" s="54">
        <f>IF(Table6[[#This Row],[الاجر الشامل]]=0,"",I55*11%)</f>
        <v>634.61529999999993</v>
      </c>
      <c r="L55" s="54">
        <f>IF(Table6[[#This Row],[الاجر الشامل]]=0,"",I55*18.75%)</f>
        <v>1081.7306249999999</v>
      </c>
      <c r="M55" s="17" t="str">
        <f>VLOOKUP(Table6[[#This Row],[الكود]],Data[],63,0)</f>
        <v>غير موجودة</v>
      </c>
      <c r="N55" s="17" t="str">
        <f>VLOOKUP(Table6[[#This Row],[الكود]],Data[],64,0)</f>
        <v>غير موجودة</v>
      </c>
      <c r="O55" s="17" t="b">
        <f>VLOOKUP(Table6[[#This Row],[الكود]],Data[],65,0)</f>
        <v>1</v>
      </c>
      <c r="P55" s="17" t="b">
        <f>VLOOKUP(Table6[[#This Row],[الكود]],Data[],67,0)</f>
        <v>0</v>
      </c>
      <c r="Q55" s="17"/>
      <c r="R55" s="17" t="b">
        <f>VLOOKUP(Table6[[#This Row],[الكود]],Data[],71,0)</f>
        <v>1</v>
      </c>
      <c r="S55" s="17" t="b">
        <f>VLOOKUP(Table6[[#This Row],[الكود]],Data[],73,0)</f>
        <v>0</v>
      </c>
      <c r="T55" s="41"/>
    </row>
    <row r="56" spans="1:20" ht="16.8" x14ac:dyDescent="0.25">
      <c r="A56" s="9">
        <v>353</v>
      </c>
      <c r="B56" s="10" t="s">
        <v>104</v>
      </c>
      <c r="C56" s="10" t="str">
        <f>VLOOKUP(Table6[[#This Row],[الكود]],Data[],12,0)</f>
        <v>29803041300536</v>
      </c>
      <c r="D56" s="10" t="str">
        <f>VLOOKUP(Table6[[#This Row],[الكود]],Data[],10,0)</f>
        <v>مصرى</v>
      </c>
      <c r="E56" s="10" t="str">
        <f>VLOOKUP(Table6[[#This Row],[الكود]],Data[],25,0)</f>
        <v>غير مؤمن</v>
      </c>
      <c r="F56" s="63">
        <f>VLOOKUP(Table6[[#This Row],[الكود]],Data[],88,0)</f>
        <v>45853</v>
      </c>
      <c r="G56" s="10"/>
      <c r="H56" s="54">
        <f>_xlfn.IFNA(IF(Table6[[#This Row],[الكود]]="","",VLOOKUP(Table6[[#This Row],[الكود]],Data[],97,0)),"")</f>
        <v>7300</v>
      </c>
      <c r="I56" s="54">
        <f>_xlfn.IFNA(IF(Table6[[#This Row],[الكود]]="","",VLOOKUP(Table6[[#This Row],[الكود]],Data[],99,0)),"")</f>
        <v>5615.38</v>
      </c>
      <c r="J56" s="54">
        <f>_xlfn.IFNA(IF(Table6[[#This Row],[الكود]]="","",VLOOKUP(Table6[[#This Row],[الكود]],Data[],100,0)),"")</f>
        <v>1684.62</v>
      </c>
      <c r="K56" s="54">
        <f>IF(Table6[[#This Row],[الاجر الشامل]]=0,"",I56*11%)</f>
        <v>617.69180000000006</v>
      </c>
      <c r="L56" s="54">
        <f>IF(Table6[[#This Row],[الاجر الشامل]]=0,"",I56*18.75%)</f>
        <v>1052.88375</v>
      </c>
      <c r="M56" s="17" t="str">
        <f>VLOOKUP(Table6[[#This Row],[الكود]],Data[],63,0)</f>
        <v>موجودة</v>
      </c>
      <c r="N56" s="17" t="str">
        <f>VLOOKUP(Table6[[#This Row],[الكود]],Data[],64,0)</f>
        <v>متوسط</v>
      </c>
      <c r="O56" s="17" t="b">
        <f>VLOOKUP(Table6[[#This Row],[الكود]],Data[],65,0)</f>
        <v>1</v>
      </c>
      <c r="P56" s="17" t="b">
        <f>VLOOKUP(Table6[[#This Row],[الكود]],Data[],67,0)</f>
        <v>0</v>
      </c>
      <c r="Q56" s="17"/>
      <c r="R56" s="17" t="b">
        <f>VLOOKUP(Table6[[#This Row],[الكود]],Data[],71,0)</f>
        <v>1</v>
      </c>
      <c r="S56" s="17" t="b">
        <f>VLOOKUP(Table6[[#This Row],[الكود]],Data[],73,0)</f>
        <v>1</v>
      </c>
      <c r="T56" s="41"/>
    </row>
    <row r="57" spans="1:20" ht="16.8" x14ac:dyDescent="0.25">
      <c r="A57" s="9">
        <v>354</v>
      </c>
      <c r="B57" s="10" t="s">
        <v>105</v>
      </c>
      <c r="C57" s="10" t="str">
        <f>VLOOKUP(Table6[[#This Row],[الكود]],Data[],12,0)</f>
        <v>29809151317777</v>
      </c>
      <c r="D57" s="10" t="str">
        <f>VLOOKUP(Table6[[#This Row],[الكود]],Data[],10,0)</f>
        <v>مصرى</v>
      </c>
      <c r="E57" s="10" t="str">
        <f>VLOOKUP(Table6[[#This Row],[الكود]],Data[],25,0)</f>
        <v>غير مؤمن</v>
      </c>
      <c r="F57" s="63">
        <f>VLOOKUP(Table6[[#This Row],[الكود]],Data[],88,0)</f>
        <v>45844</v>
      </c>
      <c r="G57" s="10"/>
      <c r="H57" s="54">
        <f>_xlfn.IFNA(IF(Table6[[#This Row],[الكود]]="","",VLOOKUP(Table6[[#This Row],[الكود]],Data[],97,0)),"")</f>
        <v>7300</v>
      </c>
      <c r="I57" s="54">
        <f>_xlfn.IFNA(IF(Table6[[#This Row],[الكود]]="","",VLOOKUP(Table6[[#This Row],[الكود]],Data[],99,0)),"")</f>
        <v>5615.38</v>
      </c>
      <c r="J57" s="54">
        <f>_xlfn.IFNA(IF(Table6[[#This Row],[الكود]]="","",VLOOKUP(Table6[[#This Row],[الكود]],Data[],100,0)),"")</f>
        <v>1684.62</v>
      </c>
      <c r="K57" s="54">
        <f>IF(Table6[[#This Row],[الاجر الشامل]]=0,"",I57*11%)</f>
        <v>617.69180000000006</v>
      </c>
      <c r="L57" s="54">
        <f>IF(Table6[[#This Row],[الاجر الشامل]]=0,"",I57*18.75%)</f>
        <v>1052.88375</v>
      </c>
      <c r="M57" s="17" t="str">
        <f>VLOOKUP(Table6[[#This Row],[الكود]],Data[],63,0)</f>
        <v>موجودة</v>
      </c>
      <c r="N57" s="17" t="str">
        <f>VLOOKUP(Table6[[#This Row],[الكود]],Data[],64,0)</f>
        <v>متوسط</v>
      </c>
      <c r="O57" s="17" t="b">
        <f>VLOOKUP(Table6[[#This Row],[الكود]],Data[],65,0)</f>
        <v>1</v>
      </c>
      <c r="P57" s="17" t="b">
        <f>VLOOKUP(Table6[[#This Row],[الكود]],Data[],67,0)</f>
        <v>1</v>
      </c>
      <c r="Q57" s="17"/>
      <c r="R57" s="17" t="b">
        <f>VLOOKUP(Table6[[#This Row],[الكود]],Data[],71,0)</f>
        <v>1</v>
      </c>
      <c r="S57" s="17" t="b">
        <f>VLOOKUP(Table6[[#This Row],[الكود]],Data[],73,0)</f>
        <v>1</v>
      </c>
      <c r="T57" s="41"/>
    </row>
    <row r="58" spans="1:20" ht="16.8" x14ac:dyDescent="0.25">
      <c r="A58" s="9">
        <v>357</v>
      </c>
      <c r="B58" s="10" t="s">
        <v>106</v>
      </c>
      <c r="C58" s="10" t="str">
        <f>VLOOKUP(Table6[[#This Row],[الكود]],Data[],12,0)</f>
        <v>29203011301247</v>
      </c>
      <c r="D58" s="10" t="str">
        <f>VLOOKUP(Table6[[#This Row],[الكود]],Data[],10,0)</f>
        <v>مصرية</v>
      </c>
      <c r="E58" s="10" t="str">
        <f>VLOOKUP(Table6[[#This Row],[الكود]],Data[],25,0)</f>
        <v>غير مؤمن</v>
      </c>
      <c r="F58" s="63">
        <f>VLOOKUP(Table6[[#This Row],[الكود]],Data[],88,0)</f>
        <v>45846</v>
      </c>
      <c r="G58" s="10"/>
      <c r="H58" s="54">
        <f>_xlfn.IFNA(IF(Table6[[#This Row],[الكود]]="","",VLOOKUP(Table6[[#This Row],[الكود]],Data[],97,0)),"")</f>
        <v>7000</v>
      </c>
      <c r="I58" s="54">
        <f>_xlfn.IFNA(IF(Table6[[#This Row],[الكود]]="","",VLOOKUP(Table6[[#This Row],[الكود]],Data[],99,0)),"")</f>
        <v>5384.62</v>
      </c>
      <c r="J58" s="54">
        <f>_xlfn.IFNA(IF(Table6[[#This Row],[الكود]]="","",VLOOKUP(Table6[[#This Row],[الكود]],Data[],100,0)),"")</f>
        <v>1615.38</v>
      </c>
      <c r="K58" s="54">
        <f>IF(Table6[[#This Row],[الاجر الشامل]]=0,"",I58*11%)</f>
        <v>592.30819999999994</v>
      </c>
      <c r="L58" s="54">
        <f>IF(Table6[[#This Row],[الاجر الشامل]]=0,"",I58*18.75%)</f>
        <v>1009.61625</v>
      </c>
      <c r="M58" s="17" t="str">
        <f>VLOOKUP(Table6[[#This Row],[الكود]],Data[],63,0)</f>
        <v>غير موجودة</v>
      </c>
      <c r="N58" s="17" t="str">
        <f>VLOOKUP(Table6[[#This Row],[الكود]],Data[],64,0)</f>
        <v>إعدادى</v>
      </c>
      <c r="O58" s="17" t="b">
        <f>VLOOKUP(Table6[[#This Row],[الكود]],Data[],65,0)</f>
        <v>1</v>
      </c>
      <c r="P58" s="17" t="b">
        <f>VLOOKUP(Table6[[#This Row],[الكود]],Data[],67,0)</f>
        <v>1</v>
      </c>
      <c r="Q58" s="17"/>
      <c r="R58" s="17" t="b">
        <f>VLOOKUP(Table6[[#This Row],[الكود]],Data[],71,0)</f>
        <v>1</v>
      </c>
      <c r="S58" s="17" t="b">
        <f>VLOOKUP(Table6[[#This Row],[الكود]],Data[],73,0)</f>
        <v>1</v>
      </c>
      <c r="T58" s="41"/>
    </row>
    <row r="59" spans="1:20" ht="16.8" x14ac:dyDescent="0.25">
      <c r="A59" s="9">
        <v>363</v>
      </c>
      <c r="B59" s="10" t="s">
        <v>109</v>
      </c>
      <c r="C59" s="10" t="str">
        <f>VLOOKUP(Table6[[#This Row],[الكود]],Data[],12,0)</f>
        <v>28111011307398</v>
      </c>
      <c r="D59" s="10" t="str">
        <f>VLOOKUP(Table6[[#This Row],[الكود]],Data[],10,0)</f>
        <v>مصرى</v>
      </c>
      <c r="E59" s="10" t="str">
        <f>VLOOKUP(Table6[[#This Row],[الكود]],Data[],25,0)</f>
        <v>غير مؤمن</v>
      </c>
      <c r="F59" s="63">
        <f>VLOOKUP(Table6[[#This Row],[الكود]],Data[],88,0)</f>
        <v>45852</v>
      </c>
      <c r="G59" s="10"/>
      <c r="H59" s="54">
        <f>_xlfn.IFNA(IF(Table6[[#This Row],[الكود]]="","",VLOOKUP(Table6[[#This Row],[الكود]],Data[],97,0)),"")</f>
        <v>7500</v>
      </c>
      <c r="I59" s="54">
        <f>_xlfn.IFNA(IF(Table6[[#This Row],[الكود]]="","",VLOOKUP(Table6[[#This Row],[الكود]],Data[],99,0)),"")</f>
        <v>5769.23</v>
      </c>
      <c r="J59" s="54">
        <f>_xlfn.IFNA(IF(Table6[[#This Row],[الكود]]="","",VLOOKUP(Table6[[#This Row],[الكود]],Data[],100,0)),"")</f>
        <v>1730.77</v>
      </c>
      <c r="K59" s="54">
        <f>IF(Table6[[#This Row],[الاجر الشامل]]=0,"",I59*11%)</f>
        <v>634.61529999999993</v>
      </c>
      <c r="L59" s="54">
        <f>IF(Table6[[#This Row],[الاجر الشامل]]=0,"",I59*18.75%)</f>
        <v>1081.7306249999999</v>
      </c>
      <c r="M59" s="17" t="str">
        <f>VLOOKUP(Table6[[#This Row],[الكود]],Data[],63,0)</f>
        <v>موجودة</v>
      </c>
      <c r="N59" s="17" t="str">
        <f>VLOOKUP(Table6[[#This Row],[الكود]],Data[],64,0)</f>
        <v>متوسط</v>
      </c>
      <c r="O59" s="17" t="b">
        <f>VLOOKUP(Table6[[#This Row],[الكود]],Data[],65,0)</f>
        <v>1</v>
      </c>
      <c r="P59" s="17" t="b">
        <f>VLOOKUP(Table6[[#This Row],[الكود]],Data[],67,0)</f>
        <v>1</v>
      </c>
      <c r="Q59" s="17"/>
      <c r="R59" s="17" t="b">
        <f>VLOOKUP(Table6[[#This Row],[الكود]],Data[],71,0)</f>
        <v>1</v>
      </c>
      <c r="S59" s="17" t="b">
        <f>VLOOKUP(Table6[[#This Row],[الكود]],Data[],73,0)</f>
        <v>1</v>
      </c>
      <c r="T59" s="41"/>
    </row>
    <row r="60" spans="1:20" ht="16.8" x14ac:dyDescent="0.25">
      <c r="A60" s="9">
        <v>366</v>
      </c>
      <c r="B60" s="10" t="s">
        <v>111</v>
      </c>
      <c r="C60" s="10" t="str">
        <f>VLOOKUP(Table6[[#This Row],[الكود]],Data[],12,0)</f>
        <v>30009101301453</v>
      </c>
      <c r="D60" s="10" t="str">
        <f>VLOOKUP(Table6[[#This Row],[الكود]],Data[],10,0)</f>
        <v>مصرى</v>
      </c>
      <c r="E60" s="10" t="str">
        <f>VLOOKUP(Table6[[#This Row],[الكود]],Data[],25,0)</f>
        <v>غير مؤمن</v>
      </c>
      <c r="F60" s="63">
        <f>VLOOKUP(Table6[[#This Row],[الكود]],Data[],88,0)</f>
        <v>45845</v>
      </c>
      <c r="G60" s="10"/>
      <c r="H60" s="54">
        <f>_xlfn.IFNA(IF(Table6[[#This Row],[الكود]]="","",VLOOKUP(Table6[[#This Row],[الكود]],Data[],97,0)),"")</f>
        <v>7300</v>
      </c>
      <c r="I60" s="54">
        <f>_xlfn.IFNA(IF(Table6[[#This Row],[الكود]]="","",VLOOKUP(Table6[[#This Row],[الكود]],Data[],99,0)),"")</f>
        <v>5615.38</v>
      </c>
      <c r="J60" s="54">
        <f>_xlfn.IFNA(IF(Table6[[#This Row],[الكود]]="","",VLOOKUP(Table6[[#This Row],[الكود]],Data[],100,0)),"")</f>
        <v>1684.62</v>
      </c>
      <c r="K60" s="54">
        <f>IF(Table6[[#This Row],[الاجر الشامل]]=0,"",I60*11%)</f>
        <v>617.69180000000006</v>
      </c>
      <c r="L60" s="54">
        <f>IF(Table6[[#This Row],[الاجر الشامل]]=0,"",I60*18.75%)</f>
        <v>1052.88375</v>
      </c>
      <c r="M60" s="17" t="str">
        <f>VLOOKUP(Table6[[#This Row],[الكود]],Data[],63,0)</f>
        <v>معافى نهائي</v>
      </c>
      <c r="N60" s="17" t="str">
        <f>VLOOKUP(Table6[[#This Row],[الكود]],Data[],64,0)</f>
        <v>متوسط</v>
      </c>
      <c r="O60" s="17" t="b">
        <f>VLOOKUP(Table6[[#This Row],[الكود]],Data[],65,0)</f>
        <v>1</v>
      </c>
      <c r="P60" s="17" t="b">
        <f>VLOOKUP(Table6[[#This Row],[الكود]],Data[],67,0)</f>
        <v>1</v>
      </c>
      <c r="Q60" s="17"/>
      <c r="R60" s="17" t="b">
        <f>VLOOKUP(Table6[[#This Row],[الكود]],Data[],71,0)</f>
        <v>1</v>
      </c>
      <c r="S60" s="17" t="b">
        <f>VLOOKUP(Table6[[#This Row],[الكود]],Data[],73,0)</f>
        <v>1</v>
      </c>
      <c r="T60" s="41"/>
    </row>
    <row r="61" spans="1:20" ht="16.8" x14ac:dyDescent="0.25">
      <c r="A61" s="9">
        <v>370</v>
      </c>
      <c r="B61" s="10" t="s">
        <v>112</v>
      </c>
      <c r="C61" s="10" t="str">
        <f>VLOOKUP(Table6[[#This Row],[الكود]],Data[],12,0)</f>
        <v>28903131300412</v>
      </c>
      <c r="D61" s="10" t="str">
        <f>VLOOKUP(Table6[[#This Row],[الكود]],Data[],10,0)</f>
        <v>مصرى</v>
      </c>
      <c r="E61" s="10" t="str">
        <f>VLOOKUP(Table6[[#This Row],[الكود]],Data[],25,0)</f>
        <v>غير مؤمن</v>
      </c>
      <c r="F61" s="63">
        <f>VLOOKUP(Table6[[#This Row],[الكود]],Data[],88,0)</f>
        <v>45839</v>
      </c>
      <c r="G61" s="10"/>
      <c r="H61" s="54">
        <f>_xlfn.IFNA(IF(Table6[[#This Row],[الكود]]="","",VLOOKUP(Table6[[#This Row],[الكود]],Data[],97,0)),"")</f>
        <v>7100</v>
      </c>
      <c r="I61" s="54">
        <f>_xlfn.IFNA(IF(Table6[[#This Row],[الكود]]="","",VLOOKUP(Table6[[#This Row],[الكود]],Data[],99,0)),"")</f>
        <v>5461.54</v>
      </c>
      <c r="J61" s="54">
        <f>_xlfn.IFNA(IF(Table6[[#This Row],[الكود]]="","",VLOOKUP(Table6[[#This Row],[الكود]],Data[],100,0)),"")</f>
        <v>1638.46</v>
      </c>
      <c r="K61" s="54">
        <f>IF(Table6[[#This Row],[الاجر الشامل]]=0,"",I61*11%)</f>
        <v>600.76940000000002</v>
      </c>
      <c r="L61" s="54">
        <f>IF(Table6[[#This Row],[الاجر الشامل]]=0,"",I61*18.75%)</f>
        <v>1024.0387499999999</v>
      </c>
      <c r="M61" s="17" t="str">
        <f>VLOOKUP(Table6[[#This Row],[الكود]],Data[],63,0)</f>
        <v>موجودة</v>
      </c>
      <c r="N61" s="17" t="str">
        <f>VLOOKUP(Table6[[#This Row],[الكود]],Data[],64,0)</f>
        <v>بدون</v>
      </c>
      <c r="O61" s="17" t="b">
        <f>VLOOKUP(Table6[[#This Row],[الكود]],Data[],65,0)</f>
        <v>1</v>
      </c>
      <c r="P61" s="17" t="b">
        <f>VLOOKUP(Table6[[#This Row],[الكود]],Data[],67,0)</f>
        <v>1</v>
      </c>
      <c r="Q61" s="17"/>
      <c r="R61" s="17" t="b">
        <f>VLOOKUP(Table6[[#This Row],[الكود]],Data[],71,0)</f>
        <v>1</v>
      </c>
      <c r="S61" s="17" t="b">
        <f>VLOOKUP(Table6[[#This Row],[الكود]],Data[],73,0)</f>
        <v>1</v>
      </c>
      <c r="T61" s="41"/>
    </row>
    <row r="62" spans="1:20" ht="16.8" x14ac:dyDescent="0.25">
      <c r="A62" s="9">
        <v>381</v>
      </c>
      <c r="B62" s="10" t="s">
        <v>113</v>
      </c>
      <c r="C62" s="10" t="str">
        <f>VLOOKUP(Table6[[#This Row],[الكود]],Data[],12,0)</f>
        <v>29704251301294</v>
      </c>
      <c r="D62" s="10" t="str">
        <f>VLOOKUP(Table6[[#This Row],[الكود]],Data[],10,0)</f>
        <v>مصرى</v>
      </c>
      <c r="E62" s="10" t="str">
        <f>VLOOKUP(Table6[[#This Row],[الكود]],Data[],25,0)</f>
        <v>غير مؤمن</v>
      </c>
      <c r="F62" s="63">
        <f>VLOOKUP(Table6[[#This Row],[الكود]],Data[],88,0)</f>
        <v>45843</v>
      </c>
      <c r="G62" s="10"/>
      <c r="H62" s="54">
        <f>_xlfn.IFNA(IF(Table6[[#This Row],[الكود]]="","",VLOOKUP(Table6[[#This Row],[الكود]],Data[],97,0)),"")</f>
        <v>7000</v>
      </c>
      <c r="I62" s="54">
        <f>_xlfn.IFNA(IF(Table6[[#This Row],[الكود]]="","",VLOOKUP(Table6[[#This Row],[الكود]],Data[],99,0)),"")</f>
        <v>5384.62</v>
      </c>
      <c r="J62" s="54">
        <f>_xlfn.IFNA(IF(Table6[[#This Row],[الكود]]="","",VLOOKUP(Table6[[#This Row],[الكود]],Data[],100,0)),"")</f>
        <v>1615.38</v>
      </c>
      <c r="K62" s="54">
        <f>IF(Table6[[#This Row],[الاجر الشامل]]=0,"",I62*11%)</f>
        <v>592.30819999999994</v>
      </c>
      <c r="L62" s="54">
        <f>IF(Table6[[#This Row],[الاجر الشامل]]=0,"",I62*18.75%)</f>
        <v>1009.61625</v>
      </c>
      <c r="M62" s="17" t="str">
        <f>VLOOKUP(Table6[[#This Row],[الكود]],Data[],63,0)</f>
        <v>موجودة</v>
      </c>
      <c r="N62" s="17" t="str">
        <f>VLOOKUP(Table6[[#This Row],[الكود]],Data[],64,0)</f>
        <v>متوسط</v>
      </c>
      <c r="O62" s="17" t="b">
        <f>VLOOKUP(Table6[[#This Row],[الكود]],Data[],65,0)</f>
        <v>1</v>
      </c>
      <c r="P62" s="17" t="b">
        <f>VLOOKUP(Table6[[#This Row],[الكود]],Data[],67,0)</f>
        <v>1</v>
      </c>
      <c r="Q62" s="17"/>
      <c r="R62" s="17" t="b">
        <f>VLOOKUP(Table6[[#This Row],[الكود]],Data[],71,0)</f>
        <v>1</v>
      </c>
      <c r="S62" s="17" t="b">
        <f>VLOOKUP(Table6[[#This Row],[الكود]],Data[],73,0)</f>
        <v>1</v>
      </c>
      <c r="T62" s="41"/>
    </row>
    <row r="63" spans="1:20" ht="16.8" x14ac:dyDescent="0.25">
      <c r="A63" s="9">
        <v>389</v>
      </c>
      <c r="B63" s="10" t="s">
        <v>115</v>
      </c>
      <c r="C63" s="10" t="str">
        <f>VLOOKUP(Table6[[#This Row],[الكود]],Data[],12,0)</f>
        <v>29001141302898</v>
      </c>
      <c r="D63" s="10" t="str">
        <f>VLOOKUP(Table6[[#This Row],[الكود]],Data[],10,0)</f>
        <v>مصرى</v>
      </c>
      <c r="E63" s="10" t="str">
        <f>VLOOKUP(Table6[[#This Row],[الكود]],Data[],25,0)</f>
        <v>غير مؤمن</v>
      </c>
      <c r="F63" s="63">
        <f>VLOOKUP(Table6[[#This Row],[الكود]],Data[],88,0)</f>
        <v>1</v>
      </c>
      <c r="G63" s="10"/>
      <c r="H63" s="54">
        <f>_xlfn.IFNA(IF(Table6[[#This Row],[الكود]]="","",VLOOKUP(Table6[[#This Row],[الكود]],Data[],97,0)),"")</f>
        <v>7300</v>
      </c>
      <c r="I63" s="54">
        <f>_xlfn.IFNA(IF(Table6[[#This Row],[الكود]]="","",VLOOKUP(Table6[[#This Row],[الكود]],Data[],99,0)),"")</f>
        <v>5615.38</v>
      </c>
      <c r="J63" s="54">
        <f>_xlfn.IFNA(IF(Table6[[#This Row],[الكود]]="","",VLOOKUP(Table6[[#This Row],[الكود]],Data[],100,0)),"")</f>
        <v>1684.62</v>
      </c>
      <c r="K63" s="54">
        <f>IF(Table6[[#This Row],[الاجر الشامل]]=0,"",I63*11%)</f>
        <v>617.69180000000006</v>
      </c>
      <c r="L63" s="54">
        <f>IF(Table6[[#This Row],[الاجر الشامل]]=0,"",I63*18.75%)</f>
        <v>1052.88375</v>
      </c>
      <c r="M63" s="17" t="str">
        <f>VLOOKUP(Table6[[#This Row],[الكود]],Data[],63,0)</f>
        <v>ادى الخدمة</v>
      </c>
      <c r="N63" s="17" t="str">
        <f>VLOOKUP(Table6[[#This Row],[الكود]],Data[],64,0)</f>
        <v>متوسط</v>
      </c>
      <c r="O63" s="17" t="b">
        <f>VLOOKUP(Table6[[#This Row],[الكود]],Data[],65,0)</f>
        <v>1</v>
      </c>
      <c r="P63" s="17" t="b">
        <f>VLOOKUP(Table6[[#This Row],[الكود]],Data[],67,0)</f>
        <v>1</v>
      </c>
      <c r="Q63" s="17"/>
      <c r="R63" s="17" t="b">
        <f>VLOOKUP(Table6[[#This Row],[الكود]],Data[],71,0)</f>
        <v>1</v>
      </c>
      <c r="S63" s="17" t="b">
        <f>VLOOKUP(Table6[[#This Row],[الكود]],Data[],73,0)</f>
        <v>1</v>
      </c>
      <c r="T63" s="41"/>
    </row>
    <row r="64" spans="1:20" ht="16.8" x14ac:dyDescent="0.25">
      <c r="A64" s="9">
        <v>393</v>
      </c>
      <c r="B64" s="10" t="s">
        <v>118</v>
      </c>
      <c r="C64" s="10" t="str">
        <f>VLOOKUP(Table6[[#This Row],[الكود]],Data[],12,0)</f>
        <v>28212281302356</v>
      </c>
      <c r="D64" s="10" t="str">
        <f>VLOOKUP(Table6[[#This Row],[الكود]],Data[],10,0)</f>
        <v>مصرى</v>
      </c>
      <c r="E64" s="10" t="str">
        <f>VLOOKUP(Table6[[#This Row],[الكود]],Data[],25,0)</f>
        <v>غير مؤمن</v>
      </c>
      <c r="F64" s="63">
        <f>VLOOKUP(Table6[[#This Row],[الكود]],Data[],88,0)</f>
        <v>45850</v>
      </c>
      <c r="G64" s="10"/>
      <c r="H64" s="54">
        <f>_xlfn.IFNA(IF(Table6[[#This Row],[الكود]]="","",VLOOKUP(Table6[[#This Row],[الكود]],Data[],97,0)),"")</f>
        <v>7000</v>
      </c>
      <c r="I64" s="54">
        <f>_xlfn.IFNA(IF(Table6[[#This Row],[الكود]]="","",VLOOKUP(Table6[[#This Row],[الكود]],Data[],99,0)),"")</f>
        <v>5384.62</v>
      </c>
      <c r="J64" s="54">
        <f>_xlfn.IFNA(IF(Table6[[#This Row],[الكود]]="","",VLOOKUP(Table6[[#This Row],[الكود]],Data[],100,0)),"")</f>
        <v>1615.38</v>
      </c>
      <c r="K64" s="54">
        <f>IF(Table6[[#This Row],[الاجر الشامل]]=0,"",I64*11%)</f>
        <v>592.30819999999994</v>
      </c>
      <c r="L64" s="54">
        <f>IF(Table6[[#This Row],[الاجر الشامل]]=0,"",I64*18.75%)</f>
        <v>1009.61625</v>
      </c>
      <c r="M64" s="17" t="str">
        <f>VLOOKUP(Table6[[#This Row],[الكود]],Data[],63,0)</f>
        <v>موجودة</v>
      </c>
      <c r="N64" s="17" t="str">
        <f>VLOOKUP(Table6[[#This Row],[الكود]],Data[],64,0)</f>
        <v>إعدادى</v>
      </c>
      <c r="O64" s="17" t="b">
        <f>VLOOKUP(Table6[[#This Row],[الكود]],Data[],65,0)</f>
        <v>1</v>
      </c>
      <c r="P64" s="17" t="b">
        <f>VLOOKUP(Table6[[#This Row],[الكود]],Data[],67,0)</f>
        <v>1</v>
      </c>
      <c r="Q64" s="17"/>
      <c r="R64" s="17" t="b">
        <f>VLOOKUP(Table6[[#This Row],[الكود]],Data[],71,0)</f>
        <v>1</v>
      </c>
      <c r="S64" s="17" t="b">
        <f>VLOOKUP(Table6[[#This Row],[الكود]],Data[],73,0)</f>
        <v>1</v>
      </c>
      <c r="T64" s="41"/>
    </row>
    <row r="65" spans="1:20" ht="16.8" x14ac:dyDescent="0.25">
      <c r="A65" s="9">
        <v>394</v>
      </c>
      <c r="B65" s="10" t="s">
        <v>119</v>
      </c>
      <c r="C65" s="10" t="str">
        <f>VLOOKUP(Table6[[#This Row],[الكود]],Data[],12,0)</f>
        <v>29810011321357</v>
      </c>
      <c r="D65" s="10" t="str">
        <f>VLOOKUP(Table6[[#This Row],[الكود]],Data[],10,0)</f>
        <v>مصرى</v>
      </c>
      <c r="E65" s="10" t="str">
        <f>VLOOKUP(Table6[[#This Row],[الكود]],Data[],25,0)</f>
        <v>غير مؤمن</v>
      </c>
      <c r="F65" s="63">
        <f>VLOOKUP(Table6[[#This Row],[الكود]],Data[],88,0)</f>
        <v>45850</v>
      </c>
      <c r="G65" s="10"/>
      <c r="H65" s="54">
        <f>_xlfn.IFNA(IF(Table6[[#This Row],[الكود]]="","",VLOOKUP(Table6[[#This Row],[الكود]],Data[],97,0)),"")</f>
        <v>7000</v>
      </c>
      <c r="I65" s="54">
        <f>_xlfn.IFNA(IF(Table6[[#This Row],[الكود]]="","",VLOOKUP(Table6[[#This Row],[الكود]],Data[],99,0)),"")</f>
        <v>5384.62</v>
      </c>
      <c r="J65" s="54">
        <f>_xlfn.IFNA(IF(Table6[[#This Row],[الكود]]="","",VLOOKUP(Table6[[#This Row],[الكود]],Data[],100,0)),"")</f>
        <v>1615.38</v>
      </c>
      <c r="K65" s="54">
        <f>IF(Table6[[#This Row],[الاجر الشامل]]=0,"",I65*11%)</f>
        <v>592.30819999999994</v>
      </c>
      <c r="L65" s="54">
        <f>IF(Table6[[#This Row],[الاجر الشامل]]=0,"",I65*18.75%)</f>
        <v>1009.61625</v>
      </c>
      <c r="M65" s="17" t="str">
        <f>VLOOKUP(Table6[[#This Row],[الكود]],Data[],63,0)</f>
        <v>موجودة</v>
      </c>
      <c r="N65" s="17" t="str">
        <f>VLOOKUP(Table6[[#This Row],[الكود]],Data[],64,0)</f>
        <v>إبتدائى</v>
      </c>
      <c r="O65" s="17" t="b">
        <f>VLOOKUP(Table6[[#This Row],[الكود]],Data[],65,0)</f>
        <v>1</v>
      </c>
      <c r="P65" s="17" t="b">
        <f>VLOOKUP(Table6[[#This Row],[الكود]],Data[],67,0)</f>
        <v>1</v>
      </c>
      <c r="Q65" s="17"/>
      <c r="R65" s="17" t="b">
        <f>VLOOKUP(Table6[[#This Row],[الكود]],Data[],71,0)</f>
        <v>1</v>
      </c>
      <c r="S65" s="17" t="b">
        <f>VLOOKUP(Table6[[#This Row],[الكود]],Data[],73,0)</f>
        <v>1</v>
      </c>
      <c r="T65" s="41"/>
    </row>
    <row r="66" spans="1:20" ht="16.8" x14ac:dyDescent="0.25">
      <c r="A66" s="9">
        <v>410</v>
      </c>
      <c r="B66" s="10" t="s">
        <v>120</v>
      </c>
      <c r="C66" s="10" t="str">
        <f>VLOOKUP(Table6[[#This Row],[الكود]],Data[],12,0)</f>
        <v>29008261300451</v>
      </c>
      <c r="D66" s="10" t="str">
        <f>VLOOKUP(Table6[[#This Row],[الكود]],Data[],10,0)</f>
        <v>مصرى</v>
      </c>
      <c r="E66" s="10" t="str">
        <f>VLOOKUP(Table6[[#This Row],[الكود]],Data[],25,0)</f>
        <v>غير مؤمن</v>
      </c>
      <c r="F66" s="63">
        <f>VLOOKUP(Table6[[#This Row],[الكود]],Data[],88,0)</f>
        <v>45845</v>
      </c>
      <c r="G66" s="10"/>
      <c r="H66" s="54">
        <f>_xlfn.IFNA(IF(Table6[[#This Row],[الكود]]="","",VLOOKUP(Table6[[#This Row],[الكود]],Data[],97,0)),"")</f>
        <v>7300</v>
      </c>
      <c r="I66" s="54">
        <f>_xlfn.IFNA(IF(Table6[[#This Row],[الكود]]="","",VLOOKUP(Table6[[#This Row],[الكود]],Data[],99,0)),"")</f>
        <v>5615.38</v>
      </c>
      <c r="J66" s="54">
        <f>_xlfn.IFNA(IF(Table6[[#This Row],[الكود]]="","",VLOOKUP(Table6[[#This Row],[الكود]],Data[],100,0)),"")</f>
        <v>1684.62</v>
      </c>
      <c r="K66" s="54">
        <f>IF(Table6[[#This Row],[الاجر الشامل]]=0,"",I66*11%)</f>
        <v>617.69180000000006</v>
      </c>
      <c r="L66" s="54">
        <f>IF(Table6[[#This Row],[الاجر الشامل]]=0,"",I66*18.75%)</f>
        <v>1052.88375</v>
      </c>
      <c r="M66" s="17" t="str">
        <f>VLOOKUP(Table6[[#This Row],[الكود]],Data[],63,0)</f>
        <v>معافى نهائي</v>
      </c>
      <c r="N66" s="17" t="str">
        <f>VLOOKUP(Table6[[#This Row],[الكود]],Data[],64,0)</f>
        <v>متوسط</v>
      </c>
      <c r="O66" s="17" t="b">
        <f>VLOOKUP(Table6[[#This Row],[الكود]],Data[],65,0)</f>
        <v>1</v>
      </c>
      <c r="P66" s="17" t="b">
        <f>VLOOKUP(Table6[[#This Row],[الكود]],Data[],67,0)</f>
        <v>1</v>
      </c>
      <c r="Q66" s="17"/>
      <c r="R66" s="17" t="b">
        <f>VLOOKUP(Table6[[#This Row],[الكود]],Data[],71,0)</f>
        <v>1</v>
      </c>
      <c r="S66" s="17" t="b">
        <f>VLOOKUP(Table6[[#This Row],[الكود]],Data[],73,0)</f>
        <v>1</v>
      </c>
      <c r="T66" s="41"/>
    </row>
    <row r="67" spans="1:20" ht="16.8" x14ac:dyDescent="0.25">
      <c r="A67" s="9">
        <v>411</v>
      </c>
      <c r="B67" s="10" t="s">
        <v>121</v>
      </c>
      <c r="C67" s="10" t="str">
        <f>VLOOKUP(Table6[[#This Row],[الكود]],Data[],12,0)</f>
        <v>29012012400991</v>
      </c>
      <c r="D67" s="10" t="str">
        <f>VLOOKUP(Table6[[#This Row],[الكود]],Data[],10,0)</f>
        <v>مصرى</v>
      </c>
      <c r="E67" s="10" t="str">
        <f>VLOOKUP(Table6[[#This Row],[الكود]],Data[],25,0)</f>
        <v>غير مؤمن</v>
      </c>
      <c r="F67" s="63">
        <f>VLOOKUP(Table6[[#This Row],[الكود]],Data[],88,0)</f>
        <v>45843</v>
      </c>
      <c r="G67" s="10"/>
      <c r="H67" s="54">
        <f>_xlfn.IFNA(IF(Table6[[#This Row],[الكود]]="","",VLOOKUP(Table6[[#This Row],[الكود]],Data[],97,0)),"")</f>
        <v>7100</v>
      </c>
      <c r="I67" s="54">
        <f>_xlfn.IFNA(IF(Table6[[#This Row],[الكود]]="","",VLOOKUP(Table6[[#This Row],[الكود]],Data[],99,0)),"")</f>
        <v>5461.54</v>
      </c>
      <c r="J67" s="54">
        <f>_xlfn.IFNA(IF(Table6[[#This Row],[الكود]]="","",VLOOKUP(Table6[[#This Row],[الكود]],Data[],100,0)),"")</f>
        <v>1638.46</v>
      </c>
      <c r="K67" s="54">
        <f>IF(Table6[[#This Row],[الاجر الشامل]]=0,"",I67*11%)</f>
        <v>600.76940000000002</v>
      </c>
      <c r="L67" s="54">
        <f>IF(Table6[[#This Row],[الاجر الشامل]]=0,"",I67*18.75%)</f>
        <v>1024.0387499999999</v>
      </c>
      <c r="M67" s="17" t="str">
        <f>VLOOKUP(Table6[[#This Row],[الكود]],Data[],63,0)</f>
        <v>معافى نهائي</v>
      </c>
      <c r="N67" s="17" t="str">
        <f>VLOOKUP(Table6[[#This Row],[الكود]],Data[],64,0)</f>
        <v>عالى</v>
      </c>
      <c r="O67" s="17" t="b">
        <f>VLOOKUP(Table6[[#This Row],[الكود]],Data[],65,0)</f>
        <v>1</v>
      </c>
      <c r="P67" s="17" t="b">
        <f>VLOOKUP(Table6[[#This Row],[الكود]],Data[],67,0)</f>
        <v>1</v>
      </c>
      <c r="Q67" s="17"/>
      <c r="R67" s="17" t="b">
        <f>VLOOKUP(Table6[[#This Row],[الكود]],Data[],71,0)</f>
        <v>1</v>
      </c>
      <c r="S67" s="17" t="b">
        <f>VLOOKUP(Table6[[#This Row],[الكود]],Data[],73,0)</f>
        <v>1</v>
      </c>
      <c r="T67" s="41"/>
    </row>
    <row r="68" spans="1:20" ht="16.8" x14ac:dyDescent="0.25">
      <c r="A68" s="9">
        <v>413</v>
      </c>
      <c r="B68" s="10" t="s">
        <v>122</v>
      </c>
      <c r="C68" s="10" t="str">
        <f>VLOOKUP(Table6[[#This Row],[الكود]],Data[],12,0)</f>
        <v>29506011303919</v>
      </c>
      <c r="D68" s="10" t="str">
        <f>VLOOKUP(Table6[[#This Row],[الكود]],Data[],10,0)</f>
        <v>مصرى</v>
      </c>
      <c r="E68" s="10" t="str">
        <f>VLOOKUP(Table6[[#This Row],[الكود]],Data[],25,0)</f>
        <v>غير مؤمن</v>
      </c>
      <c r="F68" s="63">
        <f>VLOOKUP(Table6[[#This Row],[الكود]],Data[],88,0)</f>
        <v>45845</v>
      </c>
      <c r="G68" s="10"/>
      <c r="H68" s="54">
        <f>_xlfn.IFNA(IF(Table6[[#This Row],[الكود]]="","",VLOOKUP(Table6[[#This Row],[الكود]],Data[],97,0)),"")</f>
        <v>7300</v>
      </c>
      <c r="I68" s="54">
        <f>_xlfn.IFNA(IF(Table6[[#This Row],[الكود]]="","",VLOOKUP(Table6[[#This Row],[الكود]],Data[],99,0)),"")</f>
        <v>5615.38</v>
      </c>
      <c r="J68" s="54">
        <f>_xlfn.IFNA(IF(Table6[[#This Row],[الكود]]="","",VLOOKUP(Table6[[#This Row],[الكود]],Data[],100,0)),"")</f>
        <v>1684.62</v>
      </c>
      <c r="K68" s="54">
        <f>IF(Table6[[#This Row],[الاجر الشامل]]=0,"",I68*11%)</f>
        <v>617.69180000000006</v>
      </c>
      <c r="L68" s="54">
        <f>IF(Table6[[#This Row],[الاجر الشامل]]=0,"",I68*18.75%)</f>
        <v>1052.88375</v>
      </c>
      <c r="M68" s="17" t="str">
        <f>VLOOKUP(Table6[[#This Row],[الكود]],Data[],63,0)</f>
        <v>لم يتقدم بعد</v>
      </c>
      <c r="N68" s="17" t="str">
        <f>VLOOKUP(Table6[[#This Row],[الكود]],Data[],64,0)</f>
        <v>فوق متوسط</v>
      </c>
      <c r="O68" s="17" t="b">
        <f>VLOOKUP(Table6[[#This Row],[الكود]],Data[],65,0)</f>
        <v>1</v>
      </c>
      <c r="P68" s="17" t="b">
        <f>VLOOKUP(Table6[[#This Row],[الكود]],Data[],67,0)</f>
        <v>1</v>
      </c>
      <c r="Q68" s="17"/>
      <c r="R68" s="17" t="b">
        <f>VLOOKUP(Table6[[#This Row],[الكود]],Data[],71,0)</f>
        <v>1</v>
      </c>
      <c r="S68" s="17" t="b">
        <f>VLOOKUP(Table6[[#This Row],[الكود]],Data[],73,0)</f>
        <v>1</v>
      </c>
      <c r="T68" s="41"/>
    </row>
    <row r="69" spans="1:20" ht="16.8" x14ac:dyDescent="0.25">
      <c r="A69" s="9">
        <v>418</v>
      </c>
      <c r="B69" s="10" t="s">
        <v>123</v>
      </c>
      <c r="C69" s="10" t="str">
        <f>VLOOKUP(Table6[[#This Row],[الكود]],Data[],12,0)</f>
        <v>29904091300937</v>
      </c>
      <c r="D69" s="10" t="str">
        <f>VLOOKUP(Table6[[#This Row],[الكود]],Data[],10,0)</f>
        <v>مصرى</v>
      </c>
      <c r="E69" s="10" t="str">
        <f>VLOOKUP(Table6[[#This Row],[الكود]],Data[],25,0)</f>
        <v>غير مؤمن</v>
      </c>
      <c r="F69" s="63">
        <f>VLOOKUP(Table6[[#This Row],[الكود]],Data[],88,0)</f>
        <v>45843</v>
      </c>
      <c r="G69" s="10"/>
      <c r="H69" s="54">
        <f>_xlfn.IFNA(IF(Table6[[#This Row],[الكود]]="","",VLOOKUP(Table6[[#This Row],[الكود]],Data[],97,0)),"")</f>
        <v>7100</v>
      </c>
      <c r="I69" s="54">
        <f>_xlfn.IFNA(IF(Table6[[#This Row],[الكود]]="","",VLOOKUP(Table6[[#This Row],[الكود]],Data[],99,0)),"")</f>
        <v>5461.54</v>
      </c>
      <c r="J69" s="54">
        <f>_xlfn.IFNA(IF(Table6[[#This Row],[الكود]]="","",VLOOKUP(Table6[[#This Row],[الكود]],Data[],100,0)),"")</f>
        <v>1638.46</v>
      </c>
      <c r="K69" s="54">
        <f>IF(Table6[[#This Row],[الاجر الشامل]]=0,"",I69*11%)</f>
        <v>600.76940000000002</v>
      </c>
      <c r="L69" s="54">
        <f>IF(Table6[[#This Row],[الاجر الشامل]]=0,"",I69*18.75%)</f>
        <v>1024.0387499999999</v>
      </c>
      <c r="M69" s="17" t="str">
        <f>VLOOKUP(Table6[[#This Row],[الكود]],Data[],63,0)</f>
        <v>معافى نهائي</v>
      </c>
      <c r="N69" s="17" t="str">
        <f>VLOOKUP(Table6[[#This Row],[الكود]],Data[],64,0)</f>
        <v>متوسط</v>
      </c>
      <c r="O69" s="17" t="b">
        <f>VLOOKUP(Table6[[#This Row],[الكود]],Data[],65,0)</f>
        <v>1</v>
      </c>
      <c r="P69" s="17" t="b">
        <f>VLOOKUP(Table6[[#This Row],[الكود]],Data[],67,0)</f>
        <v>1</v>
      </c>
      <c r="Q69" s="17"/>
      <c r="R69" s="17" t="b">
        <f>VLOOKUP(Table6[[#This Row],[الكود]],Data[],71,0)</f>
        <v>1</v>
      </c>
      <c r="S69" s="17" t="b">
        <f>VLOOKUP(Table6[[#This Row],[الكود]],Data[],73,0)</f>
        <v>1</v>
      </c>
      <c r="T69" s="41"/>
    </row>
    <row r="70" spans="1:20" ht="16.8" x14ac:dyDescent="0.25">
      <c r="A70" s="9">
        <v>421</v>
      </c>
      <c r="B70" s="10" t="s">
        <v>124</v>
      </c>
      <c r="C70" s="10" t="str">
        <f>VLOOKUP(Table6[[#This Row],[الكود]],Data[],12,0)</f>
        <v>30108081302111</v>
      </c>
      <c r="D70" s="10" t="str">
        <f>VLOOKUP(Table6[[#This Row],[الكود]],Data[],10,0)</f>
        <v>مصرى</v>
      </c>
      <c r="E70" s="10" t="str">
        <f>VLOOKUP(Table6[[#This Row],[الكود]],Data[],25,0)</f>
        <v>غير مؤمن</v>
      </c>
      <c r="F70" s="63">
        <f>VLOOKUP(Table6[[#This Row],[الكود]],Data[],88,0)</f>
        <v>45843</v>
      </c>
      <c r="G70" s="10"/>
      <c r="H70" s="54">
        <f>_xlfn.IFNA(IF(Table6[[#This Row],[الكود]]="","",VLOOKUP(Table6[[#This Row],[الكود]],Data[],97,0)),"")</f>
        <v>7300</v>
      </c>
      <c r="I70" s="54">
        <f>_xlfn.IFNA(IF(Table6[[#This Row],[الكود]]="","",VLOOKUP(Table6[[#This Row],[الكود]],Data[],99,0)),"")</f>
        <v>5615.38</v>
      </c>
      <c r="J70" s="54">
        <f>_xlfn.IFNA(IF(Table6[[#This Row],[الكود]]="","",VLOOKUP(Table6[[#This Row],[الكود]],Data[],100,0)),"")</f>
        <v>1684.62</v>
      </c>
      <c r="K70" s="54">
        <f>IF(Table6[[#This Row],[الاجر الشامل]]=0,"",I70*11%)</f>
        <v>617.69180000000006</v>
      </c>
      <c r="L70" s="54">
        <f>IF(Table6[[#This Row],[الاجر الشامل]]=0,"",I70*18.75%)</f>
        <v>1052.88375</v>
      </c>
      <c r="M70" s="17" t="str">
        <f>VLOOKUP(Table6[[#This Row],[الكود]],Data[],63,0)</f>
        <v>غير موجودة</v>
      </c>
      <c r="N70" s="17" t="str">
        <f>VLOOKUP(Table6[[#This Row],[الكود]],Data[],64,0)</f>
        <v>متوسط</v>
      </c>
      <c r="O70" s="17" t="b">
        <f>VLOOKUP(Table6[[#This Row],[الكود]],Data[],65,0)</f>
        <v>1</v>
      </c>
      <c r="P70" s="17" t="b">
        <f>VLOOKUP(Table6[[#This Row],[الكود]],Data[],67,0)</f>
        <v>1</v>
      </c>
      <c r="Q70" s="17"/>
      <c r="R70" s="17" t="b">
        <f>VLOOKUP(Table6[[#This Row],[الكود]],Data[],71,0)</f>
        <v>0</v>
      </c>
      <c r="S70" s="17" t="b">
        <f>VLOOKUP(Table6[[#This Row],[الكود]],Data[],73,0)</f>
        <v>1</v>
      </c>
      <c r="T70" s="41"/>
    </row>
    <row r="71" spans="1:20" ht="16.8" x14ac:dyDescent="0.25">
      <c r="A71" s="9">
        <v>423</v>
      </c>
      <c r="B71" s="10" t="s">
        <v>126</v>
      </c>
      <c r="C71" s="10" t="str">
        <f>VLOOKUP(Table6[[#This Row],[الكود]],Data[],12,0)</f>
        <v>30204021301379</v>
      </c>
      <c r="D71" s="10" t="str">
        <f>VLOOKUP(Table6[[#This Row],[الكود]],Data[],10,0)</f>
        <v>مصرى</v>
      </c>
      <c r="E71" s="10" t="str">
        <f>VLOOKUP(Table6[[#This Row],[الكود]],Data[],25,0)</f>
        <v>غير مؤمن</v>
      </c>
      <c r="F71" s="63">
        <f>VLOOKUP(Table6[[#This Row],[الكود]],Data[],88,0)</f>
        <v>1</v>
      </c>
      <c r="G71" s="10"/>
      <c r="H71" s="54">
        <f>_xlfn.IFNA(IF(Table6[[#This Row],[الكود]]="","",VLOOKUP(Table6[[#This Row],[الكود]],Data[],97,0)),"")</f>
        <v>7300</v>
      </c>
      <c r="I71" s="54">
        <f>_xlfn.IFNA(IF(Table6[[#This Row],[الكود]]="","",VLOOKUP(Table6[[#This Row],[الكود]],Data[],99,0)),"")</f>
        <v>5615.38</v>
      </c>
      <c r="J71" s="54">
        <f>_xlfn.IFNA(IF(Table6[[#This Row],[الكود]]="","",VLOOKUP(Table6[[#This Row],[الكود]],Data[],100,0)),"")</f>
        <v>1684.62</v>
      </c>
      <c r="K71" s="54">
        <f>IF(Table6[[#This Row],[الاجر الشامل]]=0,"",I71*11%)</f>
        <v>617.69180000000006</v>
      </c>
      <c r="L71" s="54">
        <f>IF(Table6[[#This Row],[الاجر الشامل]]=0,"",I71*18.75%)</f>
        <v>1052.88375</v>
      </c>
      <c r="M71" s="17" t="str">
        <f>VLOOKUP(Table6[[#This Row],[الكود]],Data[],63,0)</f>
        <v>معافى نهائى</v>
      </c>
      <c r="N71" s="17" t="str">
        <f>VLOOKUP(Table6[[#This Row],[الكود]],Data[],64,0)</f>
        <v>مؤهل عالى</v>
      </c>
      <c r="O71" s="17" t="b">
        <f>VLOOKUP(Table6[[#This Row],[الكود]],Data[],65,0)</f>
        <v>1</v>
      </c>
      <c r="P71" s="17" t="b">
        <f>VLOOKUP(Table6[[#This Row],[الكود]],Data[],67,0)</f>
        <v>1</v>
      </c>
      <c r="Q71" s="17"/>
      <c r="R71" s="17" t="b">
        <f>VLOOKUP(Table6[[#This Row],[الكود]],Data[],71,0)</f>
        <v>0</v>
      </c>
      <c r="S71" s="17" t="b">
        <f>VLOOKUP(Table6[[#This Row],[الكود]],Data[],73,0)</f>
        <v>1</v>
      </c>
      <c r="T71" s="41"/>
    </row>
    <row r="72" spans="1:20" ht="16.8" x14ac:dyDescent="0.25">
      <c r="A72" s="9">
        <v>425</v>
      </c>
      <c r="B72" s="10" t="s">
        <v>127</v>
      </c>
      <c r="C72" s="10" t="str">
        <f>VLOOKUP(Table6[[#This Row],[الكود]],Data[],12,0)</f>
        <v>29503021300579</v>
      </c>
      <c r="D72" s="10" t="str">
        <f>VLOOKUP(Table6[[#This Row],[الكود]],Data[],10,0)</f>
        <v>مصرى</v>
      </c>
      <c r="E72" s="10" t="str">
        <f>VLOOKUP(Table6[[#This Row],[الكود]],Data[],25,0)</f>
        <v>غير مؤمن</v>
      </c>
      <c r="F72" s="63">
        <f>VLOOKUP(Table6[[#This Row],[الكود]],Data[],88,0)</f>
        <v>1</v>
      </c>
      <c r="G72" s="10"/>
      <c r="H72" s="54">
        <f>_xlfn.IFNA(IF(Table6[[#This Row],[الكود]]="","",VLOOKUP(Table6[[#This Row],[الكود]],Data[],97,0)),"")</f>
        <v>7100</v>
      </c>
      <c r="I72" s="54">
        <f>_xlfn.IFNA(IF(Table6[[#This Row],[الكود]]="","",VLOOKUP(Table6[[#This Row],[الكود]],Data[],99,0)),"")</f>
        <v>5461.54</v>
      </c>
      <c r="J72" s="54">
        <f>_xlfn.IFNA(IF(Table6[[#This Row],[الكود]]="","",VLOOKUP(Table6[[#This Row],[الكود]],Data[],100,0)),"")</f>
        <v>1638.46</v>
      </c>
      <c r="K72" s="54">
        <f>IF(Table6[[#This Row],[الاجر الشامل]]=0,"",I72*11%)</f>
        <v>600.76940000000002</v>
      </c>
      <c r="L72" s="54">
        <f>IF(Table6[[#This Row],[الاجر الشامل]]=0,"",I72*18.75%)</f>
        <v>1024.0387499999999</v>
      </c>
      <c r="M72" s="17" t="str">
        <f>VLOOKUP(Table6[[#This Row],[الكود]],Data[],63,0)</f>
        <v>ادى الخدمة</v>
      </c>
      <c r="N72" s="17" t="str">
        <f>VLOOKUP(Table6[[#This Row],[الكود]],Data[],64,0)</f>
        <v>مؤهل متوسط</v>
      </c>
      <c r="O72" s="17" t="b">
        <f>VLOOKUP(Table6[[#This Row],[الكود]],Data[],65,0)</f>
        <v>1</v>
      </c>
      <c r="P72" s="17" t="b">
        <f>VLOOKUP(Table6[[#This Row],[الكود]],Data[],67,0)</f>
        <v>1</v>
      </c>
      <c r="Q72" s="17"/>
      <c r="R72" s="17" t="b">
        <f>VLOOKUP(Table6[[#This Row],[الكود]],Data[],71,0)</f>
        <v>1</v>
      </c>
      <c r="S72" s="17" t="b">
        <f>VLOOKUP(Table6[[#This Row],[الكود]],Data[],73,0)</f>
        <v>1</v>
      </c>
      <c r="T72" s="41"/>
    </row>
    <row r="73" spans="1:20" ht="16.8" x14ac:dyDescent="0.25">
      <c r="A73" s="9">
        <v>426</v>
      </c>
      <c r="B73" s="10" t="s">
        <v>128</v>
      </c>
      <c r="C73" s="10" t="str">
        <f>VLOOKUP(Table6[[#This Row],[الكود]],Data[],12,0)</f>
        <v>29810231300334</v>
      </c>
      <c r="D73" s="10" t="str">
        <f>VLOOKUP(Table6[[#This Row],[الكود]],Data[],10,0)</f>
        <v>مصرى</v>
      </c>
      <c r="E73" s="10" t="str">
        <f>VLOOKUP(Table6[[#This Row],[الكود]],Data[],25,0)</f>
        <v>غير مؤمن</v>
      </c>
      <c r="F73" s="63">
        <f>VLOOKUP(Table6[[#This Row],[الكود]],Data[],88,0)</f>
        <v>1</v>
      </c>
      <c r="G73" s="10"/>
      <c r="H73" s="54">
        <f>_xlfn.IFNA(IF(Table6[[#This Row],[الكود]]="","",VLOOKUP(Table6[[#This Row],[الكود]],Data[],97,0)),"")</f>
        <v>7100</v>
      </c>
      <c r="I73" s="54">
        <f>_xlfn.IFNA(IF(Table6[[#This Row],[الكود]]="","",VLOOKUP(Table6[[#This Row],[الكود]],Data[],99,0)),"")</f>
        <v>5461.54</v>
      </c>
      <c r="J73" s="54">
        <f>_xlfn.IFNA(IF(Table6[[#This Row],[الكود]]="","",VLOOKUP(Table6[[#This Row],[الكود]],Data[],100,0)),"")</f>
        <v>1638.46</v>
      </c>
      <c r="K73" s="54">
        <f>IF(Table6[[#This Row],[الاجر الشامل]]=0,"",I73*11%)</f>
        <v>600.76940000000002</v>
      </c>
      <c r="L73" s="54">
        <f>IF(Table6[[#This Row],[الاجر الشامل]]=0,"",I73*18.75%)</f>
        <v>1024.0387499999999</v>
      </c>
      <c r="M73" s="17" t="str">
        <f>VLOOKUP(Table6[[#This Row],[الكود]],Data[],63,0)</f>
        <v>ادى الخدمة</v>
      </c>
      <c r="N73" s="17" t="str">
        <f>VLOOKUP(Table6[[#This Row],[الكود]],Data[],64,0)</f>
        <v>مؤهل متوسط</v>
      </c>
      <c r="O73" s="17" t="b">
        <f>VLOOKUP(Table6[[#This Row],[الكود]],Data[],65,0)</f>
        <v>1</v>
      </c>
      <c r="P73" s="17" t="b">
        <f>VLOOKUP(Table6[[#This Row],[الكود]],Data[],67,0)</f>
        <v>1</v>
      </c>
      <c r="Q73" s="17"/>
      <c r="R73" s="17" t="b">
        <f>VLOOKUP(Table6[[#This Row],[الكود]],Data[],71,0)</f>
        <v>0</v>
      </c>
      <c r="S73" s="17" t="b">
        <f>VLOOKUP(Table6[[#This Row],[الكود]],Data[],73,0)</f>
        <v>1</v>
      </c>
      <c r="T73" s="41"/>
    </row>
    <row r="74" spans="1:20" ht="16.8" x14ac:dyDescent="0.25">
      <c r="A74" s="9">
        <v>428</v>
      </c>
      <c r="B74" s="10" t="s">
        <v>129</v>
      </c>
      <c r="C74" s="10" t="str">
        <f>VLOOKUP(Table6[[#This Row],[الكود]],Data[],12,0)</f>
        <v>30503201301218</v>
      </c>
      <c r="D74" s="10" t="str">
        <f>VLOOKUP(Table6[[#This Row],[الكود]],Data[],10,0)</f>
        <v>مصرى</v>
      </c>
      <c r="E74" s="10" t="str">
        <f>VLOOKUP(Table6[[#This Row],[الكود]],Data[],25,0)</f>
        <v>غير مؤمن</v>
      </c>
      <c r="F74" s="63">
        <f>VLOOKUP(Table6[[#This Row],[الكود]],Data[],88,0)</f>
        <v>1</v>
      </c>
      <c r="G74" s="10"/>
      <c r="H74" s="54">
        <f>_xlfn.IFNA(IF(Table6[[#This Row],[الكود]]="","",VLOOKUP(Table6[[#This Row],[الكود]],Data[],97,0)),"")</f>
        <v>7200</v>
      </c>
      <c r="I74" s="54">
        <f>_xlfn.IFNA(IF(Table6[[#This Row],[الكود]]="","",VLOOKUP(Table6[[#This Row],[الكود]],Data[],99,0)),"")</f>
        <v>5538.46</v>
      </c>
      <c r="J74" s="54">
        <f>_xlfn.IFNA(IF(Table6[[#This Row],[الكود]]="","",VLOOKUP(Table6[[#This Row],[الكود]],Data[],100,0)),"")</f>
        <v>1661.54</v>
      </c>
      <c r="K74" s="54">
        <f>IF(Table6[[#This Row],[الاجر الشامل]]=0,"",I74*11%)</f>
        <v>609.23059999999998</v>
      </c>
      <c r="L74" s="54">
        <f>IF(Table6[[#This Row],[الاجر الشامل]]=0,"",I74*18.75%)</f>
        <v>1038.4612500000001</v>
      </c>
      <c r="M74" s="17" t="str">
        <f>VLOOKUP(Table6[[#This Row],[الكود]],Data[],63,0)</f>
        <v>مؤجل</v>
      </c>
      <c r="N74" s="17" t="str">
        <f>VLOOKUP(Table6[[#This Row],[الكود]],Data[],64,0)</f>
        <v>مؤهل متوسط</v>
      </c>
      <c r="O74" s="17" t="b">
        <f>VLOOKUP(Table6[[#This Row],[الكود]],Data[],65,0)</f>
        <v>1</v>
      </c>
      <c r="P74" s="17" t="b">
        <f>VLOOKUP(Table6[[#This Row],[الكود]],Data[],67,0)</f>
        <v>0</v>
      </c>
      <c r="Q74" s="17"/>
      <c r="R74" s="17" t="b">
        <f>VLOOKUP(Table6[[#This Row],[الكود]],Data[],71,0)</f>
        <v>0</v>
      </c>
      <c r="S74" s="17" t="b">
        <f>VLOOKUP(Table6[[#This Row],[الكود]],Data[],73,0)</f>
        <v>0</v>
      </c>
      <c r="T74" s="41"/>
    </row>
    <row r="75" spans="1:20" ht="16.8" x14ac:dyDescent="0.25">
      <c r="A75" s="9">
        <v>429</v>
      </c>
      <c r="B75" s="10" t="s">
        <v>130</v>
      </c>
      <c r="C75" s="10" t="str">
        <f>VLOOKUP(Table6[[#This Row],[الكود]],Data[],12,0)</f>
        <v>30708121304357</v>
      </c>
      <c r="D75" s="10" t="str">
        <f>VLOOKUP(Table6[[#This Row],[الكود]],Data[],10,0)</f>
        <v>مصرى</v>
      </c>
      <c r="E75" s="10" t="str">
        <f>VLOOKUP(Table6[[#This Row],[الكود]],Data[],25,0)</f>
        <v>غير مؤمن</v>
      </c>
      <c r="F75" s="63">
        <f>VLOOKUP(Table6[[#This Row],[الكود]],Data[],88,0)</f>
        <v>1</v>
      </c>
      <c r="G75" s="10"/>
      <c r="H75" s="54">
        <f>_xlfn.IFNA(IF(Table6[[#This Row],[الكود]]="","",VLOOKUP(Table6[[#This Row],[الكود]],Data[],97,0)),"")</f>
        <v>7100</v>
      </c>
      <c r="I75" s="54">
        <f>_xlfn.IFNA(IF(Table6[[#This Row],[الكود]]="","",VLOOKUP(Table6[[#This Row],[الكود]],Data[],99,0)),"")</f>
        <v>5461.54</v>
      </c>
      <c r="J75" s="54">
        <f>_xlfn.IFNA(IF(Table6[[#This Row],[الكود]]="","",VLOOKUP(Table6[[#This Row],[الكود]],Data[],100,0)),"")</f>
        <v>1638.46</v>
      </c>
      <c r="K75" s="54">
        <f>IF(Table6[[#This Row],[الاجر الشامل]]=0,"",I75*11%)</f>
        <v>600.76940000000002</v>
      </c>
      <c r="L75" s="54">
        <f>IF(Table6[[#This Row],[الاجر الشامل]]=0,"",I75*18.75%)</f>
        <v>1024.0387499999999</v>
      </c>
      <c r="M75" s="17" t="str">
        <f>VLOOKUP(Table6[[#This Row],[الكود]],Data[],63,0)</f>
        <v>وحيد</v>
      </c>
      <c r="N75" s="17" t="str">
        <f>VLOOKUP(Table6[[#This Row],[الكود]],Data[],64,0)</f>
        <v>مؤهل متوسط</v>
      </c>
      <c r="O75" s="17" t="b">
        <f>VLOOKUP(Table6[[#This Row],[الكود]],Data[],65,0)</f>
        <v>1</v>
      </c>
      <c r="P75" s="17" t="b">
        <f>VLOOKUP(Table6[[#This Row],[الكود]],Data[],67,0)</f>
        <v>1</v>
      </c>
      <c r="Q75" s="17"/>
      <c r="R75" s="17" t="b">
        <f>VLOOKUP(Table6[[#This Row],[الكود]],Data[],71,0)</f>
        <v>1</v>
      </c>
      <c r="S75" s="17" t="b">
        <f>VLOOKUP(Table6[[#This Row],[الكود]],Data[],73,0)</f>
        <v>1</v>
      </c>
      <c r="T75" s="41"/>
    </row>
    <row r="76" spans="1:20" ht="16.8" x14ac:dyDescent="0.25">
      <c r="A76" s="9">
        <v>430</v>
      </c>
      <c r="B76" s="10" t="s">
        <v>131</v>
      </c>
      <c r="C76" s="10" t="str">
        <f>VLOOKUP(Table6[[#This Row],[الكود]],Data[],12,0)</f>
        <v>28401070106451</v>
      </c>
      <c r="D76" s="10" t="str">
        <f>VLOOKUP(Table6[[#This Row],[الكود]],Data[],10,0)</f>
        <v>مصرى</v>
      </c>
      <c r="E76" s="10" t="str">
        <f>VLOOKUP(Table6[[#This Row],[الكود]],Data[],25,0)</f>
        <v>غير مؤمن</v>
      </c>
      <c r="F76" s="63">
        <f>VLOOKUP(Table6[[#This Row],[الكود]],Data[],88,0)</f>
        <v>1</v>
      </c>
      <c r="G76" s="10"/>
      <c r="H76" s="54">
        <f>_xlfn.IFNA(IF(Table6[[#This Row],[الكود]]="","",VLOOKUP(Table6[[#This Row],[الكود]],Data[],97,0)),"")</f>
        <v>7500</v>
      </c>
      <c r="I76" s="54">
        <f>_xlfn.IFNA(IF(Table6[[#This Row],[الكود]]="","",VLOOKUP(Table6[[#This Row],[الكود]],Data[],99,0)),"")</f>
        <v>5769.23</v>
      </c>
      <c r="J76" s="54">
        <f>_xlfn.IFNA(IF(Table6[[#This Row],[الكود]]="","",VLOOKUP(Table6[[#This Row],[الكود]],Data[],100,0)),"")</f>
        <v>1730.77</v>
      </c>
      <c r="K76" s="54">
        <f>IF(Table6[[#This Row],[الاجر الشامل]]=0,"",I76*11%)</f>
        <v>634.61529999999993</v>
      </c>
      <c r="L76" s="54">
        <f>IF(Table6[[#This Row],[الاجر الشامل]]=0,"",I76*18.75%)</f>
        <v>1081.7306249999999</v>
      </c>
      <c r="M76" s="17" t="str">
        <f>VLOOKUP(Table6[[#This Row],[الكود]],Data[],63,0)</f>
        <v>معافى نهائى</v>
      </c>
      <c r="N76" s="17" t="str">
        <f>VLOOKUP(Table6[[#This Row],[الكود]],Data[],64,0)</f>
        <v>مؤهل متوسط</v>
      </c>
      <c r="O76" s="17" t="b">
        <f>VLOOKUP(Table6[[#This Row],[الكود]],Data[],65,0)</f>
        <v>1</v>
      </c>
      <c r="P76" s="17" t="b">
        <f>VLOOKUP(Table6[[#This Row],[الكود]],Data[],67,0)</f>
        <v>1</v>
      </c>
      <c r="Q76" s="17"/>
      <c r="R76" s="17" t="b">
        <f>VLOOKUP(Table6[[#This Row],[الكود]],Data[],71,0)</f>
        <v>1</v>
      </c>
      <c r="S76" s="17" t="b">
        <f>VLOOKUP(Table6[[#This Row],[الكود]],Data[],73,0)</f>
        <v>1</v>
      </c>
      <c r="T76" s="41"/>
    </row>
    <row r="77" spans="1:20" ht="16.8" x14ac:dyDescent="0.25">
      <c r="A77" s="9">
        <v>431</v>
      </c>
      <c r="B77" s="10" t="s">
        <v>132</v>
      </c>
      <c r="C77" s="10" t="str">
        <f>VLOOKUP(Table6[[#This Row],[الكود]],Data[],12,0)</f>
        <v>28312311301117</v>
      </c>
      <c r="D77" s="10" t="str">
        <f>VLOOKUP(Table6[[#This Row],[الكود]],Data[],10,0)</f>
        <v>مصرى</v>
      </c>
      <c r="E77" s="10" t="str">
        <f>VLOOKUP(Table6[[#This Row],[الكود]],Data[],25,0)</f>
        <v>غير مؤمن</v>
      </c>
      <c r="F77" s="63">
        <f>VLOOKUP(Table6[[#This Row],[الكود]],Data[],88,0)</f>
        <v>1</v>
      </c>
      <c r="G77" s="10"/>
      <c r="H77" s="54">
        <f>_xlfn.IFNA(IF(Table6[[#This Row],[الكود]]="","",VLOOKUP(Table6[[#This Row],[الكود]],Data[],97,0)),"")</f>
        <v>7500</v>
      </c>
      <c r="I77" s="54">
        <f>_xlfn.IFNA(IF(Table6[[#This Row],[الكود]]="","",VLOOKUP(Table6[[#This Row],[الكود]],Data[],99,0)),"")</f>
        <v>5769.23</v>
      </c>
      <c r="J77" s="54">
        <f>_xlfn.IFNA(IF(Table6[[#This Row],[الكود]]="","",VLOOKUP(Table6[[#This Row],[الكود]],Data[],100,0)),"")</f>
        <v>1730.77</v>
      </c>
      <c r="K77" s="54">
        <f>IF(Table6[[#This Row],[الاجر الشامل]]=0,"",I77*11%)</f>
        <v>634.61529999999993</v>
      </c>
      <c r="L77" s="54">
        <f>IF(Table6[[#This Row],[الاجر الشامل]]=0,"",I77*18.75%)</f>
        <v>1081.7306249999999</v>
      </c>
      <c r="M77" s="17" t="str">
        <f>VLOOKUP(Table6[[#This Row],[الكود]],Data[],63,0)</f>
        <v>غير موجودة</v>
      </c>
      <c r="N77" s="17" t="str">
        <f>VLOOKUP(Table6[[#This Row],[الكود]],Data[],64,0)</f>
        <v>غير موجود</v>
      </c>
      <c r="O77" s="17" t="b">
        <f>VLOOKUP(Table6[[#This Row],[الكود]],Data[],65,0)</f>
        <v>0</v>
      </c>
      <c r="P77" s="17" t="b">
        <f>VLOOKUP(Table6[[#This Row],[الكود]],Data[],67,0)</f>
        <v>0</v>
      </c>
      <c r="Q77" s="17"/>
      <c r="R77" s="17" t="b">
        <f>VLOOKUP(Table6[[#This Row],[الكود]],Data[],71,0)</f>
        <v>0</v>
      </c>
      <c r="S77" s="17" t="b">
        <f>VLOOKUP(Table6[[#This Row],[الكود]],Data[],73,0)</f>
        <v>0</v>
      </c>
      <c r="T77" s="41"/>
    </row>
    <row r="78" spans="1:20" ht="16.8" x14ac:dyDescent="0.25">
      <c r="A78" s="9">
        <v>432</v>
      </c>
      <c r="B78" s="10" t="s">
        <v>133</v>
      </c>
      <c r="C78" s="10" t="str">
        <f>VLOOKUP(Table6[[#This Row],[الكود]],Data[],12,0)</f>
        <v>29602011301478</v>
      </c>
      <c r="D78" s="10" t="str">
        <f>VLOOKUP(Table6[[#This Row],[الكود]],Data[],10,0)</f>
        <v>مصرى</v>
      </c>
      <c r="E78" s="10" t="str">
        <f>VLOOKUP(Table6[[#This Row],[الكود]],Data[],25,0)</f>
        <v>غير مؤمن</v>
      </c>
      <c r="F78" s="63">
        <f>VLOOKUP(Table6[[#This Row],[الكود]],Data[],88,0)</f>
        <v>1</v>
      </c>
      <c r="G78" s="10"/>
      <c r="H78" s="54">
        <f>_xlfn.IFNA(IF(Table6[[#This Row],[الكود]]="","",VLOOKUP(Table6[[#This Row],[الكود]],Data[],97,0)),"")</f>
        <v>7100</v>
      </c>
      <c r="I78" s="54">
        <f>_xlfn.IFNA(IF(Table6[[#This Row],[الكود]]="","",VLOOKUP(Table6[[#This Row],[الكود]],Data[],99,0)),"")</f>
        <v>5461.54</v>
      </c>
      <c r="J78" s="54">
        <f>_xlfn.IFNA(IF(Table6[[#This Row],[الكود]]="","",VLOOKUP(Table6[[#This Row],[الكود]],Data[],100,0)),"")</f>
        <v>1638.46</v>
      </c>
      <c r="K78" s="54">
        <f>IF(Table6[[#This Row],[الاجر الشامل]]=0,"",I78*11%)</f>
        <v>600.76940000000002</v>
      </c>
      <c r="L78" s="54">
        <f>IF(Table6[[#This Row],[الاجر الشامل]]=0,"",I78*18.75%)</f>
        <v>1024.0387499999999</v>
      </c>
      <c r="M78" s="17" t="str">
        <f>VLOOKUP(Table6[[#This Row],[الكود]],Data[],63,0)</f>
        <v>ادى الخدمة</v>
      </c>
      <c r="N78" s="17" t="str">
        <f>VLOOKUP(Table6[[#This Row],[الكود]],Data[],64,0)</f>
        <v>ابتدائى</v>
      </c>
      <c r="O78" s="17" t="b">
        <f>VLOOKUP(Table6[[#This Row],[الكود]],Data[],65,0)</f>
        <v>1</v>
      </c>
      <c r="P78" s="17" t="b">
        <f>VLOOKUP(Table6[[#This Row],[الكود]],Data[],67,0)</f>
        <v>1</v>
      </c>
      <c r="Q78" s="17"/>
      <c r="R78" s="17" t="b">
        <f>VLOOKUP(Table6[[#This Row],[الكود]],Data[],71,0)</f>
        <v>1</v>
      </c>
      <c r="S78" s="17" t="b">
        <f>VLOOKUP(Table6[[#This Row],[الكود]],Data[],73,0)</f>
        <v>1</v>
      </c>
      <c r="T78" s="41"/>
    </row>
    <row r="79" spans="1:20" ht="16.8" x14ac:dyDescent="0.25">
      <c r="A79" s="9">
        <v>433</v>
      </c>
      <c r="B79" s="10" t="s">
        <v>134</v>
      </c>
      <c r="C79" s="10" t="str">
        <f>VLOOKUP(Table6[[#This Row],[الكود]],Data[],12,0)</f>
        <v>30109221300358</v>
      </c>
      <c r="D79" s="10" t="str">
        <f>VLOOKUP(Table6[[#This Row],[الكود]],Data[],10,0)</f>
        <v>مصرى</v>
      </c>
      <c r="E79" s="10" t="str">
        <f>VLOOKUP(Table6[[#This Row],[الكود]],Data[],25,0)</f>
        <v>غير مؤمن</v>
      </c>
      <c r="F79" s="63">
        <f>VLOOKUP(Table6[[#This Row],[الكود]],Data[],88,0)</f>
        <v>1</v>
      </c>
      <c r="G79" s="10"/>
      <c r="H79" s="54">
        <f>_xlfn.IFNA(IF(Table6[[#This Row],[الكود]]="","",VLOOKUP(Table6[[#This Row],[الكود]],Data[],97,0)),"")</f>
        <v>7100</v>
      </c>
      <c r="I79" s="54">
        <f>_xlfn.IFNA(IF(Table6[[#This Row],[الكود]]="","",VLOOKUP(Table6[[#This Row],[الكود]],Data[],99,0)),"")</f>
        <v>5461.54</v>
      </c>
      <c r="J79" s="54">
        <f>_xlfn.IFNA(IF(Table6[[#This Row],[الكود]]="","",VLOOKUP(Table6[[#This Row],[الكود]],Data[],100,0)),"")</f>
        <v>1638.46</v>
      </c>
      <c r="K79" s="54">
        <f>IF(Table6[[#This Row],[الاجر الشامل]]=0,"",I79*11%)</f>
        <v>600.76940000000002</v>
      </c>
      <c r="L79" s="54">
        <f>IF(Table6[[#This Row],[الاجر الشامل]]=0,"",I79*18.75%)</f>
        <v>1024.0387499999999</v>
      </c>
      <c r="M79" s="17" t="str">
        <f>VLOOKUP(Table6[[#This Row],[الكود]],Data[],63,0)</f>
        <v>ادى الخدمة</v>
      </c>
      <c r="N79" s="17" t="str">
        <f>VLOOKUP(Table6[[#This Row],[الكود]],Data[],64,0)</f>
        <v>مؤهل متوسط</v>
      </c>
      <c r="O79" s="17" t="b">
        <f>VLOOKUP(Table6[[#This Row],[الكود]],Data[],65,0)</f>
        <v>1</v>
      </c>
      <c r="P79" s="17" t="b">
        <f>VLOOKUP(Table6[[#This Row],[الكود]],Data[],67,0)</f>
        <v>1</v>
      </c>
      <c r="Q79" s="17"/>
      <c r="R79" s="17" t="b">
        <f>VLOOKUP(Table6[[#This Row],[الكود]],Data[],71,0)</f>
        <v>1</v>
      </c>
      <c r="S79" s="17" t="b">
        <f>VLOOKUP(Table6[[#This Row],[الكود]],Data[],73,0)</f>
        <v>1</v>
      </c>
      <c r="T79" s="41"/>
    </row>
    <row r="80" spans="1:20" ht="16.8" x14ac:dyDescent="0.25">
      <c r="A80" s="9">
        <v>434</v>
      </c>
      <c r="B80" s="10" t="s">
        <v>135</v>
      </c>
      <c r="C80" s="10" t="str">
        <f>VLOOKUP(Table6[[#This Row],[الكود]],Data[],12,0)</f>
        <v>29410271300657</v>
      </c>
      <c r="D80" s="10" t="str">
        <f>VLOOKUP(Table6[[#This Row],[الكود]],Data[],10,0)</f>
        <v>مصرى</v>
      </c>
      <c r="E80" s="10" t="str">
        <f>VLOOKUP(Table6[[#This Row],[الكود]],Data[],25,0)</f>
        <v>غير مؤمن</v>
      </c>
      <c r="F80" s="63">
        <f>VLOOKUP(Table6[[#This Row],[الكود]],Data[],88,0)</f>
        <v>1</v>
      </c>
      <c r="G80" s="10"/>
      <c r="H80" s="54">
        <f>_xlfn.IFNA(IF(Table6[[#This Row],[الكود]]="","",VLOOKUP(Table6[[#This Row],[الكود]],Data[],97,0)),"")</f>
        <v>7100</v>
      </c>
      <c r="I80" s="54">
        <f>_xlfn.IFNA(IF(Table6[[#This Row],[الكود]]="","",VLOOKUP(Table6[[#This Row],[الكود]],Data[],99,0)),"")</f>
        <v>5461.54</v>
      </c>
      <c r="J80" s="54">
        <f>_xlfn.IFNA(IF(Table6[[#This Row],[الكود]]="","",VLOOKUP(Table6[[#This Row],[الكود]],Data[],100,0)),"")</f>
        <v>1638.46</v>
      </c>
      <c r="K80" s="54">
        <f>IF(Table6[[#This Row],[الاجر الشامل]]=0,"",I80*11%)</f>
        <v>600.76940000000002</v>
      </c>
      <c r="L80" s="54">
        <f>IF(Table6[[#This Row],[الاجر الشامل]]=0,"",I80*18.75%)</f>
        <v>1024.0387499999999</v>
      </c>
      <c r="M80" s="17" t="str">
        <f>VLOOKUP(Table6[[#This Row],[الكود]],Data[],63,0)</f>
        <v>ادى الخدمة</v>
      </c>
      <c r="N80" s="17" t="str">
        <f>VLOOKUP(Table6[[#This Row],[الكود]],Data[],64,0)</f>
        <v>محو امية</v>
      </c>
      <c r="O80" s="17" t="b">
        <f>VLOOKUP(Table6[[#This Row],[الكود]],Data[],65,0)</f>
        <v>1</v>
      </c>
      <c r="P80" s="17" t="b">
        <f>VLOOKUP(Table6[[#This Row],[الكود]],Data[],67,0)</f>
        <v>1</v>
      </c>
      <c r="Q80" s="17"/>
      <c r="R80" s="17" t="b">
        <f>VLOOKUP(Table6[[#This Row],[الكود]],Data[],71,0)</f>
        <v>1</v>
      </c>
      <c r="S80" s="17" t="b">
        <f>VLOOKUP(Table6[[#This Row],[الكود]],Data[],73,0)</f>
        <v>1</v>
      </c>
      <c r="T80" s="41"/>
    </row>
    <row r="81" spans="1:20" ht="16.8" x14ac:dyDescent="0.25">
      <c r="A81" s="9">
        <v>435</v>
      </c>
      <c r="B81" s="10" t="s">
        <v>136</v>
      </c>
      <c r="C81" s="10" t="str">
        <f>VLOOKUP(Table6[[#This Row],[الكود]],Data[],12,0)</f>
        <v>28303181300335</v>
      </c>
      <c r="D81" s="10" t="str">
        <f>VLOOKUP(Table6[[#This Row],[الكود]],Data[],10,0)</f>
        <v>مصرى</v>
      </c>
      <c r="E81" s="10" t="str">
        <f>VLOOKUP(Table6[[#This Row],[الكود]],Data[],25,0)</f>
        <v>غير مؤمن</v>
      </c>
      <c r="F81" s="63">
        <f>VLOOKUP(Table6[[#This Row],[الكود]],Data[],88,0)</f>
        <v>1</v>
      </c>
      <c r="G81" s="10"/>
      <c r="H81" s="54">
        <f>_xlfn.IFNA(IF(Table6[[#This Row],[الكود]]="","",VLOOKUP(Table6[[#This Row],[الكود]],Data[],97,0)),"")</f>
        <v>7100</v>
      </c>
      <c r="I81" s="54">
        <f>_xlfn.IFNA(IF(Table6[[#This Row],[الكود]]="","",VLOOKUP(Table6[[#This Row],[الكود]],Data[],99,0)),"")</f>
        <v>5461.54</v>
      </c>
      <c r="J81" s="54">
        <f>_xlfn.IFNA(IF(Table6[[#This Row],[الكود]]="","",VLOOKUP(Table6[[#This Row],[الكود]],Data[],100,0)),"")</f>
        <v>1638.46</v>
      </c>
      <c r="K81" s="54">
        <f>IF(Table6[[#This Row],[الاجر الشامل]]=0,"",I81*11%)</f>
        <v>600.76940000000002</v>
      </c>
      <c r="L81" s="54">
        <f>IF(Table6[[#This Row],[الاجر الشامل]]=0,"",I81*18.75%)</f>
        <v>1024.0387499999999</v>
      </c>
      <c r="M81" s="17" t="str">
        <f>VLOOKUP(Table6[[#This Row],[الكود]],Data[],63,0)</f>
        <v>معافى نهائى</v>
      </c>
      <c r="N81" s="17" t="str">
        <f>VLOOKUP(Table6[[#This Row],[الكود]],Data[],64,0)</f>
        <v>مؤهل متوسط</v>
      </c>
      <c r="O81" s="17" t="b">
        <f>VLOOKUP(Table6[[#This Row],[الكود]],Data[],65,0)</f>
        <v>1</v>
      </c>
      <c r="P81" s="17" t="b">
        <f>VLOOKUP(Table6[[#This Row],[الكود]],Data[],67,0)</f>
        <v>1</v>
      </c>
      <c r="Q81" s="17"/>
      <c r="R81" s="17" t="b">
        <f>VLOOKUP(Table6[[#This Row],[الكود]],Data[],71,0)</f>
        <v>1</v>
      </c>
      <c r="S81" s="17" t="b">
        <f>VLOOKUP(Table6[[#This Row],[الكود]],Data[],73,0)</f>
        <v>1</v>
      </c>
      <c r="T81" s="41"/>
    </row>
    <row r="82" spans="1:20" ht="16.8" x14ac:dyDescent="0.25">
      <c r="A82" s="9">
        <v>436</v>
      </c>
      <c r="B82" s="10" t="s">
        <v>137</v>
      </c>
      <c r="C82" s="10" t="str">
        <f>VLOOKUP(Table6[[#This Row],[الكود]],Data[],12,0)</f>
        <v>30401011342077</v>
      </c>
      <c r="D82" s="10" t="str">
        <f>VLOOKUP(Table6[[#This Row],[الكود]],Data[],10,0)</f>
        <v>مصرى</v>
      </c>
      <c r="E82" s="10" t="str">
        <f>VLOOKUP(Table6[[#This Row],[الكود]],Data[],25,0)</f>
        <v>غير مؤمن</v>
      </c>
      <c r="F82" s="63">
        <f>VLOOKUP(Table6[[#This Row],[الكود]],Data[],88,0)</f>
        <v>1</v>
      </c>
      <c r="G82" s="10"/>
      <c r="H82" s="54">
        <f>_xlfn.IFNA(IF(Table6[[#This Row],[الكود]]="","",VLOOKUP(Table6[[#This Row],[الكود]],Data[],97,0)),"")</f>
        <v>7100</v>
      </c>
      <c r="I82" s="54">
        <f>_xlfn.IFNA(IF(Table6[[#This Row],[الكود]]="","",VLOOKUP(Table6[[#This Row],[الكود]],Data[],99,0)),"")</f>
        <v>5461.54</v>
      </c>
      <c r="J82" s="54">
        <f>_xlfn.IFNA(IF(Table6[[#This Row],[الكود]]="","",VLOOKUP(Table6[[#This Row],[الكود]],Data[],100,0)),"")</f>
        <v>1638.46</v>
      </c>
      <c r="K82" s="54">
        <f>IF(Table6[[#This Row],[الاجر الشامل]]=0,"",I82*11%)</f>
        <v>600.76940000000002</v>
      </c>
      <c r="L82" s="54">
        <f>IF(Table6[[#This Row],[الاجر الشامل]]=0,"",I82*18.75%)</f>
        <v>1024.0387499999999</v>
      </c>
      <c r="M82" s="17" t="str">
        <f>VLOOKUP(Table6[[#This Row],[الكود]],Data[],63,0)</f>
        <v>وحيد</v>
      </c>
      <c r="N82" s="17" t="str">
        <f>VLOOKUP(Table6[[#This Row],[الكود]],Data[],64,0)</f>
        <v>ابتدائى</v>
      </c>
      <c r="O82" s="17" t="b">
        <f>VLOOKUP(Table6[[#This Row],[الكود]],Data[],65,0)</f>
        <v>1</v>
      </c>
      <c r="P82" s="17" t="b">
        <f>VLOOKUP(Table6[[#This Row],[الكود]],Data[],67,0)</f>
        <v>1</v>
      </c>
      <c r="Q82" s="17"/>
      <c r="R82" s="17" t="b">
        <f>VLOOKUP(Table6[[#This Row],[الكود]],Data[],71,0)</f>
        <v>1</v>
      </c>
      <c r="S82" s="17" t="b">
        <f>VLOOKUP(Table6[[#This Row],[الكود]],Data[],73,0)</f>
        <v>1</v>
      </c>
      <c r="T82" s="41"/>
    </row>
    <row r="83" spans="1:20" ht="16.8" x14ac:dyDescent="0.25">
      <c r="A83" s="9">
        <v>504</v>
      </c>
      <c r="B83" s="10" t="s">
        <v>139</v>
      </c>
      <c r="C83" s="10" t="str">
        <f>VLOOKUP(Table6[[#This Row],[الكود]],Data[],12,0)</f>
        <v>28501082701979</v>
      </c>
      <c r="D83" s="10" t="str">
        <f>VLOOKUP(Table6[[#This Row],[الكود]],Data[],10,0)</f>
        <v>مصرى</v>
      </c>
      <c r="E83" s="10" t="str">
        <f>VLOOKUP(Table6[[#This Row],[الكود]],Data[],25,0)</f>
        <v>غير مؤمن</v>
      </c>
      <c r="F83" s="63">
        <f>VLOOKUP(Table6[[#This Row],[الكود]],Data[],88,0)</f>
        <v>45853</v>
      </c>
      <c r="G83" s="10"/>
      <c r="H83" s="54">
        <f>_xlfn.IFNA(IF(Table6[[#This Row],[الكود]]="","",VLOOKUP(Table6[[#This Row],[الكود]],Data[],97,0)),"")</f>
        <v>7200</v>
      </c>
      <c r="I83" s="54">
        <f>_xlfn.IFNA(IF(Table6[[#This Row],[الكود]]="","",VLOOKUP(Table6[[#This Row],[الكود]],Data[],99,0)),"")</f>
        <v>5538.46</v>
      </c>
      <c r="J83" s="54">
        <f>_xlfn.IFNA(IF(Table6[[#This Row],[الكود]]="","",VLOOKUP(Table6[[#This Row],[الكود]],Data[],100,0)),"")</f>
        <v>1661.54</v>
      </c>
      <c r="K83" s="54">
        <f>IF(Table6[[#This Row],[الاجر الشامل]]=0,"",I83*11%)</f>
        <v>609.23059999999998</v>
      </c>
      <c r="L83" s="54">
        <f>IF(Table6[[#This Row],[الاجر الشامل]]=0,"",I83*18.75%)</f>
        <v>1038.4612500000001</v>
      </c>
      <c r="M83" s="17" t="str">
        <f>VLOOKUP(Table6[[#This Row],[الكود]],Data[],63,0)</f>
        <v>موجودة</v>
      </c>
      <c r="N83" s="17" t="str">
        <f>VLOOKUP(Table6[[#This Row],[الكود]],Data[],64,0)</f>
        <v>إبتدائى</v>
      </c>
      <c r="O83" s="17" t="b">
        <f>VLOOKUP(Table6[[#This Row],[الكود]],Data[],65,0)</f>
        <v>1</v>
      </c>
      <c r="P83" s="17" t="b">
        <f>VLOOKUP(Table6[[#This Row],[الكود]],Data[],67,0)</f>
        <v>0</v>
      </c>
      <c r="Q83" s="17"/>
      <c r="R83" s="17" t="b">
        <f>VLOOKUP(Table6[[#This Row],[الكود]],Data[],71,0)</f>
        <v>1</v>
      </c>
      <c r="S83" s="17" t="b">
        <f>VLOOKUP(Table6[[#This Row],[الكود]],Data[],73,0)</f>
        <v>0</v>
      </c>
      <c r="T83" s="41"/>
    </row>
    <row r="84" spans="1:20" ht="16.8" x14ac:dyDescent="0.25">
      <c r="A84" s="9">
        <v>506</v>
      </c>
      <c r="B84" s="10" t="s">
        <v>141</v>
      </c>
      <c r="C84" s="10" t="str">
        <f>VLOOKUP(Table6[[#This Row],[الكود]],Data[],12,0)</f>
        <v>28007221301901</v>
      </c>
      <c r="D84" s="10" t="str">
        <f>VLOOKUP(Table6[[#This Row],[الكود]],Data[],10,0)</f>
        <v>مصرية</v>
      </c>
      <c r="E84" s="10" t="str">
        <f>VLOOKUP(Table6[[#This Row],[الكود]],Data[],25,0)</f>
        <v>غير مؤمن</v>
      </c>
      <c r="F84" s="63">
        <f>VLOOKUP(Table6[[#This Row],[الكود]],Data[],88,0)</f>
        <v>45840</v>
      </c>
      <c r="G84" s="10"/>
      <c r="H84" s="54">
        <f>_xlfn.IFNA(IF(Table6[[#This Row],[الكود]]="","",VLOOKUP(Table6[[#This Row],[الكود]],Data[],97,0)),"")</f>
        <v>7000</v>
      </c>
      <c r="I84" s="54">
        <f>_xlfn.IFNA(IF(Table6[[#This Row],[الكود]]="","",VLOOKUP(Table6[[#This Row],[الكود]],Data[],99,0)),"")</f>
        <v>5384.62</v>
      </c>
      <c r="J84" s="54">
        <f>_xlfn.IFNA(IF(Table6[[#This Row],[الكود]]="","",VLOOKUP(Table6[[#This Row],[الكود]],Data[],100,0)),"")</f>
        <v>1615.38</v>
      </c>
      <c r="K84" s="54">
        <f>IF(Table6[[#This Row],[الاجر الشامل]]=0,"",I84*11%)</f>
        <v>592.30819999999994</v>
      </c>
      <c r="L84" s="54">
        <f>IF(Table6[[#This Row],[الاجر الشامل]]=0,"",I84*18.75%)</f>
        <v>1009.61625</v>
      </c>
      <c r="M84" s="17" t="str">
        <f>VLOOKUP(Table6[[#This Row],[الكود]],Data[],63,0)</f>
        <v>غير موجودة</v>
      </c>
      <c r="N84" s="17" t="str">
        <f>VLOOKUP(Table6[[#This Row],[الكود]],Data[],64,0)</f>
        <v>موجودة</v>
      </c>
      <c r="O84" s="17" t="b">
        <f>VLOOKUP(Table6[[#This Row],[الكود]],Data[],65,0)</f>
        <v>1</v>
      </c>
      <c r="P84" s="17" t="b">
        <f>VLOOKUP(Table6[[#This Row],[الكود]],Data[],67,0)</f>
        <v>0</v>
      </c>
      <c r="Q84" s="17"/>
      <c r="R84" s="17" t="b">
        <f>VLOOKUP(Table6[[#This Row],[الكود]],Data[],71,0)</f>
        <v>1</v>
      </c>
      <c r="S84" s="17" t="b">
        <f>VLOOKUP(Table6[[#This Row],[الكود]],Data[],73,0)</f>
        <v>1</v>
      </c>
      <c r="T84" s="41"/>
    </row>
    <row r="85" spans="1:20" ht="16.8" x14ac:dyDescent="0.25">
      <c r="A85" s="9">
        <v>508</v>
      </c>
      <c r="B85" s="10" t="s">
        <v>146</v>
      </c>
      <c r="C85" s="10" t="str">
        <f>VLOOKUP(Table6[[#This Row],[الكود]],Data[],12,0)</f>
        <v>27004111301091</v>
      </c>
      <c r="D85" s="10" t="str">
        <f>VLOOKUP(Table6[[#This Row],[الكود]],Data[],10,0)</f>
        <v>مصرى</v>
      </c>
      <c r="E85" s="10" t="str">
        <f>VLOOKUP(Table6[[#This Row],[الكود]],Data[],25,0)</f>
        <v>غير مؤمن</v>
      </c>
      <c r="F85" s="63">
        <f>VLOOKUP(Table6[[#This Row],[الكود]],Data[],88,0)</f>
        <v>45851</v>
      </c>
      <c r="G85" s="10"/>
      <c r="H85" s="54">
        <f>_xlfn.IFNA(IF(Table6[[#This Row],[الكود]]="","",VLOOKUP(Table6[[#This Row],[الكود]],Data[],97,0)),"")</f>
        <v>7000</v>
      </c>
      <c r="I85" s="54">
        <f>_xlfn.IFNA(IF(Table6[[#This Row],[الكود]]="","",VLOOKUP(Table6[[#This Row],[الكود]],Data[],99,0)),"")</f>
        <v>5384.62</v>
      </c>
      <c r="J85" s="54">
        <f>_xlfn.IFNA(IF(Table6[[#This Row],[الكود]]="","",VLOOKUP(Table6[[#This Row],[الكود]],Data[],100,0)),"")</f>
        <v>1615.38</v>
      </c>
      <c r="K85" s="54">
        <f>IF(Table6[[#This Row],[الاجر الشامل]]=0,"",I85*11%)</f>
        <v>592.30819999999994</v>
      </c>
      <c r="L85" s="54">
        <f>IF(Table6[[#This Row],[الاجر الشامل]]=0,"",I85*18.75%)</f>
        <v>1009.61625</v>
      </c>
      <c r="M85" s="17" t="str">
        <f>VLOOKUP(Table6[[#This Row],[الكود]],Data[],63,0)</f>
        <v>موجودة</v>
      </c>
      <c r="N85" s="17" t="str">
        <f>VLOOKUP(Table6[[#This Row],[الكود]],Data[],64,0)</f>
        <v>موجودة</v>
      </c>
      <c r="O85" s="17" t="b">
        <f>VLOOKUP(Table6[[#This Row],[الكود]],Data[],65,0)</f>
        <v>1</v>
      </c>
      <c r="P85" s="17" t="b">
        <f>VLOOKUP(Table6[[#This Row],[الكود]],Data[],67,0)</f>
        <v>1</v>
      </c>
      <c r="Q85" s="17"/>
      <c r="R85" s="17" t="b">
        <f>VLOOKUP(Table6[[#This Row],[الكود]],Data[],71,0)</f>
        <v>1</v>
      </c>
      <c r="S85" s="17" t="b">
        <f>VLOOKUP(Table6[[#This Row],[الكود]],Data[],73,0)</f>
        <v>1</v>
      </c>
      <c r="T85" s="41"/>
    </row>
    <row r="86" spans="1:20" ht="16.8" x14ac:dyDescent="0.25">
      <c r="A86" s="9">
        <v>509</v>
      </c>
      <c r="B86" s="10" t="s">
        <v>147</v>
      </c>
      <c r="C86" s="10" t="str">
        <f>VLOOKUP(Table6[[#This Row],[الكود]],Data[],12,0)</f>
        <v>28401011341128</v>
      </c>
      <c r="D86" s="10" t="str">
        <f>VLOOKUP(Table6[[#This Row],[الكود]],Data[],10,0)</f>
        <v>مصرية</v>
      </c>
      <c r="E86" s="10" t="str">
        <f>VLOOKUP(Table6[[#This Row],[الكود]],Data[],25,0)</f>
        <v>غير مؤمن</v>
      </c>
      <c r="F86" s="63">
        <f>VLOOKUP(Table6[[#This Row],[الكود]],Data[],88,0)</f>
        <v>45846</v>
      </c>
      <c r="G86" s="10"/>
      <c r="H86" s="54">
        <f>_xlfn.IFNA(IF(Table6[[#This Row],[الكود]]="","",VLOOKUP(Table6[[#This Row],[الكود]],Data[],97,0)),"")</f>
        <v>7000</v>
      </c>
      <c r="I86" s="54">
        <f>_xlfn.IFNA(IF(Table6[[#This Row],[الكود]]="","",VLOOKUP(Table6[[#This Row],[الكود]],Data[],99,0)),"")</f>
        <v>5384.62</v>
      </c>
      <c r="J86" s="54">
        <f>_xlfn.IFNA(IF(Table6[[#This Row],[الكود]]="","",VLOOKUP(Table6[[#This Row],[الكود]],Data[],100,0)),"")</f>
        <v>1615.38</v>
      </c>
      <c r="K86" s="54">
        <f>IF(Table6[[#This Row],[الاجر الشامل]]=0,"",I86*11%)</f>
        <v>592.30819999999994</v>
      </c>
      <c r="L86" s="54">
        <f>IF(Table6[[#This Row],[الاجر الشامل]]=0,"",I86*18.75%)</f>
        <v>1009.61625</v>
      </c>
      <c r="M86" s="17" t="str">
        <f>VLOOKUP(Table6[[#This Row],[الكود]],Data[],63,0)</f>
        <v>غير موجودة</v>
      </c>
      <c r="N86" s="17" t="str">
        <f>VLOOKUP(Table6[[#This Row],[الكود]],Data[],64,0)</f>
        <v>بدون</v>
      </c>
      <c r="O86" s="17" t="b">
        <f>VLOOKUP(Table6[[#This Row],[الكود]],Data[],65,0)</f>
        <v>1</v>
      </c>
      <c r="P86" s="17" t="b">
        <f>VLOOKUP(Table6[[#This Row],[الكود]],Data[],67,0)</f>
        <v>1</v>
      </c>
      <c r="Q86" s="17"/>
      <c r="R86" s="17" t="b">
        <f>VLOOKUP(Table6[[#This Row],[الكود]],Data[],71,0)</f>
        <v>1</v>
      </c>
      <c r="S86" s="17" t="b">
        <f>VLOOKUP(Table6[[#This Row],[الكود]],Data[],73,0)</f>
        <v>1</v>
      </c>
      <c r="T86" s="41"/>
    </row>
    <row r="87" spans="1:20" ht="16.8" x14ac:dyDescent="0.25">
      <c r="A87" s="9">
        <v>510</v>
      </c>
      <c r="B87" s="10" t="s">
        <v>148</v>
      </c>
      <c r="C87" s="10" t="str">
        <f>VLOOKUP(Table6[[#This Row],[الكود]],Data[],12,0)</f>
        <v>28503151301255</v>
      </c>
      <c r="D87" s="10" t="str">
        <f>VLOOKUP(Table6[[#This Row],[الكود]],Data[],10,0)</f>
        <v>مصرى</v>
      </c>
      <c r="E87" s="10" t="str">
        <f>VLOOKUP(Table6[[#This Row],[الكود]],Data[],25,0)</f>
        <v>غير مؤمن</v>
      </c>
      <c r="F87" s="63">
        <f>VLOOKUP(Table6[[#This Row],[الكود]],Data[],88,0)</f>
        <v>45852</v>
      </c>
      <c r="G87" s="10"/>
      <c r="H87" s="54">
        <f>_xlfn.IFNA(IF(Table6[[#This Row],[الكود]]="","",VLOOKUP(Table6[[#This Row],[الكود]],Data[],97,0)),"")</f>
        <v>7100</v>
      </c>
      <c r="I87" s="54">
        <f>_xlfn.IFNA(IF(Table6[[#This Row],[الكود]]="","",VLOOKUP(Table6[[#This Row],[الكود]],Data[],99,0)),"")</f>
        <v>5461.54</v>
      </c>
      <c r="J87" s="54">
        <f>_xlfn.IFNA(IF(Table6[[#This Row],[الكود]]="","",VLOOKUP(Table6[[#This Row],[الكود]],Data[],100,0)),"")</f>
        <v>1638.46</v>
      </c>
      <c r="K87" s="54">
        <f>IF(Table6[[#This Row],[الاجر الشامل]]=0,"",I87*11%)</f>
        <v>600.76940000000002</v>
      </c>
      <c r="L87" s="54">
        <f>IF(Table6[[#This Row],[الاجر الشامل]]=0,"",I87*18.75%)</f>
        <v>1024.0387499999999</v>
      </c>
      <c r="M87" s="17" t="str">
        <f>VLOOKUP(Table6[[#This Row],[الكود]],Data[],63,0)</f>
        <v>موجودة</v>
      </c>
      <c r="N87" s="17" t="str">
        <f>VLOOKUP(Table6[[#This Row],[الكود]],Data[],64,0)</f>
        <v>موجودة</v>
      </c>
      <c r="O87" s="17" t="b">
        <f>VLOOKUP(Table6[[#This Row],[الكود]],Data[],65,0)</f>
        <v>1</v>
      </c>
      <c r="P87" s="17" t="b">
        <f>VLOOKUP(Table6[[#This Row],[الكود]],Data[],67,0)</f>
        <v>1</v>
      </c>
      <c r="Q87" s="17"/>
      <c r="R87" s="17" t="b">
        <f>VLOOKUP(Table6[[#This Row],[الكود]],Data[],71,0)</f>
        <v>1</v>
      </c>
      <c r="S87" s="17" t="b">
        <f>VLOOKUP(Table6[[#This Row],[الكود]],Data[],73,0)</f>
        <v>0</v>
      </c>
      <c r="T87" s="41"/>
    </row>
    <row r="88" spans="1:20" ht="16.8" x14ac:dyDescent="0.25">
      <c r="A88" s="9">
        <v>532</v>
      </c>
      <c r="B88" s="10" t="s">
        <v>158</v>
      </c>
      <c r="C88" s="10" t="str">
        <f>VLOOKUP(Table6[[#This Row],[الكود]],Data[],12,0)</f>
        <v>27504051303547</v>
      </c>
      <c r="D88" s="10" t="str">
        <f>VLOOKUP(Table6[[#This Row],[الكود]],Data[],10,0)</f>
        <v>مصرية</v>
      </c>
      <c r="E88" s="10" t="str">
        <f>VLOOKUP(Table6[[#This Row],[الكود]],Data[],25,0)</f>
        <v>غير مؤمن</v>
      </c>
      <c r="F88" s="63">
        <f>VLOOKUP(Table6[[#This Row],[الكود]],Data[],88,0)</f>
        <v>45845</v>
      </c>
      <c r="G88" s="10"/>
      <c r="H88" s="54">
        <f>_xlfn.IFNA(IF(Table6[[#This Row],[الكود]]="","",VLOOKUP(Table6[[#This Row],[الكود]],Data[],97,0)),"")</f>
        <v>7000</v>
      </c>
      <c r="I88" s="54">
        <f>_xlfn.IFNA(IF(Table6[[#This Row],[الكود]]="","",VLOOKUP(Table6[[#This Row],[الكود]],Data[],99,0)),"")</f>
        <v>5384.62</v>
      </c>
      <c r="J88" s="54">
        <f>_xlfn.IFNA(IF(Table6[[#This Row],[الكود]]="","",VLOOKUP(Table6[[#This Row],[الكود]],Data[],100,0)),"")</f>
        <v>1615.38</v>
      </c>
      <c r="K88" s="54">
        <f>IF(Table6[[#This Row],[الاجر الشامل]]=0,"",I88*11%)</f>
        <v>592.30819999999994</v>
      </c>
      <c r="L88" s="54">
        <f>IF(Table6[[#This Row],[الاجر الشامل]]=0,"",I88*18.75%)</f>
        <v>1009.61625</v>
      </c>
      <c r="M88" s="17" t="str">
        <f>VLOOKUP(Table6[[#This Row],[الكود]],Data[],63,0)</f>
        <v>غير موجودة</v>
      </c>
      <c r="N88" s="17" t="str">
        <f>VLOOKUP(Table6[[#This Row],[الكود]],Data[],64,0)</f>
        <v>غير موجودة</v>
      </c>
      <c r="O88" s="17" t="b">
        <f>VLOOKUP(Table6[[#This Row],[الكود]],Data[],65,0)</f>
        <v>1</v>
      </c>
      <c r="P88" s="17" t="b">
        <f>VLOOKUP(Table6[[#This Row],[الكود]],Data[],67,0)</f>
        <v>1</v>
      </c>
      <c r="Q88" s="17"/>
      <c r="R88" s="17" t="b">
        <f>VLOOKUP(Table6[[#This Row],[الكود]],Data[],71,0)</f>
        <v>0</v>
      </c>
      <c r="S88" s="17" t="b">
        <f>VLOOKUP(Table6[[#This Row],[الكود]],Data[],73,0)</f>
        <v>1</v>
      </c>
      <c r="T88" s="41"/>
    </row>
    <row r="89" spans="1:20" ht="16.8" x14ac:dyDescent="0.25">
      <c r="A89" s="9">
        <v>539</v>
      </c>
      <c r="B89" s="10" t="s">
        <v>159</v>
      </c>
      <c r="C89" s="10" t="str">
        <f>VLOOKUP(Table6[[#This Row],[الكود]],Data[],12,0)</f>
        <v>28912231300494</v>
      </c>
      <c r="D89" s="10" t="str">
        <f>VLOOKUP(Table6[[#This Row],[الكود]],Data[],10,0)</f>
        <v>مصرى</v>
      </c>
      <c r="E89" s="10" t="str">
        <f>VLOOKUP(Table6[[#This Row],[الكود]],Data[],25,0)</f>
        <v>غير مؤمن</v>
      </c>
      <c r="F89" s="63">
        <f>VLOOKUP(Table6[[#This Row],[الكود]],Data[],88,0)</f>
        <v>45845</v>
      </c>
      <c r="G89" s="10"/>
      <c r="H89" s="54">
        <f>_xlfn.IFNA(IF(Table6[[#This Row],[الكود]]="","",VLOOKUP(Table6[[#This Row],[الكود]],Data[],97,0)),"")</f>
        <v>7400</v>
      </c>
      <c r="I89" s="54">
        <f>_xlfn.IFNA(IF(Table6[[#This Row],[الكود]]="","",VLOOKUP(Table6[[#This Row],[الكود]],Data[],99,0)),"")</f>
        <v>5692.31</v>
      </c>
      <c r="J89" s="54">
        <f>_xlfn.IFNA(IF(Table6[[#This Row],[الكود]]="","",VLOOKUP(Table6[[#This Row],[الكود]],Data[],100,0)),"")</f>
        <v>1707.69</v>
      </c>
      <c r="K89" s="54">
        <f>IF(Table6[[#This Row],[الاجر الشامل]]=0,"",I89*11%)</f>
        <v>626.15410000000008</v>
      </c>
      <c r="L89" s="54">
        <f>IF(Table6[[#This Row],[الاجر الشامل]]=0,"",I89*18.75%)</f>
        <v>1067.308125</v>
      </c>
      <c r="M89" s="17" t="str">
        <f>VLOOKUP(Table6[[#This Row],[الكود]],Data[],63,0)</f>
        <v>ادى الخدمة</v>
      </c>
      <c r="N89" s="17" t="str">
        <f>VLOOKUP(Table6[[#This Row],[الكود]],Data[],64,0)</f>
        <v>متوسط</v>
      </c>
      <c r="O89" s="17" t="b">
        <f>VLOOKUP(Table6[[#This Row],[الكود]],Data[],65,0)</f>
        <v>1</v>
      </c>
      <c r="P89" s="17" t="b">
        <f>VLOOKUP(Table6[[#This Row],[الكود]],Data[],67,0)</f>
        <v>1</v>
      </c>
      <c r="Q89" s="17"/>
      <c r="R89" s="17" t="b">
        <f>VLOOKUP(Table6[[#This Row],[الكود]],Data[],71,0)</f>
        <v>0</v>
      </c>
      <c r="S89" s="17" t="b">
        <f>VLOOKUP(Table6[[#This Row],[الكود]],Data[],73,0)</f>
        <v>0</v>
      </c>
      <c r="T89" s="41"/>
    </row>
    <row r="90" spans="1:20" ht="16.8" x14ac:dyDescent="0.25">
      <c r="A90" s="9">
        <v>540</v>
      </c>
      <c r="B90" s="10" t="s">
        <v>160</v>
      </c>
      <c r="C90" s="10" t="str">
        <f>VLOOKUP(Table6[[#This Row],[الكود]],Data[],12,0)</f>
        <v>29108151300671</v>
      </c>
      <c r="D90" s="10" t="str">
        <f>VLOOKUP(Table6[[#This Row],[الكود]],Data[],10,0)</f>
        <v>مصرى</v>
      </c>
      <c r="E90" s="10" t="str">
        <f>VLOOKUP(Table6[[#This Row],[الكود]],Data[],25,0)</f>
        <v>غير مؤمن</v>
      </c>
      <c r="F90" s="63">
        <f>VLOOKUP(Table6[[#This Row],[الكود]],Data[],88,0)</f>
        <v>45846</v>
      </c>
      <c r="G90" s="10"/>
      <c r="H90" s="54">
        <f>_xlfn.IFNA(IF(Table6[[#This Row],[الكود]]="","",VLOOKUP(Table6[[#This Row],[الكود]],Data[],97,0)),"")</f>
        <v>7400</v>
      </c>
      <c r="I90" s="54">
        <f>_xlfn.IFNA(IF(Table6[[#This Row],[الكود]]="","",VLOOKUP(Table6[[#This Row],[الكود]],Data[],99,0)),"")</f>
        <v>5692.31</v>
      </c>
      <c r="J90" s="54">
        <f>_xlfn.IFNA(IF(Table6[[#This Row],[الكود]]="","",VLOOKUP(Table6[[#This Row],[الكود]],Data[],100,0)),"")</f>
        <v>1707.69</v>
      </c>
      <c r="K90" s="54">
        <f>IF(Table6[[#This Row],[الاجر الشامل]]=0,"",I90*11%)</f>
        <v>626.15410000000008</v>
      </c>
      <c r="L90" s="54">
        <f>IF(Table6[[#This Row],[الاجر الشامل]]=0,"",I90*18.75%)</f>
        <v>1067.308125</v>
      </c>
      <c r="M90" s="17" t="str">
        <f>VLOOKUP(Table6[[#This Row],[الكود]],Data[],63,0)</f>
        <v>غير موجودة</v>
      </c>
      <c r="N90" s="17" t="str">
        <f>VLOOKUP(Table6[[#This Row],[الكود]],Data[],64,0)</f>
        <v>غير موجودة</v>
      </c>
      <c r="O90" s="17" t="b">
        <f>VLOOKUP(Table6[[#This Row],[الكود]],Data[],65,0)</f>
        <v>1</v>
      </c>
      <c r="P90" s="17" t="b">
        <f>VLOOKUP(Table6[[#This Row],[الكود]],Data[],67,0)</f>
        <v>0</v>
      </c>
      <c r="Q90" s="17"/>
      <c r="R90" s="17" t="b">
        <f>VLOOKUP(Table6[[#This Row],[الكود]],Data[],71,0)</f>
        <v>1</v>
      </c>
      <c r="S90" s="17" t="b">
        <f>VLOOKUP(Table6[[#This Row],[الكود]],Data[],73,0)</f>
        <v>0</v>
      </c>
      <c r="T90" s="41"/>
    </row>
    <row r="91" spans="1:20" ht="16.8" x14ac:dyDescent="0.25">
      <c r="A91" s="9">
        <v>542</v>
      </c>
      <c r="B91" s="10" t="s">
        <v>161</v>
      </c>
      <c r="C91" s="10" t="str">
        <f>VLOOKUP(Table6[[#This Row],[الكود]],Data[],12,0)</f>
        <v>26909210101213</v>
      </c>
      <c r="D91" s="10" t="str">
        <f>VLOOKUP(Table6[[#This Row],[الكود]],Data[],10,0)</f>
        <v>مصرى</v>
      </c>
      <c r="E91" s="10" t="str">
        <f>VLOOKUP(Table6[[#This Row],[الكود]],Data[],25,0)</f>
        <v>غير مؤمن</v>
      </c>
      <c r="F91" s="63">
        <f>VLOOKUP(Table6[[#This Row],[الكود]],Data[],88,0)</f>
        <v>45850</v>
      </c>
      <c r="G91" s="10"/>
      <c r="H91" s="54">
        <f>_xlfn.IFNA(IF(Table6[[#This Row],[الكود]]="","",VLOOKUP(Table6[[#This Row],[الكود]],Data[],97,0)),"")</f>
        <v>7000</v>
      </c>
      <c r="I91" s="54">
        <f>_xlfn.IFNA(IF(Table6[[#This Row],[الكود]]="","",VLOOKUP(Table6[[#This Row],[الكود]],Data[],99,0)),"")</f>
        <v>5384.62</v>
      </c>
      <c r="J91" s="54">
        <f>_xlfn.IFNA(IF(Table6[[#This Row],[الكود]]="","",VLOOKUP(Table6[[#This Row],[الكود]],Data[],100,0)),"")</f>
        <v>1615.38</v>
      </c>
      <c r="K91" s="54">
        <f>IF(Table6[[#This Row],[الاجر الشامل]]=0,"",I91*11%)</f>
        <v>592.30819999999994</v>
      </c>
      <c r="L91" s="54">
        <f>IF(Table6[[#This Row],[الاجر الشامل]]=0,"",I91*18.75%)</f>
        <v>1009.61625</v>
      </c>
      <c r="M91" s="17" t="str">
        <f>VLOOKUP(Table6[[#This Row],[الكود]],Data[],63,0)</f>
        <v>موجودة</v>
      </c>
      <c r="N91" s="17" t="str">
        <f>VLOOKUP(Table6[[#This Row],[الكود]],Data[],64,0)</f>
        <v>غير موجودة</v>
      </c>
      <c r="O91" s="17" t="b">
        <f>VLOOKUP(Table6[[#This Row],[الكود]],Data[],65,0)</f>
        <v>1</v>
      </c>
      <c r="P91" s="17" t="b">
        <f>VLOOKUP(Table6[[#This Row],[الكود]],Data[],67,0)</f>
        <v>0</v>
      </c>
      <c r="Q91" s="17"/>
      <c r="R91" s="17" t="b">
        <f>VLOOKUP(Table6[[#This Row],[الكود]],Data[],71,0)</f>
        <v>1</v>
      </c>
      <c r="S91" s="17" t="b">
        <f>VLOOKUP(Table6[[#This Row],[الكود]],Data[],73,0)</f>
        <v>1</v>
      </c>
      <c r="T91" s="41"/>
    </row>
    <row r="92" spans="1:20" ht="16.8" x14ac:dyDescent="0.25">
      <c r="A92" s="9">
        <v>545</v>
      </c>
      <c r="B92" s="10" t="s">
        <v>162</v>
      </c>
      <c r="C92" s="10" t="str">
        <f>VLOOKUP(Table6[[#This Row],[الكود]],Data[],12,0)</f>
        <v>28103251302536</v>
      </c>
      <c r="D92" s="10" t="str">
        <f>VLOOKUP(Table6[[#This Row],[الكود]],Data[],10,0)</f>
        <v>مصرى</v>
      </c>
      <c r="E92" s="10" t="str">
        <f>VLOOKUP(Table6[[#This Row],[الكود]],Data[],25,0)</f>
        <v>غير مؤمن</v>
      </c>
      <c r="F92" s="63">
        <f>VLOOKUP(Table6[[#This Row],[الكود]],Data[],88,0)</f>
        <v>45840</v>
      </c>
      <c r="G92" s="10"/>
      <c r="H92" s="54">
        <f>_xlfn.IFNA(IF(Table6[[#This Row],[الكود]]="","",VLOOKUP(Table6[[#This Row],[الكود]],Data[],97,0)),"")</f>
        <v>7400</v>
      </c>
      <c r="I92" s="54">
        <f>_xlfn.IFNA(IF(Table6[[#This Row],[الكود]]="","",VLOOKUP(Table6[[#This Row],[الكود]],Data[],99,0)),"")</f>
        <v>5692.31</v>
      </c>
      <c r="J92" s="54">
        <f>_xlfn.IFNA(IF(Table6[[#This Row],[الكود]]="","",VLOOKUP(Table6[[#This Row],[الكود]],Data[],100,0)),"")</f>
        <v>1707.69</v>
      </c>
      <c r="K92" s="54">
        <f>IF(Table6[[#This Row],[الاجر الشامل]]=0,"",I92*11%)</f>
        <v>626.15410000000008</v>
      </c>
      <c r="L92" s="54">
        <f>IF(Table6[[#This Row],[الاجر الشامل]]=0,"",I92*18.75%)</f>
        <v>1067.308125</v>
      </c>
      <c r="M92" s="17" t="str">
        <f>VLOOKUP(Table6[[#This Row],[الكود]],Data[],63,0)</f>
        <v>موجودة</v>
      </c>
      <c r="N92" s="17" t="str">
        <f>VLOOKUP(Table6[[#This Row],[الكود]],Data[],64,0)</f>
        <v>موجودة</v>
      </c>
      <c r="O92" s="17" t="b">
        <f>VLOOKUP(Table6[[#This Row],[الكود]],Data[],65,0)</f>
        <v>1</v>
      </c>
      <c r="P92" s="17" t="b">
        <f>VLOOKUP(Table6[[#This Row],[الكود]],Data[],67,0)</f>
        <v>1</v>
      </c>
      <c r="Q92" s="17"/>
      <c r="R92" s="17" t="b">
        <f>VLOOKUP(Table6[[#This Row],[الكود]],Data[],71,0)</f>
        <v>0</v>
      </c>
      <c r="S92" s="17" t="b">
        <f>VLOOKUP(Table6[[#This Row],[الكود]],Data[],73,0)</f>
        <v>0</v>
      </c>
      <c r="T92" s="41"/>
    </row>
    <row r="93" spans="1:20" ht="16.8" x14ac:dyDescent="0.25">
      <c r="A93" s="9">
        <v>546</v>
      </c>
      <c r="B93" s="10" t="s">
        <v>165</v>
      </c>
      <c r="C93" s="10" t="str">
        <f>VLOOKUP(Table6[[#This Row],[الكود]],Data[],12,0)</f>
        <v>29005271301392</v>
      </c>
      <c r="D93" s="10" t="str">
        <f>VLOOKUP(Table6[[#This Row],[الكود]],Data[],10,0)</f>
        <v>مصرى</v>
      </c>
      <c r="E93" s="10" t="str">
        <f>VLOOKUP(Table6[[#This Row],[الكود]],Data[],25,0)</f>
        <v>غير مؤمن</v>
      </c>
      <c r="F93" s="63">
        <f>VLOOKUP(Table6[[#This Row],[الكود]],Data[],88,0)</f>
        <v>45872</v>
      </c>
      <c r="G93" s="10"/>
      <c r="H93" s="54">
        <f>_xlfn.IFNA(IF(Table6[[#This Row],[الكود]]="","",VLOOKUP(Table6[[#This Row],[الكود]],Data[],97,0)),"")</f>
        <v>8500</v>
      </c>
      <c r="I93" s="54">
        <f>_xlfn.IFNA(IF(Table6[[#This Row],[الكود]]="","",VLOOKUP(Table6[[#This Row],[الكود]],Data[],99,0)),"")</f>
        <v>6538.46</v>
      </c>
      <c r="J93" s="54">
        <f>_xlfn.IFNA(IF(Table6[[#This Row],[الكود]]="","",VLOOKUP(Table6[[#This Row],[الكود]],Data[],100,0)),"")</f>
        <v>1961.54</v>
      </c>
      <c r="K93" s="54">
        <f>IF(Table6[[#This Row],[الاجر الشامل]]=0,"",I93*11%)</f>
        <v>719.23059999999998</v>
      </c>
      <c r="L93" s="54">
        <f>IF(Table6[[#This Row],[الاجر الشامل]]=0,"",I93*18.75%)</f>
        <v>1225.9612500000001</v>
      </c>
      <c r="M93" s="17" t="str">
        <f>VLOOKUP(Table6[[#This Row],[الكود]],Data[],63,0)</f>
        <v>معافى نهائى</v>
      </c>
      <c r="N93" s="17" t="str">
        <f>VLOOKUP(Table6[[#This Row],[الكود]],Data[],64,0)</f>
        <v>مؤهل عالى</v>
      </c>
      <c r="O93" s="17" t="b">
        <f>VLOOKUP(Table6[[#This Row],[الكود]],Data[],65,0)</f>
        <v>1</v>
      </c>
      <c r="P93" s="17" t="b">
        <f>VLOOKUP(Table6[[#This Row],[الكود]],Data[],67,0)</f>
        <v>1</v>
      </c>
      <c r="Q93" s="17"/>
      <c r="R93" s="17" t="b">
        <f>VLOOKUP(Table6[[#This Row],[الكود]],Data[],71,0)</f>
        <v>1</v>
      </c>
      <c r="S93" s="17" t="b">
        <f>VLOOKUP(Table6[[#This Row],[الكود]],Data[],73,0)</f>
        <v>0</v>
      </c>
      <c r="T93" s="41"/>
    </row>
    <row r="94" spans="1:20" ht="16.8" x14ac:dyDescent="0.25">
      <c r="A94" s="9">
        <v>550</v>
      </c>
      <c r="B94" s="10" t="s">
        <v>167</v>
      </c>
      <c r="C94" s="10" t="str">
        <f>VLOOKUP(Table6[[#This Row],[الكود]],Data[],12,0)</f>
        <v>28406281300697</v>
      </c>
      <c r="D94" s="10" t="str">
        <f>VLOOKUP(Table6[[#This Row],[الكود]],Data[],10,0)</f>
        <v>مصرى</v>
      </c>
      <c r="E94" s="10" t="str">
        <f>VLOOKUP(Table6[[#This Row],[الكود]],Data[],25,0)</f>
        <v>غير مؤمن</v>
      </c>
      <c r="F94" s="63">
        <f>VLOOKUP(Table6[[#This Row],[الكود]],Data[],88,0)</f>
        <v>0</v>
      </c>
      <c r="G94" s="10"/>
      <c r="H94" s="54">
        <f>_xlfn.IFNA(IF(Table6[[#This Row],[الكود]]="","",VLOOKUP(Table6[[#This Row],[الكود]],Data[],97,0)),"")</f>
        <v>0</v>
      </c>
      <c r="I94" s="54">
        <f>_xlfn.IFNA(IF(Table6[[#This Row],[الكود]]="","",VLOOKUP(Table6[[#This Row],[الكود]],Data[],99,0)),"")</f>
        <v>0</v>
      </c>
      <c r="J94" s="54">
        <f>_xlfn.IFNA(IF(Table6[[#This Row],[الكود]]="","",VLOOKUP(Table6[[#This Row],[الكود]],Data[],100,0)),"")</f>
        <v>0</v>
      </c>
      <c r="K94" s="54" t="str">
        <f>IF(Table6[[#This Row],[الاجر الشامل]]=0,"",I94*11%)</f>
        <v/>
      </c>
      <c r="L94" s="54" t="str">
        <f>IF(Table6[[#This Row],[الاجر الشامل]]=0,"",I94*18.75%)</f>
        <v/>
      </c>
      <c r="M94" s="17" t="str">
        <f>VLOOKUP(Table6[[#This Row],[الكود]],Data[],63,0)</f>
        <v>غير موجودة</v>
      </c>
      <c r="N94" s="17" t="str">
        <f>VLOOKUP(Table6[[#This Row],[الكود]],Data[],64,0)</f>
        <v>غير موجودة</v>
      </c>
      <c r="O94" s="17" t="b">
        <f>VLOOKUP(Table6[[#This Row],[الكود]],Data[],65,0)</f>
        <v>0</v>
      </c>
      <c r="P94" s="17" t="b">
        <f>VLOOKUP(Table6[[#This Row],[الكود]],Data[],67,0)</f>
        <v>0</v>
      </c>
      <c r="Q94" s="17"/>
      <c r="R94" s="17" t="b">
        <f>VLOOKUP(Table6[[#This Row],[الكود]],Data[],71,0)</f>
        <v>0</v>
      </c>
      <c r="S94" s="17" t="b">
        <f>VLOOKUP(Table6[[#This Row],[الكود]],Data[],73,0)</f>
        <v>0</v>
      </c>
      <c r="T94" s="41"/>
    </row>
    <row r="95" spans="1:20" ht="16.8" x14ac:dyDescent="0.25">
      <c r="A95" s="9">
        <v>556</v>
      </c>
      <c r="B95" s="10" t="s">
        <v>168</v>
      </c>
      <c r="C95" s="10" t="str">
        <f>VLOOKUP(Table6[[#This Row],[الكود]],Data[],12,0)</f>
        <v>28801121303181</v>
      </c>
      <c r="D95" s="10" t="str">
        <f>VLOOKUP(Table6[[#This Row],[الكود]],Data[],10,0)</f>
        <v>مصرية</v>
      </c>
      <c r="E95" s="10" t="str">
        <f>VLOOKUP(Table6[[#This Row],[الكود]],Data[],25,0)</f>
        <v>غير مؤمن</v>
      </c>
      <c r="F95" s="63">
        <f>VLOOKUP(Table6[[#This Row],[الكود]],Data[],88,0)</f>
        <v>45846</v>
      </c>
      <c r="G95" s="10"/>
      <c r="H95" s="54">
        <f>_xlfn.IFNA(IF(Table6[[#This Row],[الكود]]="","",VLOOKUP(Table6[[#This Row],[الكود]],Data[],97,0)),"")</f>
        <v>7000</v>
      </c>
      <c r="I95" s="54">
        <f>_xlfn.IFNA(IF(Table6[[#This Row],[الكود]]="","",VLOOKUP(Table6[[#This Row],[الكود]],Data[],99,0)),"")</f>
        <v>5384.62</v>
      </c>
      <c r="J95" s="54">
        <f>_xlfn.IFNA(IF(Table6[[#This Row],[الكود]]="","",VLOOKUP(Table6[[#This Row],[الكود]],Data[],100,0)),"")</f>
        <v>1615.38</v>
      </c>
      <c r="K95" s="54">
        <f>IF(Table6[[#This Row],[الاجر الشامل]]=0,"",I95*11%)</f>
        <v>592.30819999999994</v>
      </c>
      <c r="L95" s="54">
        <f>IF(Table6[[#This Row],[الاجر الشامل]]=0,"",I95*18.75%)</f>
        <v>1009.61625</v>
      </c>
      <c r="M95" s="17" t="str">
        <f>VLOOKUP(Table6[[#This Row],[الكود]],Data[],63,0)</f>
        <v>غير موجودة</v>
      </c>
      <c r="N95" s="17" t="str">
        <f>VLOOKUP(Table6[[#This Row],[الكود]],Data[],64,0)</f>
        <v>موجودة</v>
      </c>
      <c r="O95" s="17" t="b">
        <f>VLOOKUP(Table6[[#This Row],[الكود]],Data[],65,0)</f>
        <v>1</v>
      </c>
      <c r="P95" s="17" t="b">
        <f>VLOOKUP(Table6[[#This Row],[الكود]],Data[],67,0)</f>
        <v>1</v>
      </c>
      <c r="Q95" s="17"/>
      <c r="R95" s="17" t="b">
        <f>VLOOKUP(Table6[[#This Row],[الكود]],Data[],71,0)</f>
        <v>1</v>
      </c>
      <c r="S95" s="17" t="b">
        <f>VLOOKUP(Table6[[#This Row],[الكود]],Data[],73,0)</f>
        <v>1</v>
      </c>
      <c r="T95" s="41"/>
    </row>
    <row r="96" spans="1:20" ht="16.8" x14ac:dyDescent="0.25">
      <c r="A96" s="9">
        <v>557</v>
      </c>
      <c r="B96" s="10" t="s">
        <v>169</v>
      </c>
      <c r="C96" s="10" t="str">
        <f>VLOOKUP(Table6[[#This Row],[الكود]],Data[],12,0)</f>
        <v>29510051300197</v>
      </c>
      <c r="D96" s="10" t="str">
        <f>VLOOKUP(Table6[[#This Row],[الكود]],Data[],10,0)</f>
        <v>مصرى</v>
      </c>
      <c r="E96" s="10" t="str">
        <f>VLOOKUP(Table6[[#This Row],[الكود]],Data[],25,0)</f>
        <v>غير مؤمن</v>
      </c>
      <c r="F96" s="63">
        <f>VLOOKUP(Table6[[#This Row],[الكود]],Data[],88,0)</f>
        <v>1</v>
      </c>
      <c r="G96" s="10"/>
      <c r="H96" s="54">
        <f>_xlfn.IFNA(IF(Table6[[#This Row],[الكود]]="","",VLOOKUP(Table6[[#This Row],[الكود]],Data[],97,0)),"")</f>
        <v>7300</v>
      </c>
      <c r="I96" s="54">
        <f>_xlfn.IFNA(IF(Table6[[#This Row],[الكود]]="","",VLOOKUP(Table6[[#This Row],[الكود]],Data[],99,0)),"")</f>
        <v>5615.38</v>
      </c>
      <c r="J96" s="54">
        <f>_xlfn.IFNA(IF(Table6[[#This Row],[الكود]]="","",VLOOKUP(Table6[[#This Row],[الكود]],Data[],100,0)),"")</f>
        <v>1684.62</v>
      </c>
      <c r="K96" s="54">
        <f>IF(Table6[[#This Row],[الاجر الشامل]]=0,"",I96*11%)</f>
        <v>617.69180000000006</v>
      </c>
      <c r="L96" s="54">
        <f>IF(Table6[[#This Row],[الاجر الشامل]]=0,"",I96*18.75%)</f>
        <v>1052.88375</v>
      </c>
      <c r="M96" s="17" t="str">
        <f>VLOOKUP(Table6[[#This Row],[الكود]],Data[],63,0)</f>
        <v>موجودة</v>
      </c>
      <c r="N96" s="17" t="str">
        <f>VLOOKUP(Table6[[#This Row],[الكود]],Data[],64,0)</f>
        <v>موجودة</v>
      </c>
      <c r="O96" s="17" t="b">
        <f>VLOOKUP(Table6[[#This Row],[الكود]],Data[],65,0)</f>
        <v>1</v>
      </c>
      <c r="P96" s="17" t="b">
        <f>VLOOKUP(Table6[[#This Row],[الكود]],Data[],67,0)</f>
        <v>1</v>
      </c>
      <c r="Q96" s="17"/>
      <c r="R96" s="17" t="b">
        <f>VLOOKUP(Table6[[#This Row],[الكود]],Data[],71,0)</f>
        <v>1</v>
      </c>
      <c r="S96" s="17" t="b">
        <f>VLOOKUP(Table6[[#This Row],[الكود]],Data[],73,0)</f>
        <v>1</v>
      </c>
      <c r="T96" s="41"/>
    </row>
    <row r="97" spans="1:20" ht="16.8" x14ac:dyDescent="0.25">
      <c r="A97" s="9">
        <v>558</v>
      </c>
      <c r="B97" s="10" t="s">
        <v>171</v>
      </c>
      <c r="C97" s="10" t="str">
        <f>VLOOKUP(Table6[[#This Row],[الكود]],Data[],12,0)</f>
        <v>29605161300134</v>
      </c>
      <c r="D97" s="10" t="str">
        <f>VLOOKUP(Table6[[#This Row],[الكود]],Data[],10,0)</f>
        <v>مصرى</v>
      </c>
      <c r="E97" s="10" t="str">
        <f>VLOOKUP(Table6[[#This Row],[الكود]],Data[],25,0)</f>
        <v>غير مؤمن</v>
      </c>
      <c r="F97" s="63">
        <f>VLOOKUP(Table6[[#This Row],[الكود]],Data[],88,0)</f>
        <v>45843</v>
      </c>
      <c r="G97" s="10"/>
      <c r="H97" s="54">
        <f>_xlfn.IFNA(IF(Table6[[#This Row],[الكود]]="","",VLOOKUP(Table6[[#This Row],[الكود]],Data[],97,0)),"")</f>
        <v>7300</v>
      </c>
      <c r="I97" s="54">
        <f>_xlfn.IFNA(IF(Table6[[#This Row],[الكود]]="","",VLOOKUP(Table6[[#This Row],[الكود]],Data[],99,0)),"")</f>
        <v>5615.38</v>
      </c>
      <c r="J97" s="54">
        <f>_xlfn.IFNA(IF(Table6[[#This Row],[الكود]]="","",VLOOKUP(Table6[[#This Row],[الكود]],Data[],100,0)),"")</f>
        <v>1684.62</v>
      </c>
      <c r="K97" s="54">
        <f>IF(Table6[[#This Row],[الاجر الشامل]]=0,"",I97*11%)</f>
        <v>617.69180000000006</v>
      </c>
      <c r="L97" s="54">
        <f>IF(Table6[[#This Row],[الاجر الشامل]]=0,"",I97*18.75%)</f>
        <v>1052.88375</v>
      </c>
      <c r="M97" s="17" t="str">
        <f>VLOOKUP(Table6[[#This Row],[الكود]],Data[],63,0)</f>
        <v>موجودة</v>
      </c>
      <c r="N97" s="17" t="str">
        <f>VLOOKUP(Table6[[#This Row],[الكود]],Data[],64,0)</f>
        <v>متوسط</v>
      </c>
      <c r="O97" s="17" t="b">
        <f>VLOOKUP(Table6[[#This Row],[الكود]],Data[],65,0)</f>
        <v>1</v>
      </c>
      <c r="P97" s="17" t="b">
        <f>VLOOKUP(Table6[[#This Row],[الكود]],Data[],67,0)</f>
        <v>1</v>
      </c>
      <c r="Q97" s="17"/>
      <c r="R97" s="17" t="b">
        <f>VLOOKUP(Table6[[#This Row],[الكود]],Data[],71,0)</f>
        <v>1</v>
      </c>
      <c r="S97" s="17" t="b">
        <f>VLOOKUP(Table6[[#This Row],[الكود]],Data[],73,0)</f>
        <v>1</v>
      </c>
      <c r="T97" s="41"/>
    </row>
    <row r="98" spans="1:20" ht="16.8" x14ac:dyDescent="0.25">
      <c r="A98" s="9">
        <v>571</v>
      </c>
      <c r="B98" s="10" t="s">
        <v>175</v>
      </c>
      <c r="C98" s="10" t="str">
        <f>VLOOKUP(Table6[[#This Row],[الكود]],Data[],12,0)</f>
        <v>29803181300243</v>
      </c>
      <c r="D98" s="10" t="str">
        <f>VLOOKUP(Table6[[#This Row],[الكود]],Data[],10,0)</f>
        <v>مصرى</v>
      </c>
      <c r="E98" s="10" t="str">
        <f>VLOOKUP(Table6[[#This Row],[الكود]],Data[],25,0)</f>
        <v>غير مؤمن</v>
      </c>
      <c r="F98" s="63">
        <f>VLOOKUP(Table6[[#This Row],[الكود]],Data[],88,0)</f>
        <v>1</v>
      </c>
      <c r="G98" s="10"/>
      <c r="H98" s="54">
        <f>_xlfn.IFNA(IF(Table6[[#This Row],[الكود]]="","",VLOOKUP(Table6[[#This Row],[الكود]],Data[],97,0)),"")</f>
        <v>7300</v>
      </c>
      <c r="I98" s="54">
        <f>_xlfn.IFNA(IF(Table6[[#This Row],[الكود]]="","",VLOOKUP(Table6[[#This Row],[الكود]],Data[],99,0)),"")</f>
        <v>5615.38</v>
      </c>
      <c r="J98" s="54">
        <f>_xlfn.IFNA(IF(Table6[[#This Row],[الكود]]="","",VLOOKUP(Table6[[#This Row],[الكود]],Data[],100,0)),"")</f>
        <v>1684.62</v>
      </c>
      <c r="K98" s="54">
        <f>IF(Table6[[#This Row],[الاجر الشامل]]=0,"",I98*11%)</f>
        <v>617.69180000000006</v>
      </c>
      <c r="L98" s="54">
        <f>IF(Table6[[#This Row],[الاجر الشامل]]=0,"",I98*18.75%)</f>
        <v>1052.88375</v>
      </c>
      <c r="M98" s="17" t="str">
        <f>VLOOKUP(Table6[[#This Row],[الكود]],Data[],63,0)</f>
        <v>ادى الخدمة</v>
      </c>
      <c r="N98" s="17" t="str">
        <f>VLOOKUP(Table6[[#This Row],[الكود]],Data[],64,0)</f>
        <v/>
      </c>
      <c r="O98" s="17" t="b">
        <f>VLOOKUP(Table6[[#This Row],[الكود]],Data[],65,0)</f>
        <v>1</v>
      </c>
      <c r="P98" s="17" t="b">
        <f>VLOOKUP(Table6[[#This Row],[الكود]],Data[],67,0)</f>
        <v>1</v>
      </c>
      <c r="Q98" s="17"/>
      <c r="R98" s="17" t="b">
        <f>VLOOKUP(Table6[[#This Row],[الكود]],Data[],71,0)</f>
        <v>1</v>
      </c>
      <c r="S98" s="17" t="b">
        <f>VLOOKUP(Table6[[#This Row],[الكود]],Data[],73,0)</f>
        <v>1</v>
      </c>
      <c r="T98" s="41"/>
    </row>
    <row r="99" spans="1:20" ht="16.8" x14ac:dyDescent="0.25">
      <c r="A99" s="9">
        <v>606</v>
      </c>
      <c r="B99" s="10" t="s">
        <v>176</v>
      </c>
      <c r="C99" s="10" t="str">
        <f>VLOOKUP(Table6[[#This Row],[الكود]],Data[],12,0)</f>
        <v>27911061304546</v>
      </c>
      <c r="D99" s="10" t="str">
        <f>VLOOKUP(Table6[[#This Row],[الكود]],Data[],10,0)</f>
        <v>مصرية</v>
      </c>
      <c r="E99" s="10" t="str">
        <f>VLOOKUP(Table6[[#This Row],[الكود]],Data[],25,0)</f>
        <v>غير مؤمن</v>
      </c>
      <c r="F99" s="63">
        <f>VLOOKUP(Table6[[#This Row],[الكود]],Data[],88,0)</f>
        <v>45851</v>
      </c>
      <c r="G99" s="10"/>
      <c r="H99" s="54">
        <f>_xlfn.IFNA(IF(Table6[[#This Row],[الكود]]="","",VLOOKUP(Table6[[#This Row],[الكود]],Data[],97,0)),"")</f>
        <v>7000</v>
      </c>
      <c r="I99" s="54">
        <f>_xlfn.IFNA(IF(Table6[[#This Row],[الكود]]="","",VLOOKUP(Table6[[#This Row],[الكود]],Data[],99,0)),"")</f>
        <v>5384.62</v>
      </c>
      <c r="J99" s="54">
        <f>_xlfn.IFNA(IF(Table6[[#This Row],[الكود]]="","",VLOOKUP(Table6[[#This Row],[الكود]],Data[],100,0)),"")</f>
        <v>1615.38</v>
      </c>
      <c r="K99" s="54">
        <f>IF(Table6[[#This Row],[الاجر الشامل]]=0,"",I99*11%)</f>
        <v>592.30819999999994</v>
      </c>
      <c r="L99" s="54">
        <f>IF(Table6[[#This Row],[الاجر الشامل]]=0,"",I99*18.75%)</f>
        <v>1009.61625</v>
      </c>
      <c r="M99" s="17" t="str">
        <f>VLOOKUP(Table6[[#This Row],[الكود]],Data[],63,0)</f>
        <v>غير موجودة</v>
      </c>
      <c r="N99" s="17" t="str">
        <f>VLOOKUP(Table6[[#This Row],[الكود]],Data[],64,0)</f>
        <v>غير موجودة</v>
      </c>
      <c r="O99" s="17" t="b">
        <f>VLOOKUP(Table6[[#This Row],[الكود]],Data[],65,0)</f>
        <v>1</v>
      </c>
      <c r="P99" s="17" t="b">
        <f>VLOOKUP(Table6[[#This Row],[الكود]],Data[],67,0)</f>
        <v>1</v>
      </c>
      <c r="Q99" s="17"/>
      <c r="R99" s="17" t="b">
        <f>VLOOKUP(Table6[[#This Row],[الكود]],Data[],71,0)</f>
        <v>1</v>
      </c>
      <c r="S99" s="17" t="b">
        <f>VLOOKUP(Table6[[#This Row],[الكود]],Data[],73,0)</f>
        <v>0</v>
      </c>
      <c r="T99" s="41"/>
    </row>
    <row r="100" spans="1:20" ht="16.8" x14ac:dyDescent="0.25">
      <c r="A100" s="9">
        <v>613</v>
      </c>
      <c r="B100" s="10" t="s">
        <v>177</v>
      </c>
      <c r="C100" s="10" t="str">
        <f>VLOOKUP(Table6[[#This Row],[الكود]],Data[],12,0)</f>
        <v>28909021304933</v>
      </c>
      <c r="D100" s="10" t="str">
        <f>VLOOKUP(Table6[[#This Row],[الكود]],Data[],10,0)</f>
        <v>مصرى</v>
      </c>
      <c r="E100" s="10" t="str">
        <f>VLOOKUP(Table6[[#This Row],[الكود]],Data[],25,0)</f>
        <v>غير مؤمن</v>
      </c>
      <c r="F100" s="63">
        <f>VLOOKUP(Table6[[#This Row],[الكود]],Data[],88,0)</f>
        <v>45843</v>
      </c>
      <c r="G100" s="10"/>
      <c r="H100" s="54">
        <f>_xlfn.IFNA(IF(Table6[[#This Row],[الكود]]="","",VLOOKUP(Table6[[#This Row],[الكود]],Data[],97,0)),"")</f>
        <v>7500</v>
      </c>
      <c r="I100" s="54">
        <f>_xlfn.IFNA(IF(Table6[[#This Row],[الكود]]="","",VLOOKUP(Table6[[#This Row],[الكود]],Data[],99,0)),"")</f>
        <v>5769.23</v>
      </c>
      <c r="J100" s="54">
        <f>_xlfn.IFNA(IF(Table6[[#This Row],[الكود]]="","",VLOOKUP(Table6[[#This Row],[الكود]],Data[],100,0)),"")</f>
        <v>1730.77</v>
      </c>
      <c r="K100" s="54">
        <f>IF(Table6[[#This Row],[الاجر الشامل]]=0,"",I100*11%)</f>
        <v>634.61529999999993</v>
      </c>
      <c r="L100" s="54">
        <f>IF(Table6[[#This Row],[الاجر الشامل]]=0,"",I100*18.75%)</f>
        <v>1081.7306249999999</v>
      </c>
      <c r="M100" s="17" t="str">
        <f>VLOOKUP(Table6[[#This Row],[الكود]],Data[],63,0)</f>
        <v>موجودة</v>
      </c>
      <c r="N100" s="17" t="str">
        <f>VLOOKUP(Table6[[#This Row],[الكود]],Data[],64,0)</f>
        <v>صورة عالى</v>
      </c>
      <c r="O100" s="17" t="b">
        <f>VLOOKUP(Table6[[#This Row],[الكود]],Data[],65,0)</f>
        <v>1</v>
      </c>
      <c r="P100" s="17" t="b">
        <f>VLOOKUP(Table6[[#This Row],[الكود]],Data[],67,0)</f>
        <v>1</v>
      </c>
      <c r="Q100" s="17"/>
      <c r="R100" s="17" t="b">
        <f>VLOOKUP(Table6[[#This Row],[الكود]],Data[],71,0)</f>
        <v>1</v>
      </c>
      <c r="S100" s="17" t="b">
        <f>VLOOKUP(Table6[[#This Row],[الكود]],Data[],73,0)</f>
        <v>0</v>
      </c>
      <c r="T100" s="41"/>
    </row>
    <row r="101" spans="1:20" ht="16.8" x14ac:dyDescent="0.25">
      <c r="A101" s="9">
        <v>615</v>
      </c>
      <c r="B101" s="10" t="s">
        <v>178</v>
      </c>
      <c r="C101" s="10" t="str">
        <f>VLOOKUP(Table6[[#This Row],[الكود]],Data[],12,0)</f>
        <v>29301011509435</v>
      </c>
      <c r="D101" s="10" t="str">
        <f>VLOOKUP(Table6[[#This Row],[الكود]],Data[],10,0)</f>
        <v>مصرى</v>
      </c>
      <c r="E101" s="10" t="str">
        <f>VLOOKUP(Table6[[#This Row],[الكود]],Data[],25,0)</f>
        <v>غير مؤمن</v>
      </c>
      <c r="F101" s="63">
        <f>VLOOKUP(Table6[[#This Row],[الكود]],Data[],88,0)</f>
        <v>45845</v>
      </c>
      <c r="G101" s="10"/>
      <c r="H101" s="54">
        <f>_xlfn.IFNA(IF(Table6[[#This Row],[الكود]]="","",VLOOKUP(Table6[[#This Row],[الكود]],Data[],97,0)),"")</f>
        <v>7500</v>
      </c>
      <c r="I101" s="54">
        <f>_xlfn.IFNA(IF(Table6[[#This Row],[الكود]]="","",VLOOKUP(Table6[[#This Row],[الكود]],Data[],99,0)),"")</f>
        <v>5769.23</v>
      </c>
      <c r="J101" s="54">
        <f>_xlfn.IFNA(IF(Table6[[#This Row],[الكود]]="","",VLOOKUP(Table6[[#This Row],[الكود]],Data[],100,0)),"")</f>
        <v>1730.77</v>
      </c>
      <c r="K101" s="54">
        <f>IF(Table6[[#This Row],[الاجر الشامل]]=0,"",I101*11%)</f>
        <v>634.61529999999993</v>
      </c>
      <c r="L101" s="54">
        <f>IF(Table6[[#This Row],[الاجر الشامل]]=0,"",I101*18.75%)</f>
        <v>1081.7306249999999</v>
      </c>
      <c r="M101" s="17" t="str">
        <f>VLOOKUP(Table6[[#This Row],[الكود]],Data[],63,0)</f>
        <v>ادى الخدمة</v>
      </c>
      <c r="N101" s="17" t="str">
        <f>VLOOKUP(Table6[[#This Row],[الكود]],Data[],64,0)</f>
        <v>عالى</v>
      </c>
      <c r="O101" s="17" t="b">
        <f>VLOOKUP(Table6[[#This Row],[الكود]],Data[],65,0)</f>
        <v>1</v>
      </c>
      <c r="P101" s="17" t="b">
        <f>VLOOKUP(Table6[[#This Row],[الكود]],Data[],67,0)</f>
        <v>1</v>
      </c>
      <c r="Q101" s="17"/>
      <c r="R101" s="17" t="b">
        <f>VLOOKUP(Table6[[#This Row],[الكود]],Data[],71,0)</f>
        <v>0</v>
      </c>
      <c r="S101" s="17" t="b">
        <f>VLOOKUP(Table6[[#This Row],[الكود]],Data[],73,0)</f>
        <v>0</v>
      </c>
      <c r="T101" s="41"/>
    </row>
    <row r="102" spans="1:20" ht="16.8" x14ac:dyDescent="0.25">
      <c r="A102" s="9">
        <v>617</v>
      </c>
      <c r="B102" s="10" t="s">
        <v>179</v>
      </c>
      <c r="C102" s="10" t="str">
        <f>VLOOKUP(Table6[[#This Row],[الكود]],Data[],12,0)</f>
        <v>29602011301435</v>
      </c>
      <c r="D102" s="10" t="str">
        <f>VLOOKUP(Table6[[#This Row],[الكود]],Data[],10,0)</f>
        <v>مصرى</v>
      </c>
      <c r="E102" s="10" t="str">
        <f>VLOOKUP(Table6[[#This Row],[الكود]],Data[],25,0)</f>
        <v>غير مؤمن</v>
      </c>
      <c r="F102" s="63">
        <f>VLOOKUP(Table6[[#This Row],[الكود]],Data[],88,0)</f>
        <v>45839</v>
      </c>
      <c r="G102" s="10"/>
      <c r="H102" s="54">
        <f>_xlfn.IFNA(IF(Table6[[#This Row],[الكود]]="","",VLOOKUP(Table6[[#This Row],[الكود]],Data[],97,0)),"")</f>
        <v>7400</v>
      </c>
      <c r="I102" s="54">
        <f>_xlfn.IFNA(IF(Table6[[#This Row],[الكود]]="","",VLOOKUP(Table6[[#This Row],[الكود]],Data[],99,0)),"")</f>
        <v>5692.31</v>
      </c>
      <c r="J102" s="54">
        <f>_xlfn.IFNA(IF(Table6[[#This Row],[الكود]]="","",VLOOKUP(Table6[[#This Row],[الكود]],Data[],100,0)),"")</f>
        <v>1707.69</v>
      </c>
      <c r="K102" s="54">
        <f>IF(Table6[[#This Row],[الاجر الشامل]]=0,"",I102*11%)</f>
        <v>626.15410000000008</v>
      </c>
      <c r="L102" s="54">
        <f>IF(Table6[[#This Row],[الاجر الشامل]]=0,"",I102*18.75%)</f>
        <v>1067.308125</v>
      </c>
      <c r="M102" s="17" t="str">
        <f>VLOOKUP(Table6[[#This Row],[الكود]],Data[],63,0)</f>
        <v>موجودة</v>
      </c>
      <c r="N102" s="17" t="str">
        <f>VLOOKUP(Table6[[#This Row],[الكود]],Data[],64,0)</f>
        <v>موجودة</v>
      </c>
      <c r="O102" s="17" t="b">
        <f>VLOOKUP(Table6[[#This Row],[الكود]],Data[],65,0)</f>
        <v>1</v>
      </c>
      <c r="P102" s="17" t="b">
        <f>VLOOKUP(Table6[[#This Row],[الكود]],Data[],67,0)</f>
        <v>1</v>
      </c>
      <c r="Q102" s="17"/>
      <c r="R102" s="17" t="b">
        <f>VLOOKUP(Table6[[#This Row],[الكود]],Data[],71,0)</f>
        <v>1</v>
      </c>
      <c r="S102" s="17" t="b">
        <f>VLOOKUP(Table6[[#This Row],[الكود]],Data[],73,0)</f>
        <v>0</v>
      </c>
      <c r="T102" s="41"/>
    </row>
    <row r="103" spans="1:20" ht="16.8" x14ac:dyDescent="0.25">
      <c r="A103" s="9">
        <v>620</v>
      </c>
      <c r="B103" s="10" t="s">
        <v>181</v>
      </c>
      <c r="C103" s="10" t="str">
        <f>VLOOKUP(Table6[[#This Row],[الكود]],Data[],12,0)</f>
        <v>28708201801417</v>
      </c>
      <c r="D103" s="10" t="str">
        <f>VLOOKUP(Table6[[#This Row],[الكود]],Data[],10,0)</f>
        <v>مصرى</v>
      </c>
      <c r="E103" s="10" t="str">
        <f>VLOOKUP(Table6[[#This Row],[الكود]],Data[],25,0)</f>
        <v>غير مؤمن</v>
      </c>
      <c r="F103" s="63">
        <f>VLOOKUP(Table6[[#This Row],[الكود]],Data[],88,0)</f>
        <v>45783</v>
      </c>
      <c r="G103" s="10"/>
      <c r="H103" s="54">
        <f>_xlfn.IFNA(IF(Table6[[#This Row],[الكود]]="","",VLOOKUP(Table6[[#This Row],[الكود]],Data[],97,0)),"")</f>
        <v>7400</v>
      </c>
      <c r="I103" s="54">
        <f>_xlfn.IFNA(IF(Table6[[#This Row],[الكود]]="","",VLOOKUP(Table6[[#This Row],[الكود]],Data[],99,0)),"")</f>
        <v>5692.31</v>
      </c>
      <c r="J103" s="54">
        <f>_xlfn.IFNA(IF(Table6[[#This Row],[الكود]]="","",VLOOKUP(Table6[[#This Row],[الكود]],Data[],100,0)),"")</f>
        <v>1707.69</v>
      </c>
      <c r="K103" s="54">
        <f>IF(Table6[[#This Row],[الاجر الشامل]]=0,"",I103*11%)</f>
        <v>626.15410000000008</v>
      </c>
      <c r="L103" s="54">
        <f>IF(Table6[[#This Row],[الاجر الشامل]]=0,"",I103*18.75%)</f>
        <v>1067.308125</v>
      </c>
      <c r="M103" s="17" t="str">
        <f>VLOOKUP(Table6[[#This Row],[الكود]],Data[],63,0)</f>
        <v>معافى نهائي</v>
      </c>
      <c r="N103" s="17" t="str">
        <f>VLOOKUP(Table6[[#This Row],[الكود]],Data[],64,0)</f>
        <v>عالى</v>
      </c>
      <c r="O103" s="17" t="b">
        <f>VLOOKUP(Table6[[#This Row],[الكود]],Data[],65,0)</f>
        <v>1</v>
      </c>
      <c r="P103" s="17" t="b">
        <f>VLOOKUP(Table6[[#This Row],[الكود]],Data[],67,0)</f>
        <v>1</v>
      </c>
      <c r="Q103" s="17"/>
      <c r="R103" s="17" t="b">
        <f>VLOOKUP(Table6[[#This Row],[الكود]],Data[],71,0)</f>
        <v>1</v>
      </c>
      <c r="S103" s="17" t="b">
        <f>VLOOKUP(Table6[[#This Row],[الكود]],Data[],73,0)</f>
        <v>1</v>
      </c>
      <c r="T103" s="41"/>
    </row>
    <row r="104" spans="1:20" ht="16.8" x14ac:dyDescent="0.25">
      <c r="A104" s="9">
        <v>621</v>
      </c>
      <c r="B104" s="10" t="s">
        <v>182</v>
      </c>
      <c r="C104" s="10" t="str">
        <f>VLOOKUP(Table6[[#This Row],[الكود]],Data[],12,0)</f>
        <v>29506201301491</v>
      </c>
      <c r="D104" s="10" t="str">
        <f>VLOOKUP(Table6[[#This Row],[الكود]],Data[],10,0)</f>
        <v>مصرى</v>
      </c>
      <c r="E104" s="10" t="str">
        <f>VLOOKUP(Table6[[#This Row],[الكود]],Data[],25,0)</f>
        <v>غير مؤمن</v>
      </c>
      <c r="F104" s="63">
        <f>VLOOKUP(Table6[[#This Row],[الكود]],Data[],88,0)</f>
        <v>45846</v>
      </c>
      <c r="G104" s="10"/>
      <c r="H104" s="54">
        <f>_xlfn.IFNA(IF(Table6[[#This Row],[الكود]]="","",VLOOKUP(Table6[[#This Row],[الكود]],Data[],97,0)),"")</f>
        <v>7300</v>
      </c>
      <c r="I104" s="54">
        <f>_xlfn.IFNA(IF(Table6[[#This Row],[الكود]]="","",VLOOKUP(Table6[[#This Row],[الكود]],Data[],99,0)),"")</f>
        <v>5615.38</v>
      </c>
      <c r="J104" s="54">
        <f>_xlfn.IFNA(IF(Table6[[#This Row],[الكود]]="","",VLOOKUP(Table6[[#This Row],[الكود]],Data[],100,0)),"")</f>
        <v>1684.62</v>
      </c>
      <c r="K104" s="54">
        <f>IF(Table6[[#This Row],[الاجر الشامل]]=0,"",I104*11%)</f>
        <v>617.69180000000006</v>
      </c>
      <c r="L104" s="54">
        <f>IF(Table6[[#This Row],[الاجر الشامل]]=0,"",I104*18.75%)</f>
        <v>1052.88375</v>
      </c>
      <c r="M104" s="17" t="str">
        <f>VLOOKUP(Table6[[#This Row],[الكود]],Data[],63,0)</f>
        <v>موجودة</v>
      </c>
      <c r="N104" s="17" t="str">
        <f>VLOOKUP(Table6[[#This Row],[الكود]],Data[],64,0)</f>
        <v>موجودة</v>
      </c>
      <c r="O104" s="17" t="b">
        <f>VLOOKUP(Table6[[#This Row],[الكود]],Data[],65,0)</f>
        <v>1</v>
      </c>
      <c r="P104" s="17" t="b">
        <f>VLOOKUP(Table6[[#This Row],[الكود]],Data[],67,0)</f>
        <v>1</v>
      </c>
      <c r="Q104" s="17"/>
      <c r="R104" s="17" t="b">
        <f>VLOOKUP(Table6[[#This Row],[الكود]],Data[],71,0)</f>
        <v>0</v>
      </c>
      <c r="S104" s="17" t="b">
        <f>VLOOKUP(Table6[[#This Row],[الكود]],Data[],73,0)</f>
        <v>1</v>
      </c>
      <c r="T104" s="41"/>
    </row>
    <row r="105" spans="1:20" ht="16.8" x14ac:dyDescent="0.25">
      <c r="A105" s="9">
        <v>622</v>
      </c>
      <c r="B105" s="10" t="s">
        <v>183</v>
      </c>
      <c r="C105" s="10" t="str">
        <f>VLOOKUP(Table6[[#This Row],[الكود]],Data[],12,0)</f>
        <v>27307051300955</v>
      </c>
      <c r="D105" s="10" t="str">
        <f>VLOOKUP(Table6[[#This Row],[الكود]],Data[],10,0)</f>
        <v>مصرى</v>
      </c>
      <c r="E105" s="10" t="str">
        <f>VLOOKUP(Table6[[#This Row],[الكود]],Data[],25,0)</f>
        <v>غير مؤمن</v>
      </c>
      <c r="F105" s="63">
        <f>VLOOKUP(Table6[[#This Row],[الكود]],Data[],88,0)</f>
        <v>45845</v>
      </c>
      <c r="G105" s="10"/>
      <c r="H105" s="54">
        <f>_xlfn.IFNA(IF(Table6[[#This Row],[الكود]]="","",VLOOKUP(Table6[[#This Row],[الكود]],Data[],97,0)),"")</f>
        <v>7500</v>
      </c>
      <c r="I105" s="54">
        <f>_xlfn.IFNA(IF(Table6[[#This Row],[الكود]]="","",VLOOKUP(Table6[[#This Row],[الكود]],Data[],99,0)),"")</f>
        <v>5769.23</v>
      </c>
      <c r="J105" s="54">
        <f>_xlfn.IFNA(IF(Table6[[#This Row],[الكود]]="","",VLOOKUP(Table6[[#This Row],[الكود]],Data[],100,0)),"")</f>
        <v>1730.77</v>
      </c>
      <c r="K105" s="54">
        <f>IF(Table6[[#This Row],[الاجر الشامل]]=0,"",I105*11%)</f>
        <v>634.61529999999993</v>
      </c>
      <c r="L105" s="54">
        <f>IF(Table6[[#This Row],[الاجر الشامل]]=0,"",I105*18.75%)</f>
        <v>1081.7306249999999</v>
      </c>
      <c r="M105" s="17" t="str">
        <f>VLOOKUP(Table6[[#This Row],[الكود]],Data[],63,0)</f>
        <v>موجودة</v>
      </c>
      <c r="N105" s="17" t="str">
        <f>VLOOKUP(Table6[[#This Row],[الكود]],Data[],64,0)</f>
        <v>موجودة</v>
      </c>
      <c r="O105" s="17" t="b">
        <f>VLOOKUP(Table6[[#This Row],[الكود]],Data[],65,0)</f>
        <v>1</v>
      </c>
      <c r="P105" s="17" t="b">
        <f>VLOOKUP(Table6[[#This Row],[الكود]],Data[],67,0)</f>
        <v>1</v>
      </c>
      <c r="Q105" s="17"/>
      <c r="R105" s="17" t="b">
        <f>VLOOKUP(Table6[[#This Row],[الكود]],Data[],71,0)</f>
        <v>1</v>
      </c>
      <c r="S105" s="17" t="b">
        <f>VLOOKUP(Table6[[#This Row],[الكود]],Data[],73,0)</f>
        <v>1</v>
      </c>
      <c r="T105" s="41"/>
    </row>
    <row r="106" spans="1:20" ht="16.8" x14ac:dyDescent="0.25">
      <c r="A106" s="9">
        <v>623</v>
      </c>
      <c r="B106" s="10" t="s">
        <v>185</v>
      </c>
      <c r="C106" s="10" t="str">
        <f>VLOOKUP(Table6[[#This Row],[الكود]],Data[],12,0)</f>
        <v>27702011404754</v>
      </c>
      <c r="D106" s="10" t="str">
        <f>VLOOKUP(Table6[[#This Row],[الكود]],Data[],10,0)</f>
        <v>مصرى</v>
      </c>
      <c r="E106" s="10" t="str">
        <f>VLOOKUP(Table6[[#This Row],[الكود]],Data[],25,0)</f>
        <v>غير مؤمن</v>
      </c>
      <c r="F106" s="63">
        <f>VLOOKUP(Table6[[#This Row],[الكود]],Data[],88,0)</f>
        <v>45840</v>
      </c>
      <c r="G106" s="10"/>
      <c r="H106" s="54">
        <f>_xlfn.IFNA(IF(Table6[[#This Row],[الكود]]="","",VLOOKUP(Table6[[#This Row],[الكود]],Data[],97,0)),"")</f>
        <v>7400</v>
      </c>
      <c r="I106" s="54">
        <f>_xlfn.IFNA(IF(Table6[[#This Row],[الكود]]="","",VLOOKUP(Table6[[#This Row],[الكود]],Data[],99,0)),"")</f>
        <v>5692.31</v>
      </c>
      <c r="J106" s="54">
        <f>_xlfn.IFNA(IF(Table6[[#This Row],[الكود]]="","",VLOOKUP(Table6[[#This Row],[الكود]],Data[],100,0)),"")</f>
        <v>1707.69</v>
      </c>
      <c r="K106" s="54">
        <f>IF(Table6[[#This Row],[الاجر الشامل]]=0,"",I106*11%)</f>
        <v>626.15410000000008</v>
      </c>
      <c r="L106" s="54">
        <f>IF(Table6[[#This Row],[الاجر الشامل]]=0,"",I106*18.75%)</f>
        <v>1067.308125</v>
      </c>
      <c r="M106" s="17" t="str">
        <f>VLOOKUP(Table6[[#This Row],[الكود]],Data[],63,0)</f>
        <v>موجودة</v>
      </c>
      <c r="N106" s="17" t="str">
        <f>VLOOKUP(Table6[[#This Row],[الكود]],Data[],64,0)</f>
        <v>موجودة</v>
      </c>
      <c r="O106" s="17" t="b">
        <f>VLOOKUP(Table6[[#This Row],[الكود]],Data[],65,0)</f>
        <v>1</v>
      </c>
      <c r="P106" s="17" t="b">
        <f>VLOOKUP(Table6[[#This Row],[الكود]],Data[],67,0)</f>
        <v>1</v>
      </c>
      <c r="Q106" s="17"/>
      <c r="R106" s="17" t="b">
        <f>VLOOKUP(Table6[[#This Row],[الكود]],Data[],71,0)</f>
        <v>0</v>
      </c>
      <c r="S106" s="17" t="b">
        <f>VLOOKUP(Table6[[#This Row],[الكود]],Data[],73,0)</f>
        <v>0</v>
      </c>
      <c r="T106" s="41"/>
    </row>
    <row r="107" spans="1:20" ht="16.8" x14ac:dyDescent="0.25">
      <c r="A107" s="9">
        <v>624</v>
      </c>
      <c r="B107" s="10" t="s">
        <v>187</v>
      </c>
      <c r="C107" s="10" t="str">
        <f>VLOOKUP(Table6[[#This Row],[الكود]],Data[],12,0)</f>
        <v>28011012704655</v>
      </c>
      <c r="D107" s="10" t="str">
        <f>VLOOKUP(Table6[[#This Row],[الكود]],Data[],10,0)</f>
        <v>مصرى</v>
      </c>
      <c r="E107" s="10" t="str">
        <f>VLOOKUP(Table6[[#This Row],[الكود]],Data[],25,0)</f>
        <v>غير مؤمن</v>
      </c>
      <c r="F107" s="63">
        <f>VLOOKUP(Table6[[#This Row],[الكود]],Data[],88,0)</f>
        <v>45844</v>
      </c>
      <c r="G107" s="10"/>
      <c r="H107" s="54">
        <f>_xlfn.IFNA(IF(Table6[[#This Row],[الكود]]="","",VLOOKUP(Table6[[#This Row],[الكود]],Data[],97,0)),"")</f>
        <v>7400</v>
      </c>
      <c r="I107" s="54">
        <f>_xlfn.IFNA(IF(Table6[[#This Row],[الكود]]="","",VLOOKUP(Table6[[#This Row],[الكود]],Data[],99,0)),"")</f>
        <v>5692.31</v>
      </c>
      <c r="J107" s="54">
        <f>_xlfn.IFNA(IF(Table6[[#This Row],[الكود]]="","",VLOOKUP(Table6[[#This Row],[الكود]],Data[],100,0)),"")</f>
        <v>1707.69</v>
      </c>
      <c r="K107" s="54">
        <f>IF(Table6[[#This Row],[الاجر الشامل]]=0,"",I107*11%)</f>
        <v>626.15410000000008</v>
      </c>
      <c r="L107" s="54">
        <f>IF(Table6[[#This Row],[الاجر الشامل]]=0,"",I107*18.75%)</f>
        <v>1067.308125</v>
      </c>
      <c r="M107" s="17" t="str">
        <f>VLOOKUP(Table6[[#This Row],[الكود]],Data[],63,0)</f>
        <v>موجودة</v>
      </c>
      <c r="N107" s="17" t="str">
        <f>VLOOKUP(Table6[[#This Row],[الكود]],Data[],64,0)</f>
        <v>متوسط</v>
      </c>
      <c r="O107" s="17" t="b">
        <f>VLOOKUP(Table6[[#This Row],[الكود]],Data[],65,0)</f>
        <v>1</v>
      </c>
      <c r="P107" s="17" t="b">
        <f>VLOOKUP(Table6[[#This Row],[الكود]],Data[],67,0)</f>
        <v>1</v>
      </c>
      <c r="Q107" s="17"/>
      <c r="R107" s="17" t="b">
        <f>VLOOKUP(Table6[[#This Row],[الكود]],Data[],71,0)</f>
        <v>1</v>
      </c>
      <c r="S107" s="17" t="b">
        <f>VLOOKUP(Table6[[#This Row],[الكود]],Data[],73,0)</f>
        <v>1</v>
      </c>
      <c r="T107" s="41"/>
    </row>
    <row r="108" spans="1:20" ht="16.8" x14ac:dyDescent="0.25">
      <c r="A108" s="9">
        <v>628</v>
      </c>
      <c r="B108" s="10" t="s">
        <v>189</v>
      </c>
      <c r="C108" s="10" t="str">
        <f>VLOOKUP(Table6[[#This Row],[الكود]],Data[],12,0)</f>
        <v>28201061303244</v>
      </c>
      <c r="D108" s="10" t="str">
        <f>VLOOKUP(Table6[[#This Row],[الكود]],Data[],10,0)</f>
        <v>مصرية</v>
      </c>
      <c r="E108" s="10" t="str">
        <f>VLOOKUP(Table6[[#This Row],[الكود]],Data[],25,0)</f>
        <v>غير مؤمن</v>
      </c>
      <c r="F108" s="63">
        <f>VLOOKUP(Table6[[#This Row],[الكود]],Data[],88,0)</f>
        <v>45851</v>
      </c>
      <c r="G108" s="10"/>
      <c r="H108" s="54">
        <f>_xlfn.IFNA(IF(Table6[[#This Row],[الكود]]="","",VLOOKUP(Table6[[#This Row],[الكود]],Data[],97,0)),"")</f>
        <v>7000</v>
      </c>
      <c r="I108" s="54">
        <f>_xlfn.IFNA(IF(Table6[[#This Row],[الكود]]="","",VLOOKUP(Table6[[#This Row],[الكود]],Data[],99,0)),"")</f>
        <v>5384.62</v>
      </c>
      <c r="J108" s="54">
        <f>_xlfn.IFNA(IF(Table6[[#This Row],[الكود]]="","",VLOOKUP(Table6[[#This Row],[الكود]],Data[],100,0)),"")</f>
        <v>1615.38</v>
      </c>
      <c r="K108" s="54">
        <f>IF(Table6[[#This Row],[الاجر الشامل]]=0,"",I108*11%)</f>
        <v>592.30819999999994</v>
      </c>
      <c r="L108" s="54">
        <f>IF(Table6[[#This Row],[الاجر الشامل]]=0,"",I108*18.75%)</f>
        <v>1009.61625</v>
      </c>
      <c r="M108" s="17" t="str">
        <f>VLOOKUP(Table6[[#This Row],[الكود]],Data[],63,0)</f>
        <v>غير موجودة</v>
      </c>
      <c r="N108" s="17" t="str">
        <f>VLOOKUP(Table6[[#This Row],[الكود]],Data[],64,0)</f>
        <v>غير موجودة</v>
      </c>
      <c r="O108" s="17" t="b">
        <f>VLOOKUP(Table6[[#This Row],[الكود]],Data[],65,0)</f>
        <v>1</v>
      </c>
      <c r="P108" s="17" t="b">
        <f>VLOOKUP(Table6[[#This Row],[الكود]],Data[],67,0)</f>
        <v>1</v>
      </c>
      <c r="Q108" s="17"/>
      <c r="R108" s="17" t="b">
        <f>VLOOKUP(Table6[[#This Row],[الكود]],Data[],71,0)</f>
        <v>1</v>
      </c>
      <c r="S108" s="17" t="b">
        <f>VLOOKUP(Table6[[#This Row],[الكود]],Data[],73,0)</f>
        <v>0</v>
      </c>
      <c r="T108" s="41"/>
    </row>
    <row r="109" spans="1:20" ht="16.8" x14ac:dyDescent="0.25">
      <c r="A109" s="9">
        <v>631</v>
      </c>
      <c r="B109" s="10" t="s">
        <v>190</v>
      </c>
      <c r="C109" s="10" t="str">
        <f>VLOOKUP(Table6[[#This Row],[الكود]],Data[],12,0)</f>
        <v>28105031304158</v>
      </c>
      <c r="D109" s="10" t="str">
        <f>VLOOKUP(Table6[[#This Row],[الكود]],Data[],10,0)</f>
        <v>مصرى</v>
      </c>
      <c r="E109" s="10" t="str">
        <f>VLOOKUP(Table6[[#This Row],[الكود]],Data[],25,0)</f>
        <v>غير مؤمن</v>
      </c>
      <c r="F109" s="63">
        <f>VLOOKUP(Table6[[#This Row],[الكود]],Data[],88,0)</f>
        <v>45853</v>
      </c>
      <c r="G109" s="10"/>
      <c r="H109" s="54">
        <f>_xlfn.IFNA(IF(Table6[[#This Row],[الكود]]="","",VLOOKUP(Table6[[#This Row],[الكود]],Data[],97,0)),"")</f>
        <v>7300</v>
      </c>
      <c r="I109" s="54">
        <f>_xlfn.IFNA(IF(Table6[[#This Row],[الكود]]="","",VLOOKUP(Table6[[#This Row],[الكود]],Data[],99,0)),"")</f>
        <v>5615.38</v>
      </c>
      <c r="J109" s="54">
        <f>_xlfn.IFNA(IF(Table6[[#This Row],[الكود]]="","",VLOOKUP(Table6[[#This Row],[الكود]],Data[],100,0)),"")</f>
        <v>1684.62</v>
      </c>
      <c r="K109" s="54">
        <f>IF(Table6[[#This Row],[الاجر الشامل]]=0,"",I109*11%)</f>
        <v>617.69180000000006</v>
      </c>
      <c r="L109" s="54">
        <f>IF(Table6[[#This Row],[الاجر الشامل]]=0,"",I109*18.75%)</f>
        <v>1052.88375</v>
      </c>
      <c r="M109" s="17" t="str">
        <f>VLOOKUP(Table6[[#This Row],[الكود]],Data[],63,0)</f>
        <v>موجودة</v>
      </c>
      <c r="N109" s="17" t="str">
        <f>VLOOKUP(Table6[[#This Row],[الكود]],Data[],64,0)</f>
        <v>موجودة</v>
      </c>
      <c r="O109" s="17" t="b">
        <f>VLOOKUP(Table6[[#This Row],[الكود]],Data[],65,0)</f>
        <v>1</v>
      </c>
      <c r="P109" s="17" t="b">
        <f>VLOOKUP(Table6[[#This Row],[الكود]],Data[],67,0)</f>
        <v>1</v>
      </c>
      <c r="Q109" s="17"/>
      <c r="R109" s="17" t="b">
        <f>VLOOKUP(Table6[[#This Row],[الكود]],Data[],71,0)</f>
        <v>1</v>
      </c>
      <c r="S109" s="17" t="b">
        <f>VLOOKUP(Table6[[#This Row],[الكود]],Data[],73,0)</f>
        <v>0</v>
      </c>
      <c r="T109" s="41"/>
    </row>
    <row r="110" spans="1:20" ht="16.8" x14ac:dyDescent="0.25">
      <c r="A110" s="9">
        <v>632</v>
      </c>
      <c r="B110" s="10" t="s">
        <v>191</v>
      </c>
      <c r="C110" s="10" t="str">
        <f>VLOOKUP(Table6[[#This Row],[الكود]],Data[],12,0)</f>
        <v>27306051500079</v>
      </c>
      <c r="D110" s="10" t="str">
        <f>VLOOKUP(Table6[[#This Row],[الكود]],Data[],10,0)</f>
        <v>مصرى</v>
      </c>
      <c r="E110" s="10" t="str">
        <f>VLOOKUP(Table6[[#This Row],[الكود]],Data[],25,0)</f>
        <v>غير مؤمن</v>
      </c>
      <c r="F110" s="63">
        <f>VLOOKUP(Table6[[#This Row],[الكود]],Data[],88,0)</f>
        <v>45851</v>
      </c>
      <c r="G110" s="10"/>
      <c r="H110" s="54">
        <f>_xlfn.IFNA(IF(Table6[[#This Row],[الكود]]="","",VLOOKUP(Table6[[#This Row],[الكود]],Data[],97,0)),"")</f>
        <v>7100</v>
      </c>
      <c r="I110" s="54">
        <f>_xlfn.IFNA(IF(Table6[[#This Row],[الكود]]="","",VLOOKUP(Table6[[#This Row],[الكود]],Data[],99,0)),"")</f>
        <v>5461.54</v>
      </c>
      <c r="J110" s="54">
        <f>_xlfn.IFNA(IF(Table6[[#This Row],[الكود]]="","",VLOOKUP(Table6[[#This Row],[الكود]],Data[],100,0)),"")</f>
        <v>1638.46</v>
      </c>
      <c r="K110" s="54">
        <f>IF(Table6[[#This Row],[الاجر الشامل]]=0,"",I110*11%)</f>
        <v>600.76940000000002</v>
      </c>
      <c r="L110" s="54">
        <f>IF(Table6[[#This Row],[الاجر الشامل]]=0,"",I110*18.75%)</f>
        <v>1024.0387499999999</v>
      </c>
      <c r="M110" s="17" t="str">
        <f>VLOOKUP(Table6[[#This Row],[الكود]],Data[],63,0)</f>
        <v>موجودة</v>
      </c>
      <c r="N110" s="17" t="str">
        <f>VLOOKUP(Table6[[#This Row],[الكود]],Data[],64,0)</f>
        <v>غير موجودة</v>
      </c>
      <c r="O110" s="17" t="b">
        <f>VLOOKUP(Table6[[#This Row],[الكود]],Data[],65,0)</f>
        <v>1</v>
      </c>
      <c r="P110" s="17" t="b">
        <f>VLOOKUP(Table6[[#This Row],[الكود]],Data[],67,0)</f>
        <v>1</v>
      </c>
      <c r="Q110" s="17"/>
      <c r="R110" s="17" t="b">
        <f>VLOOKUP(Table6[[#This Row],[الكود]],Data[],71,0)</f>
        <v>1</v>
      </c>
      <c r="S110" s="17" t="b">
        <f>VLOOKUP(Table6[[#This Row],[الكود]],Data[],73,0)</f>
        <v>0</v>
      </c>
      <c r="T110" s="41"/>
    </row>
    <row r="111" spans="1:20" ht="16.8" x14ac:dyDescent="0.25">
      <c r="A111" s="9">
        <v>633</v>
      </c>
      <c r="B111" s="10" t="s">
        <v>192</v>
      </c>
      <c r="C111" s="10" t="str">
        <f>VLOOKUP(Table6[[#This Row],[الكود]],Data[],12,0)</f>
        <v>27206011301419</v>
      </c>
      <c r="D111" s="10" t="str">
        <f>VLOOKUP(Table6[[#This Row],[الكود]],Data[],10,0)</f>
        <v>مصرى</v>
      </c>
      <c r="E111" s="10" t="str">
        <f>VLOOKUP(Table6[[#This Row],[الكود]],Data[],25,0)</f>
        <v>غير مؤمن</v>
      </c>
      <c r="F111" s="63">
        <f>VLOOKUP(Table6[[#This Row],[الكود]],Data[],88,0)</f>
        <v>45852</v>
      </c>
      <c r="G111" s="10"/>
      <c r="H111" s="54">
        <f>_xlfn.IFNA(IF(Table6[[#This Row],[الكود]]="","",VLOOKUP(Table6[[#This Row],[الكود]],Data[],97,0)),"")</f>
        <v>7100</v>
      </c>
      <c r="I111" s="54">
        <f>_xlfn.IFNA(IF(Table6[[#This Row],[الكود]]="","",VLOOKUP(Table6[[#This Row],[الكود]],Data[],99,0)),"")</f>
        <v>5461.54</v>
      </c>
      <c r="J111" s="54">
        <f>_xlfn.IFNA(IF(Table6[[#This Row],[الكود]]="","",VLOOKUP(Table6[[#This Row],[الكود]],Data[],100,0)),"")</f>
        <v>1638.46</v>
      </c>
      <c r="K111" s="54">
        <f>IF(Table6[[#This Row],[الاجر الشامل]]=0,"",I111*11%)</f>
        <v>600.76940000000002</v>
      </c>
      <c r="L111" s="54">
        <f>IF(Table6[[#This Row],[الاجر الشامل]]=0,"",I111*18.75%)</f>
        <v>1024.0387499999999</v>
      </c>
      <c r="M111" s="17" t="str">
        <f>VLOOKUP(Table6[[#This Row],[الكود]],Data[],63,0)</f>
        <v>موجودة</v>
      </c>
      <c r="N111" s="17" t="str">
        <f>VLOOKUP(Table6[[#This Row],[الكود]],Data[],64,0)</f>
        <v>غير موجودة</v>
      </c>
      <c r="O111" s="17" t="b">
        <f>VLOOKUP(Table6[[#This Row],[الكود]],Data[],65,0)</f>
        <v>1</v>
      </c>
      <c r="P111" s="17" t="b">
        <f>VLOOKUP(Table6[[#This Row],[الكود]],Data[],67,0)</f>
        <v>1</v>
      </c>
      <c r="Q111" s="17"/>
      <c r="R111" s="17" t="b">
        <f>VLOOKUP(Table6[[#This Row],[الكود]],Data[],71,0)</f>
        <v>0</v>
      </c>
      <c r="S111" s="17" t="b">
        <f>VLOOKUP(Table6[[#This Row],[الكود]],Data[],73,0)</f>
        <v>0</v>
      </c>
      <c r="T111" s="41"/>
    </row>
    <row r="112" spans="1:20" ht="16.8" x14ac:dyDescent="0.25">
      <c r="A112" s="9">
        <v>634</v>
      </c>
      <c r="B112" s="10" t="s">
        <v>193</v>
      </c>
      <c r="C112" s="10" t="str">
        <f>VLOOKUP(Table6[[#This Row],[الكود]],Data[],12,0)</f>
        <v>27611251302791</v>
      </c>
      <c r="D112" s="10" t="str">
        <f>VLOOKUP(Table6[[#This Row],[الكود]],Data[],10,0)</f>
        <v>مصرى</v>
      </c>
      <c r="E112" s="10" t="str">
        <f>VLOOKUP(Table6[[#This Row],[الكود]],Data[],25,0)</f>
        <v>غير مؤمن</v>
      </c>
      <c r="F112" s="63">
        <f>VLOOKUP(Table6[[#This Row],[الكود]],Data[],88,0)</f>
        <v>45850</v>
      </c>
      <c r="G112" s="10"/>
      <c r="H112" s="54">
        <f>_xlfn.IFNA(IF(Table6[[#This Row],[الكود]]="","",VLOOKUP(Table6[[#This Row],[الكود]],Data[],97,0)),"")</f>
        <v>7100</v>
      </c>
      <c r="I112" s="54">
        <f>_xlfn.IFNA(IF(Table6[[#This Row],[الكود]]="","",VLOOKUP(Table6[[#This Row],[الكود]],Data[],99,0)),"")</f>
        <v>5461.54</v>
      </c>
      <c r="J112" s="54">
        <f>_xlfn.IFNA(IF(Table6[[#This Row],[الكود]]="","",VLOOKUP(Table6[[#This Row],[الكود]],Data[],100,0)),"")</f>
        <v>1638.46</v>
      </c>
      <c r="K112" s="54">
        <f>IF(Table6[[#This Row],[الاجر الشامل]]=0,"",I112*11%)</f>
        <v>600.76940000000002</v>
      </c>
      <c r="L112" s="54">
        <f>IF(Table6[[#This Row],[الاجر الشامل]]=0,"",I112*18.75%)</f>
        <v>1024.0387499999999</v>
      </c>
      <c r="M112" s="17" t="str">
        <f>VLOOKUP(Table6[[#This Row],[الكود]],Data[],63,0)</f>
        <v>ادى الخدمة</v>
      </c>
      <c r="N112" s="17" t="str">
        <f>VLOOKUP(Table6[[#This Row],[الكود]],Data[],64,0)</f>
        <v>موجودة</v>
      </c>
      <c r="O112" s="17" t="b">
        <f>VLOOKUP(Table6[[#This Row],[الكود]],Data[],65,0)</f>
        <v>1</v>
      </c>
      <c r="P112" s="17" t="b">
        <f>VLOOKUP(Table6[[#This Row],[الكود]],Data[],67,0)</f>
        <v>1</v>
      </c>
      <c r="Q112" s="17"/>
      <c r="R112" s="17" t="b">
        <f>VLOOKUP(Table6[[#This Row],[الكود]],Data[],71,0)</f>
        <v>1</v>
      </c>
      <c r="S112" s="17" t="b">
        <f>VLOOKUP(Table6[[#This Row],[الكود]],Data[],73,0)</f>
        <v>0</v>
      </c>
      <c r="T112" s="41"/>
    </row>
    <row r="113" spans="1:20" ht="16.8" x14ac:dyDescent="0.25">
      <c r="A113" s="9">
        <v>635</v>
      </c>
      <c r="B113" s="10" t="s">
        <v>194</v>
      </c>
      <c r="C113" s="10" t="str">
        <f>VLOOKUP(Table6[[#This Row],[الكود]],Data[],12,0)</f>
        <v>28111211301751</v>
      </c>
      <c r="D113" s="10" t="str">
        <f>VLOOKUP(Table6[[#This Row],[الكود]],Data[],10,0)</f>
        <v>مصرى</v>
      </c>
      <c r="E113" s="10" t="str">
        <f>VLOOKUP(Table6[[#This Row],[الكود]],Data[],25,0)</f>
        <v>غير مؤمن</v>
      </c>
      <c r="F113" s="63">
        <f>VLOOKUP(Table6[[#This Row],[الكود]],Data[],88,0)</f>
        <v>45843</v>
      </c>
      <c r="G113" s="10"/>
      <c r="H113" s="54">
        <f>_xlfn.IFNA(IF(Table6[[#This Row],[الكود]]="","",VLOOKUP(Table6[[#This Row],[الكود]],Data[],97,0)),"")</f>
        <v>7100</v>
      </c>
      <c r="I113" s="54">
        <f>_xlfn.IFNA(IF(Table6[[#This Row],[الكود]]="","",VLOOKUP(Table6[[#This Row],[الكود]],Data[],99,0)),"")</f>
        <v>5461.54</v>
      </c>
      <c r="J113" s="54">
        <f>_xlfn.IFNA(IF(Table6[[#This Row],[الكود]]="","",VLOOKUP(Table6[[#This Row],[الكود]],Data[],100,0)),"")</f>
        <v>1638.46</v>
      </c>
      <c r="K113" s="54">
        <f>IF(Table6[[#This Row],[الاجر الشامل]]=0,"",I113*11%)</f>
        <v>600.76940000000002</v>
      </c>
      <c r="L113" s="54">
        <f>IF(Table6[[#This Row],[الاجر الشامل]]=0,"",I113*18.75%)</f>
        <v>1024.0387499999999</v>
      </c>
      <c r="M113" s="17" t="str">
        <f>VLOOKUP(Table6[[#This Row],[الكود]],Data[],63,0)</f>
        <v>غير موجودة</v>
      </c>
      <c r="N113" s="17" t="str">
        <f>VLOOKUP(Table6[[#This Row],[الكود]],Data[],64,0)</f>
        <v>موجودة</v>
      </c>
      <c r="O113" s="17" t="b">
        <f>VLOOKUP(Table6[[#This Row],[الكود]],Data[],65,0)</f>
        <v>1</v>
      </c>
      <c r="P113" s="17" t="b">
        <f>VLOOKUP(Table6[[#This Row],[الكود]],Data[],67,0)</f>
        <v>1</v>
      </c>
      <c r="Q113" s="17"/>
      <c r="R113" s="17" t="b">
        <f>VLOOKUP(Table6[[#This Row],[الكود]],Data[],71,0)</f>
        <v>1</v>
      </c>
      <c r="S113" s="17" t="b">
        <f>VLOOKUP(Table6[[#This Row],[الكود]],Data[],73,0)</f>
        <v>0</v>
      </c>
      <c r="T113" s="41"/>
    </row>
    <row r="114" spans="1:20" ht="16.8" x14ac:dyDescent="0.25">
      <c r="A114" s="9">
        <v>636</v>
      </c>
      <c r="B114" s="10" t="s">
        <v>195</v>
      </c>
      <c r="C114" s="10" t="str">
        <f>VLOOKUP(Table6[[#This Row],[الكود]],Data[],12,0)</f>
        <v>27003311301676</v>
      </c>
      <c r="D114" s="10" t="str">
        <f>VLOOKUP(Table6[[#This Row],[الكود]],Data[],10,0)</f>
        <v>مصرى</v>
      </c>
      <c r="E114" s="10" t="str">
        <f>VLOOKUP(Table6[[#This Row],[الكود]],Data[],25,0)</f>
        <v>غير مؤمن</v>
      </c>
      <c r="F114" s="63">
        <f>VLOOKUP(Table6[[#This Row],[الكود]],Data[],88,0)</f>
        <v>45843</v>
      </c>
      <c r="G114" s="10"/>
      <c r="H114" s="54">
        <f>_xlfn.IFNA(IF(Table6[[#This Row],[الكود]]="","",VLOOKUP(Table6[[#This Row],[الكود]],Data[],97,0)),"")</f>
        <v>7100</v>
      </c>
      <c r="I114" s="54">
        <f>_xlfn.IFNA(IF(Table6[[#This Row],[الكود]]="","",VLOOKUP(Table6[[#This Row],[الكود]],Data[],99,0)),"")</f>
        <v>5461.54</v>
      </c>
      <c r="J114" s="54">
        <f>_xlfn.IFNA(IF(Table6[[#This Row],[الكود]]="","",VLOOKUP(Table6[[#This Row],[الكود]],Data[],100,0)),"")</f>
        <v>1638.46</v>
      </c>
      <c r="K114" s="54">
        <f>IF(Table6[[#This Row],[الاجر الشامل]]=0,"",I114*11%)</f>
        <v>600.76940000000002</v>
      </c>
      <c r="L114" s="54">
        <f>IF(Table6[[#This Row],[الاجر الشامل]]=0,"",I114*18.75%)</f>
        <v>1024.0387499999999</v>
      </c>
      <c r="M114" s="17" t="str">
        <f>VLOOKUP(Table6[[#This Row],[الكود]],Data[],63,0)</f>
        <v>غير موجودة</v>
      </c>
      <c r="N114" s="17" t="str">
        <f>VLOOKUP(Table6[[#This Row],[الكود]],Data[],64,0)</f>
        <v>غير موجودة</v>
      </c>
      <c r="O114" s="17" t="b">
        <f>VLOOKUP(Table6[[#This Row],[الكود]],Data[],65,0)</f>
        <v>1</v>
      </c>
      <c r="P114" s="17" t="b">
        <f>VLOOKUP(Table6[[#This Row],[الكود]],Data[],67,0)</f>
        <v>1</v>
      </c>
      <c r="Q114" s="17"/>
      <c r="R114" s="17" t="b">
        <f>VLOOKUP(Table6[[#This Row],[الكود]],Data[],71,0)</f>
        <v>0</v>
      </c>
      <c r="S114" s="17" t="b">
        <f>VLOOKUP(Table6[[#This Row],[الكود]],Data[],73,0)</f>
        <v>0</v>
      </c>
      <c r="T114" s="41"/>
    </row>
    <row r="115" spans="1:20" ht="16.8" x14ac:dyDescent="0.25">
      <c r="A115" s="9">
        <v>638</v>
      </c>
      <c r="B115" s="10" t="s">
        <v>196</v>
      </c>
      <c r="C115" s="10" t="str">
        <f>VLOOKUP(Table6[[#This Row],[الكود]],Data[],12,0)</f>
        <v>28203271305234</v>
      </c>
      <c r="D115" s="10" t="str">
        <f>VLOOKUP(Table6[[#This Row],[الكود]],Data[],10,0)</f>
        <v>مصرى</v>
      </c>
      <c r="E115" s="10" t="str">
        <f>VLOOKUP(Table6[[#This Row],[الكود]],Data[],25,0)</f>
        <v>غير مؤمن</v>
      </c>
      <c r="F115" s="63">
        <f>VLOOKUP(Table6[[#This Row],[الكود]],Data[],88,0)</f>
        <v>45846</v>
      </c>
      <c r="G115" s="10"/>
      <c r="H115" s="54">
        <f>_xlfn.IFNA(IF(Table6[[#This Row],[الكود]]="","",VLOOKUP(Table6[[#This Row],[الكود]],Data[],97,0)),"")</f>
        <v>7400</v>
      </c>
      <c r="I115" s="54">
        <f>_xlfn.IFNA(IF(Table6[[#This Row],[الكود]]="","",VLOOKUP(Table6[[#This Row],[الكود]],Data[],99,0)),"")</f>
        <v>5692.31</v>
      </c>
      <c r="J115" s="54">
        <f>_xlfn.IFNA(IF(Table6[[#This Row],[الكود]]="","",VLOOKUP(Table6[[#This Row],[الكود]],Data[],100,0)),"")</f>
        <v>1707.69</v>
      </c>
      <c r="K115" s="54">
        <f>IF(Table6[[#This Row],[الاجر الشامل]]=0,"",I115*11%)</f>
        <v>626.15410000000008</v>
      </c>
      <c r="L115" s="54">
        <f>IF(Table6[[#This Row],[الاجر الشامل]]=0,"",I115*18.75%)</f>
        <v>1067.308125</v>
      </c>
      <c r="M115" s="17" t="str">
        <f>VLOOKUP(Table6[[#This Row],[الكود]],Data[],63,0)</f>
        <v>موجودة</v>
      </c>
      <c r="N115" s="17" t="str">
        <f>VLOOKUP(Table6[[#This Row],[الكود]],Data[],64,0)</f>
        <v>عالى</v>
      </c>
      <c r="O115" s="17" t="b">
        <f>VLOOKUP(Table6[[#This Row],[الكود]],Data[],65,0)</f>
        <v>1</v>
      </c>
      <c r="P115" s="17" t="b">
        <f>VLOOKUP(Table6[[#This Row],[الكود]],Data[],67,0)</f>
        <v>1</v>
      </c>
      <c r="Q115" s="17"/>
      <c r="R115" s="17" t="b">
        <f>VLOOKUP(Table6[[#This Row],[الكود]],Data[],71,0)</f>
        <v>0</v>
      </c>
      <c r="S115" s="17" t="b">
        <f>VLOOKUP(Table6[[#This Row],[الكود]],Data[],73,0)</f>
        <v>0</v>
      </c>
      <c r="T115" s="41"/>
    </row>
    <row r="116" spans="1:20" ht="16.8" x14ac:dyDescent="0.25">
      <c r="A116" s="9">
        <v>639</v>
      </c>
      <c r="B116" s="10" t="s">
        <v>197</v>
      </c>
      <c r="C116" s="10" t="str">
        <f>VLOOKUP(Table6[[#This Row],[الكود]],Data[],12,0)</f>
        <v>3010710130711</v>
      </c>
      <c r="D116" s="10" t="str">
        <f>VLOOKUP(Table6[[#This Row],[الكود]],Data[],10,0)</f>
        <v>مصرى</v>
      </c>
      <c r="E116" s="10" t="str">
        <f>VLOOKUP(Table6[[#This Row],[الكود]],Data[],25,0)</f>
        <v>غير مؤمن</v>
      </c>
      <c r="F116" s="63">
        <f>VLOOKUP(Table6[[#This Row],[الكود]],Data[],88,0)</f>
        <v>45846</v>
      </c>
      <c r="G116" s="10"/>
      <c r="H116" s="54">
        <f>_xlfn.IFNA(IF(Table6[[#This Row],[الكود]]="","",VLOOKUP(Table6[[#This Row],[الكود]],Data[],97,0)),"")</f>
        <v>7300</v>
      </c>
      <c r="I116" s="54">
        <f>_xlfn.IFNA(IF(Table6[[#This Row],[الكود]]="","",VLOOKUP(Table6[[#This Row],[الكود]],Data[],99,0)),"")</f>
        <v>5615.38</v>
      </c>
      <c r="J116" s="54">
        <f>_xlfn.IFNA(IF(Table6[[#This Row],[الكود]]="","",VLOOKUP(Table6[[#This Row],[الكود]],Data[],100,0)),"")</f>
        <v>1684.62</v>
      </c>
      <c r="K116" s="54">
        <f>IF(Table6[[#This Row],[الاجر الشامل]]=0,"",I116*11%)</f>
        <v>617.69180000000006</v>
      </c>
      <c r="L116" s="54">
        <f>IF(Table6[[#This Row],[الاجر الشامل]]=0,"",I116*18.75%)</f>
        <v>1052.88375</v>
      </c>
      <c r="M116" s="17" t="str">
        <f>VLOOKUP(Table6[[#This Row],[الكود]],Data[],63,0)</f>
        <v>غير موجودة</v>
      </c>
      <c r="N116" s="17" t="str">
        <f>VLOOKUP(Table6[[#This Row],[الكود]],Data[],64,0)</f>
        <v>غير موجودة</v>
      </c>
      <c r="O116" s="17" t="b">
        <f>VLOOKUP(Table6[[#This Row],[الكود]],Data[],65,0)</f>
        <v>1</v>
      </c>
      <c r="P116" s="17" t="b">
        <f>VLOOKUP(Table6[[#This Row],[الكود]],Data[],67,0)</f>
        <v>1</v>
      </c>
      <c r="Q116" s="17"/>
      <c r="R116" s="17" t="b">
        <f>VLOOKUP(Table6[[#This Row],[الكود]],Data[],71,0)</f>
        <v>0</v>
      </c>
      <c r="S116" s="17" t="b">
        <f>VLOOKUP(Table6[[#This Row],[الكود]],Data[],73,0)</f>
        <v>0</v>
      </c>
      <c r="T116" s="41"/>
    </row>
    <row r="117" spans="1:20" ht="16.8" x14ac:dyDescent="0.25">
      <c r="A117" s="9">
        <v>640</v>
      </c>
      <c r="B117" s="10" t="s">
        <v>198</v>
      </c>
      <c r="C117" s="10" t="str">
        <f>VLOOKUP(Table6[[#This Row],[الكود]],Data[],12,0)</f>
        <v>29208061302491</v>
      </c>
      <c r="D117" s="10" t="str">
        <f>VLOOKUP(Table6[[#This Row],[الكود]],Data[],10,0)</f>
        <v>مصرى</v>
      </c>
      <c r="E117" s="10" t="str">
        <f>VLOOKUP(Table6[[#This Row],[الكود]],Data[],25,0)</f>
        <v>غير مؤمن</v>
      </c>
      <c r="F117" s="63">
        <f>VLOOKUP(Table6[[#This Row],[الكود]],Data[],88,0)</f>
        <v>45839</v>
      </c>
      <c r="G117" s="10"/>
      <c r="H117" s="54">
        <f>_xlfn.IFNA(IF(Table6[[#This Row],[الكود]]="","",VLOOKUP(Table6[[#This Row],[الكود]],Data[],97,0)),"")</f>
        <v>7300</v>
      </c>
      <c r="I117" s="54">
        <f>_xlfn.IFNA(IF(Table6[[#This Row],[الكود]]="","",VLOOKUP(Table6[[#This Row],[الكود]],Data[],99,0)),"")</f>
        <v>5615.38</v>
      </c>
      <c r="J117" s="54">
        <f>_xlfn.IFNA(IF(Table6[[#This Row],[الكود]]="","",VLOOKUP(Table6[[#This Row],[الكود]],Data[],100,0)),"")</f>
        <v>1684.62</v>
      </c>
      <c r="K117" s="54">
        <f>IF(Table6[[#This Row],[الاجر الشامل]]=0,"",I117*11%)</f>
        <v>617.69180000000006</v>
      </c>
      <c r="L117" s="54">
        <f>IF(Table6[[#This Row],[الاجر الشامل]]=0,"",I117*18.75%)</f>
        <v>1052.88375</v>
      </c>
      <c r="M117" s="17" t="str">
        <f>VLOOKUP(Table6[[#This Row],[الكود]],Data[],63,0)</f>
        <v>موجودة</v>
      </c>
      <c r="N117" s="17" t="str">
        <f>VLOOKUP(Table6[[#This Row],[الكود]],Data[],64,0)</f>
        <v>موجودة</v>
      </c>
      <c r="O117" s="17" t="b">
        <f>VLOOKUP(Table6[[#This Row],[الكود]],Data[],65,0)</f>
        <v>1</v>
      </c>
      <c r="P117" s="17" t="b">
        <f>VLOOKUP(Table6[[#This Row],[الكود]],Data[],67,0)</f>
        <v>1</v>
      </c>
      <c r="Q117" s="17"/>
      <c r="R117" s="17" t="b">
        <f>VLOOKUP(Table6[[#This Row],[الكود]],Data[],71,0)</f>
        <v>1</v>
      </c>
      <c r="S117" s="17" t="b">
        <f>VLOOKUP(Table6[[#This Row],[الكود]],Data[],73,0)</f>
        <v>1</v>
      </c>
      <c r="T117" s="41"/>
    </row>
    <row r="118" spans="1:20" ht="16.8" x14ac:dyDescent="0.25">
      <c r="A118" s="9">
        <v>643</v>
      </c>
      <c r="B118" s="10" t="s">
        <v>199</v>
      </c>
      <c r="C118" s="10" t="str">
        <f>VLOOKUP(Table6[[#This Row],[الكود]],Data[],12,0)</f>
        <v>27101042400419</v>
      </c>
      <c r="D118" s="10" t="str">
        <f>VLOOKUP(Table6[[#This Row],[الكود]],Data[],10,0)</f>
        <v>مصرى</v>
      </c>
      <c r="E118" s="10" t="str">
        <f>VLOOKUP(Table6[[#This Row],[الكود]],Data[],25,0)</f>
        <v>غير مؤمن</v>
      </c>
      <c r="F118" s="63">
        <f>VLOOKUP(Table6[[#This Row],[الكود]],Data[],88,0)</f>
        <v>45839</v>
      </c>
      <c r="G118" s="10"/>
      <c r="H118" s="54">
        <f>_xlfn.IFNA(IF(Table6[[#This Row],[الكود]]="","",VLOOKUP(Table6[[#This Row],[الكود]],Data[],97,0)),"")</f>
        <v>7300</v>
      </c>
      <c r="I118" s="54">
        <f>_xlfn.IFNA(IF(Table6[[#This Row],[الكود]]="","",VLOOKUP(Table6[[#This Row],[الكود]],Data[],99,0)),"")</f>
        <v>5615.38</v>
      </c>
      <c r="J118" s="54">
        <f>_xlfn.IFNA(IF(Table6[[#This Row],[الكود]]="","",VLOOKUP(Table6[[#This Row],[الكود]],Data[],100,0)),"")</f>
        <v>1684.62</v>
      </c>
      <c r="K118" s="54">
        <f>IF(Table6[[#This Row],[الاجر الشامل]]=0,"",I118*11%)</f>
        <v>617.69180000000006</v>
      </c>
      <c r="L118" s="54">
        <f>IF(Table6[[#This Row],[الاجر الشامل]]=0,"",I118*18.75%)</f>
        <v>1052.88375</v>
      </c>
      <c r="M118" s="17" t="str">
        <f>VLOOKUP(Table6[[#This Row],[الكود]],Data[],63,0)</f>
        <v>معافى نهائي</v>
      </c>
      <c r="N118" s="17" t="str">
        <f>VLOOKUP(Table6[[#This Row],[الكود]],Data[],64,0)</f>
        <v>عالى</v>
      </c>
      <c r="O118" s="17" t="b">
        <f>VLOOKUP(Table6[[#This Row],[الكود]],Data[],65,0)</f>
        <v>1</v>
      </c>
      <c r="P118" s="17" t="b">
        <f>VLOOKUP(Table6[[#This Row],[الكود]],Data[],67,0)</f>
        <v>1</v>
      </c>
      <c r="Q118" s="17"/>
      <c r="R118" s="17" t="b">
        <f>VLOOKUP(Table6[[#This Row],[الكود]],Data[],71,0)</f>
        <v>1</v>
      </c>
      <c r="S118" s="17" t="b">
        <f>VLOOKUP(Table6[[#This Row],[الكود]],Data[],73,0)</f>
        <v>0</v>
      </c>
      <c r="T118" s="41"/>
    </row>
    <row r="119" spans="1:20" ht="16.8" x14ac:dyDescent="0.25">
      <c r="A119" s="9">
        <v>645</v>
      </c>
      <c r="B119" s="10" t="s">
        <v>201</v>
      </c>
      <c r="C119" s="10" t="str">
        <f>VLOOKUP(Table6[[#This Row],[الكود]],Data[],12,0)</f>
        <v>28606241301312</v>
      </c>
      <c r="D119" s="10" t="str">
        <f>VLOOKUP(Table6[[#This Row],[الكود]],Data[],10,0)</f>
        <v>مصرى</v>
      </c>
      <c r="E119" s="10" t="str">
        <f>VLOOKUP(Table6[[#This Row],[الكود]],Data[],25,0)</f>
        <v>غير مؤمن</v>
      </c>
      <c r="F119" s="63">
        <f>VLOOKUP(Table6[[#This Row],[الكود]],Data[],88,0)</f>
        <v>45845</v>
      </c>
      <c r="G119" s="10"/>
      <c r="H119" s="54">
        <f>_xlfn.IFNA(IF(Table6[[#This Row],[الكود]]="","",VLOOKUP(Table6[[#This Row],[الكود]],Data[],97,0)),"")</f>
        <v>7400</v>
      </c>
      <c r="I119" s="54">
        <f>_xlfn.IFNA(IF(Table6[[#This Row],[الكود]]="","",VLOOKUP(Table6[[#This Row],[الكود]],Data[],99,0)),"")</f>
        <v>5692.31</v>
      </c>
      <c r="J119" s="54">
        <f>_xlfn.IFNA(IF(Table6[[#This Row],[الكود]]="","",VLOOKUP(Table6[[#This Row],[الكود]],Data[],100,0)),"")</f>
        <v>1707.69</v>
      </c>
      <c r="K119" s="54">
        <f>IF(Table6[[#This Row],[الاجر الشامل]]=0,"",I119*11%)</f>
        <v>626.15410000000008</v>
      </c>
      <c r="L119" s="54">
        <f>IF(Table6[[#This Row],[الاجر الشامل]]=0,"",I119*18.75%)</f>
        <v>1067.308125</v>
      </c>
      <c r="M119" s="17" t="str">
        <f>VLOOKUP(Table6[[#This Row],[الكود]],Data[],63,0)</f>
        <v>موجودة</v>
      </c>
      <c r="N119" s="17" t="str">
        <f>VLOOKUP(Table6[[#This Row],[الكود]],Data[],64,0)</f>
        <v>موجودة</v>
      </c>
      <c r="O119" s="17" t="b">
        <f>VLOOKUP(Table6[[#This Row],[الكود]],Data[],65,0)</f>
        <v>1</v>
      </c>
      <c r="P119" s="17" t="b">
        <f>VLOOKUP(Table6[[#This Row],[الكود]],Data[],67,0)</f>
        <v>1</v>
      </c>
      <c r="Q119" s="17"/>
      <c r="R119" s="17" t="b">
        <f>VLOOKUP(Table6[[#This Row],[الكود]],Data[],71,0)</f>
        <v>0</v>
      </c>
      <c r="S119" s="17" t="b">
        <f>VLOOKUP(Table6[[#This Row],[الكود]],Data[],73,0)</f>
        <v>0</v>
      </c>
      <c r="T119" s="41"/>
    </row>
    <row r="120" spans="1:20" ht="16.8" x14ac:dyDescent="0.25">
      <c r="A120" s="9">
        <v>646</v>
      </c>
      <c r="B120" s="10" t="s">
        <v>202</v>
      </c>
      <c r="C120" s="10" t="str">
        <f>VLOOKUP(Table6[[#This Row],[الكود]],Data[],12,0)</f>
        <v>30004011301991</v>
      </c>
      <c r="D120" s="10" t="str">
        <f>VLOOKUP(Table6[[#This Row],[الكود]],Data[],10,0)</f>
        <v>مصرى</v>
      </c>
      <c r="E120" s="10" t="str">
        <f>VLOOKUP(Table6[[#This Row],[الكود]],Data[],25,0)</f>
        <v>غير مؤمن</v>
      </c>
      <c r="F120" s="63">
        <f>VLOOKUP(Table6[[#This Row],[الكود]],Data[],88,0)</f>
        <v>45846</v>
      </c>
      <c r="G120" s="10"/>
      <c r="H120" s="54">
        <f>_xlfn.IFNA(IF(Table6[[#This Row],[الكود]]="","",VLOOKUP(Table6[[#This Row],[الكود]],Data[],97,0)),"")</f>
        <v>7400</v>
      </c>
      <c r="I120" s="54">
        <f>_xlfn.IFNA(IF(Table6[[#This Row],[الكود]]="","",VLOOKUP(Table6[[#This Row],[الكود]],Data[],99,0)),"")</f>
        <v>5692.31</v>
      </c>
      <c r="J120" s="54">
        <f>_xlfn.IFNA(IF(Table6[[#This Row],[الكود]]="","",VLOOKUP(Table6[[#This Row],[الكود]],Data[],100,0)),"")</f>
        <v>1707.69</v>
      </c>
      <c r="K120" s="54">
        <f>IF(Table6[[#This Row],[الاجر الشامل]]=0,"",I120*11%)</f>
        <v>626.15410000000008</v>
      </c>
      <c r="L120" s="54">
        <f>IF(Table6[[#This Row],[الاجر الشامل]]=0,"",I120*18.75%)</f>
        <v>1067.308125</v>
      </c>
      <c r="M120" s="17" t="str">
        <f>VLOOKUP(Table6[[#This Row],[الكود]],Data[],63,0)</f>
        <v>موجودة</v>
      </c>
      <c r="N120" s="17" t="str">
        <f>VLOOKUP(Table6[[#This Row],[الكود]],Data[],64,0)</f>
        <v>متوسط</v>
      </c>
      <c r="O120" s="17" t="b">
        <f>VLOOKUP(Table6[[#This Row],[الكود]],Data[],65,0)</f>
        <v>1</v>
      </c>
      <c r="P120" s="17" t="b">
        <f>VLOOKUP(Table6[[#This Row],[الكود]],Data[],67,0)</f>
        <v>1</v>
      </c>
      <c r="Q120" s="17"/>
      <c r="R120" s="17" t="b">
        <f>VLOOKUP(Table6[[#This Row],[الكود]],Data[],71,0)</f>
        <v>1</v>
      </c>
      <c r="S120" s="17" t="b">
        <f>VLOOKUP(Table6[[#This Row],[الكود]],Data[],73,0)</f>
        <v>1</v>
      </c>
      <c r="T120" s="41"/>
    </row>
    <row r="121" spans="1:20" ht="16.8" x14ac:dyDescent="0.25">
      <c r="A121" s="9">
        <v>647</v>
      </c>
      <c r="B121" s="10" t="s">
        <v>203</v>
      </c>
      <c r="C121" s="10" t="str">
        <f>VLOOKUP(Table6[[#This Row],[الكود]],Data[],12,0)</f>
        <v>28803191301758</v>
      </c>
      <c r="D121" s="10" t="str">
        <f>VLOOKUP(Table6[[#This Row],[الكود]],Data[],10,0)</f>
        <v>مصرى</v>
      </c>
      <c r="E121" s="10" t="str">
        <f>VLOOKUP(Table6[[#This Row],[الكود]],Data[],25,0)</f>
        <v>غير مؤمن</v>
      </c>
      <c r="F121" s="63">
        <f>VLOOKUP(Table6[[#This Row],[الكود]],Data[],88,0)</f>
        <v>45840</v>
      </c>
      <c r="G121" s="10"/>
      <c r="H121" s="54">
        <f>_xlfn.IFNA(IF(Table6[[#This Row],[الكود]]="","",VLOOKUP(Table6[[#This Row],[الكود]],Data[],97,0)),"")</f>
        <v>7500</v>
      </c>
      <c r="I121" s="54">
        <f>_xlfn.IFNA(IF(Table6[[#This Row],[الكود]]="","",VLOOKUP(Table6[[#This Row],[الكود]],Data[],99,0)),"")</f>
        <v>5769.23</v>
      </c>
      <c r="J121" s="54">
        <f>_xlfn.IFNA(IF(Table6[[#This Row],[الكود]]="","",VLOOKUP(Table6[[#This Row],[الكود]],Data[],100,0)),"")</f>
        <v>1730.77</v>
      </c>
      <c r="K121" s="54">
        <f>IF(Table6[[#This Row],[الاجر الشامل]]=0,"",I121*11%)</f>
        <v>634.61529999999993</v>
      </c>
      <c r="L121" s="54">
        <f>IF(Table6[[#This Row],[الاجر الشامل]]=0,"",I121*18.75%)</f>
        <v>1081.7306249999999</v>
      </c>
      <c r="M121" s="17" t="str">
        <f>VLOOKUP(Table6[[#This Row],[الكود]],Data[],63,0)</f>
        <v>غير موجودة</v>
      </c>
      <c r="N121" s="17" t="str">
        <f>VLOOKUP(Table6[[#This Row],[الكود]],Data[],64,0)</f>
        <v>موجودة</v>
      </c>
      <c r="O121" s="17" t="b">
        <f>VLOOKUP(Table6[[#This Row],[الكود]],Data[],65,0)</f>
        <v>1</v>
      </c>
      <c r="P121" s="17" t="b">
        <f>VLOOKUP(Table6[[#This Row],[الكود]],Data[],67,0)</f>
        <v>1</v>
      </c>
      <c r="Q121" s="17"/>
      <c r="R121" s="17" t="b">
        <f>VLOOKUP(Table6[[#This Row],[الكود]],Data[],71,0)</f>
        <v>0</v>
      </c>
      <c r="S121" s="17" t="b">
        <f>VLOOKUP(Table6[[#This Row],[الكود]],Data[],73,0)</f>
        <v>0</v>
      </c>
      <c r="T121" s="41"/>
    </row>
    <row r="122" spans="1:20" ht="16.8" x14ac:dyDescent="0.25">
      <c r="A122" s="9">
        <v>657</v>
      </c>
      <c r="B122" s="10" t="s">
        <v>204</v>
      </c>
      <c r="C122" s="10" t="str">
        <f>VLOOKUP(Table6[[#This Row],[الكود]],Data[],12,0)</f>
        <v>28601081305152</v>
      </c>
      <c r="D122" s="10" t="str">
        <f>VLOOKUP(Table6[[#This Row],[الكود]],Data[],10,0)</f>
        <v>مصرى</v>
      </c>
      <c r="E122" s="10" t="str">
        <f>VLOOKUP(Table6[[#This Row],[الكود]],Data[],25,0)</f>
        <v>غير مؤمن</v>
      </c>
      <c r="F122" s="63">
        <f>VLOOKUP(Table6[[#This Row],[الكود]],Data[],88,0)</f>
        <v>45846</v>
      </c>
      <c r="G122" s="10"/>
      <c r="H122" s="54">
        <f>_xlfn.IFNA(IF(Table6[[#This Row],[الكود]]="","",VLOOKUP(Table6[[#This Row],[الكود]],Data[],97,0)),"")</f>
        <v>7500</v>
      </c>
      <c r="I122" s="54">
        <f>_xlfn.IFNA(IF(Table6[[#This Row],[الكود]]="","",VLOOKUP(Table6[[#This Row],[الكود]],Data[],99,0)),"")</f>
        <v>5769.23</v>
      </c>
      <c r="J122" s="54">
        <f>_xlfn.IFNA(IF(Table6[[#This Row],[الكود]]="","",VLOOKUP(Table6[[#This Row],[الكود]],Data[],100,0)),"")</f>
        <v>1730.77</v>
      </c>
      <c r="K122" s="54">
        <f>IF(Table6[[#This Row],[الاجر الشامل]]=0,"",I122*11%)</f>
        <v>634.61529999999993</v>
      </c>
      <c r="L122" s="54">
        <f>IF(Table6[[#This Row],[الاجر الشامل]]=0,"",I122*18.75%)</f>
        <v>1081.7306249999999</v>
      </c>
      <c r="M122" s="17" t="str">
        <f>VLOOKUP(Table6[[#This Row],[الكود]],Data[],63,0)</f>
        <v>موجودة</v>
      </c>
      <c r="N122" s="17" t="str">
        <f>VLOOKUP(Table6[[#This Row],[الكود]],Data[],64,0)</f>
        <v>موجودة</v>
      </c>
      <c r="O122" s="17" t="b">
        <f>VLOOKUP(Table6[[#This Row],[الكود]],Data[],65,0)</f>
        <v>1</v>
      </c>
      <c r="P122" s="17" t="b">
        <f>VLOOKUP(Table6[[#This Row],[الكود]],Data[],67,0)</f>
        <v>1</v>
      </c>
      <c r="Q122" s="17"/>
      <c r="R122" s="17" t="b">
        <f>VLOOKUP(Table6[[#This Row],[الكود]],Data[],71,0)</f>
        <v>1</v>
      </c>
      <c r="S122" s="17" t="b">
        <f>VLOOKUP(Table6[[#This Row],[الكود]],Data[],73,0)</f>
        <v>1</v>
      </c>
      <c r="T122" s="41"/>
    </row>
    <row r="123" spans="1:20" ht="16.8" x14ac:dyDescent="0.25">
      <c r="A123" s="9">
        <v>658</v>
      </c>
      <c r="B123" s="10" t="s">
        <v>206</v>
      </c>
      <c r="C123" s="10" t="str">
        <f>VLOOKUP(Table6[[#This Row],[الكود]],Data[],12,0)</f>
        <v>30002271301879</v>
      </c>
      <c r="D123" s="10" t="str">
        <f>VLOOKUP(Table6[[#This Row],[الكود]],Data[],10,0)</f>
        <v>مصرى</v>
      </c>
      <c r="E123" s="10" t="str">
        <f>VLOOKUP(Table6[[#This Row],[الكود]],Data[],25,0)</f>
        <v>غير مؤمن</v>
      </c>
      <c r="F123" s="63">
        <f>VLOOKUP(Table6[[#This Row],[الكود]],Data[],88,0)</f>
        <v>45844</v>
      </c>
      <c r="G123" s="10"/>
      <c r="H123" s="54">
        <f>_xlfn.IFNA(IF(Table6[[#This Row],[الكود]]="","",VLOOKUP(Table6[[#This Row],[الكود]],Data[],97,0)),"")</f>
        <v>7300</v>
      </c>
      <c r="I123" s="54">
        <f>_xlfn.IFNA(IF(Table6[[#This Row],[الكود]]="","",VLOOKUP(Table6[[#This Row],[الكود]],Data[],99,0)),"")</f>
        <v>5615.38</v>
      </c>
      <c r="J123" s="54">
        <f>_xlfn.IFNA(IF(Table6[[#This Row],[الكود]]="","",VLOOKUP(Table6[[#This Row],[الكود]],Data[],100,0)),"")</f>
        <v>1684.62</v>
      </c>
      <c r="K123" s="54">
        <f>IF(Table6[[#This Row],[الاجر الشامل]]=0,"",I123*11%)</f>
        <v>617.69180000000006</v>
      </c>
      <c r="L123" s="54">
        <f>IF(Table6[[#This Row],[الاجر الشامل]]=0,"",I123*18.75%)</f>
        <v>1052.88375</v>
      </c>
      <c r="M123" s="17" t="str">
        <f>VLOOKUP(Table6[[#This Row],[الكود]],Data[],63,0)</f>
        <v>موجودة</v>
      </c>
      <c r="N123" s="17" t="str">
        <f>VLOOKUP(Table6[[#This Row],[الكود]],Data[],64,0)</f>
        <v>موجودة</v>
      </c>
      <c r="O123" s="17" t="b">
        <f>VLOOKUP(Table6[[#This Row],[الكود]],Data[],65,0)</f>
        <v>1</v>
      </c>
      <c r="P123" s="17" t="b">
        <f>VLOOKUP(Table6[[#This Row],[الكود]],Data[],67,0)</f>
        <v>1</v>
      </c>
      <c r="Q123" s="17"/>
      <c r="R123" s="17" t="b">
        <f>VLOOKUP(Table6[[#This Row],[الكود]],Data[],71,0)</f>
        <v>1</v>
      </c>
      <c r="S123" s="17" t="b">
        <f>VLOOKUP(Table6[[#This Row],[الكود]],Data[],73,0)</f>
        <v>1</v>
      </c>
      <c r="T123" s="41"/>
    </row>
    <row r="124" spans="1:20" ht="16.8" x14ac:dyDescent="0.25">
      <c r="A124" s="9">
        <v>663</v>
      </c>
      <c r="B124" s="10" t="s">
        <v>207</v>
      </c>
      <c r="C124" s="10" t="str">
        <f>VLOOKUP(Table6[[#This Row],[الكود]],Data[],12,0)</f>
        <v>29105181301614</v>
      </c>
      <c r="D124" s="10" t="str">
        <f>VLOOKUP(Table6[[#This Row],[الكود]],Data[],10,0)</f>
        <v>مصرى</v>
      </c>
      <c r="E124" s="10" t="str">
        <f>VLOOKUP(Table6[[#This Row],[الكود]],Data[],25,0)</f>
        <v>غير مؤمن</v>
      </c>
      <c r="F124" s="63">
        <f>VLOOKUP(Table6[[#This Row],[الكود]],Data[],88,0)</f>
        <v>45852</v>
      </c>
      <c r="G124" s="10"/>
      <c r="H124" s="54">
        <f>_xlfn.IFNA(IF(Table6[[#This Row],[الكود]]="","",VLOOKUP(Table6[[#This Row],[الكود]],Data[],97,0)),"")</f>
        <v>7500</v>
      </c>
      <c r="I124" s="54">
        <f>_xlfn.IFNA(IF(Table6[[#This Row],[الكود]]="","",VLOOKUP(Table6[[#This Row],[الكود]],Data[],99,0)),"")</f>
        <v>5769.23</v>
      </c>
      <c r="J124" s="54">
        <f>_xlfn.IFNA(IF(Table6[[#This Row],[الكود]]="","",VLOOKUP(Table6[[#This Row],[الكود]],Data[],100,0)),"")</f>
        <v>1730.77</v>
      </c>
      <c r="K124" s="54">
        <f>IF(Table6[[#This Row],[الاجر الشامل]]=0,"",I124*11%)</f>
        <v>634.61529999999993</v>
      </c>
      <c r="L124" s="54">
        <f>IF(Table6[[#This Row],[الاجر الشامل]]=0,"",I124*18.75%)</f>
        <v>1081.7306249999999</v>
      </c>
      <c r="M124" s="17" t="str">
        <f>VLOOKUP(Table6[[#This Row],[الكود]],Data[],63,0)</f>
        <v>موجودة</v>
      </c>
      <c r="N124" s="17" t="str">
        <f>VLOOKUP(Table6[[#This Row],[الكود]],Data[],64,0)</f>
        <v>موجودة</v>
      </c>
      <c r="O124" s="17" t="b">
        <f>VLOOKUP(Table6[[#This Row],[الكود]],Data[],65,0)</f>
        <v>1</v>
      </c>
      <c r="P124" s="17" t="b">
        <f>VLOOKUP(Table6[[#This Row],[الكود]],Data[],67,0)</f>
        <v>1</v>
      </c>
      <c r="Q124" s="17"/>
      <c r="R124" s="17" t="b">
        <f>VLOOKUP(Table6[[#This Row],[الكود]],Data[],71,0)</f>
        <v>1</v>
      </c>
      <c r="S124" s="17" t="b">
        <f>VLOOKUP(Table6[[#This Row],[الكود]],Data[],73,0)</f>
        <v>0</v>
      </c>
      <c r="T124" s="41"/>
    </row>
    <row r="125" spans="1:20" ht="16.8" x14ac:dyDescent="0.25">
      <c r="A125" s="9">
        <v>668</v>
      </c>
      <c r="B125" s="10" t="s">
        <v>210</v>
      </c>
      <c r="C125" s="10" t="str">
        <f>VLOOKUP(Table6[[#This Row],[الكود]],Data[],12,0)</f>
        <v>29003251303051</v>
      </c>
      <c r="D125" s="10" t="str">
        <f>VLOOKUP(Table6[[#This Row],[الكود]],Data[],10,0)</f>
        <v>مصرى</v>
      </c>
      <c r="E125" s="10" t="str">
        <f>VLOOKUP(Table6[[#This Row],[الكود]],Data[],25,0)</f>
        <v>غير مؤمن</v>
      </c>
      <c r="F125" s="63">
        <f>VLOOKUP(Table6[[#This Row],[الكود]],Data[],88,0)</f>
        <v>45840</v>
      </c>
      <c r="G125" s="10"/>
      <c r="H125" s="54">
        <f>_xlfn.IFNA(IF(Table6[[#This Row],[الكود]]="","",VLOOKUP(Table6[[#This Row],[الكود]],Data[],97,0)),"")</f>
        <v>7500</v>
      </c>
      <c r="I125" s="54">
        <f>_xlfn.IFNA(IF(Table6[[#This Row],[الكود]]="","",VLOOKUP(Table6[[#This Row],[الكود]],Data[],99,0)),"")</f>
        <v>5769.23</v>
      </c>
      <c r="J125" s="54">
        <f>_xlfn.IFNA(IF(Table6[[#This Row],[الكود]]="","",VLOOKUP(Table6[[#This Row],[الكود]],Data[],100,0)),"")</f>
        <v>1730.77</v>
      </c>
      <c r="K125" s="54">
        <f>IF(Table6[[#This Row],[الاجر الشامل]]=0,"",I125*11%)</f>
        <v>634.61529999999993</v>
      </c>
      <c r="L125" s="54">
        <f>IF(Table6[[#This Row],[الاجر الشامل]]=0,"",I125*18.75%)</f>
        <v>1081.7306249999999</v>
      </c>
      <c r="M125" s="17" t="str">
        <f>VLOOKUP(Table6[[#This Row],[الكود]],Data[],63,0)</f>
        <v>موجودة</v>
      </c>
      <c r="N125" s="17" t="str">
        <f>VLOOKUP(Table6[[#This Row],[الكود]],Data[],64,0)</f>
        <v>موجودة</v>
      </c>
      <c r="O125" s="17" t="b">
        <f>VLOOKUP(Table6[[#This Row],[الكود]],Data[],65,0)</f>
        <v>1</v>
      </c>
      <c r="P125" s="17" t="b">
        <f>VLOOKUP(Table6[[#This Row],[الكود]],Data[],67,0)</f>
        <v>1</v>
      </c>
      <c r="Q125" s="17"/>
      <c r="R125" s="17" t="b">
        <f>VLOOKUP(Table6[[#This Row],[الكود]],Data[],71,0)</f>
        <v>1</v>
      </c>
      <c r="S125" s="17" t="b">
        <f>VLOOKUP(Table6[[#This Row],[الكود]],Data[],73,0)</f>
        <v>0</v>
      </c>
      <c r="T125" s="41"/>
    </row>
    <row r="126" spans="1:20" ht="16.8" x14ac:dyDescent="0.25">
      <c r="A126" s="9">
        <v>677</v>
      </c>
      <c r="B126" s="10" t="s">
        <v>212</v>
      </c>
      <c r="C126" s="10" t="str">
        <f>VLOOKUP(Table6[[#This Row],[الكود]],Data[],12,0)</f>
        <v>29308121301397</v>
      </c>
      <c r="D126" s="10" t="str">
        <f>VLOOKUP(Table6[[#This Row],[الكود]],Data[],10,0)</f>
        <v>مصرى</v>
      </c>
      <c r="E126" s="10" t="str">
        <f>VLOOKUP(Table6[[#This Row],[الكود]],Data[],25,0)</f>
        <v>غير مؤمن</v>
      </c>
      <c r="F126" s="63">
        <f>VLOOKUP(Table6[[#This Row],[الكود]],Data[],88,0)</f>
        <v>45852</v>
      </c>
      <c r="G126" s="10"/>
      <c r="H126" s="54">
        <f>_xlfn.IFNA(IF(Table6[[#This Row],[الكود]]="","",VLOOKUP(Table6[[#This Row],[الكود]],Data[],97,0)),"")</f>
        <v>7500</v>
      </c>
      <c r="I126" s="54">
        <f>_xlfn.IFNA(IF(Table6[[#This Row],[الكود]]="","",VLOOKUP(Table6[[#This Row],[الكود]],Data[],99,0)),"")</f>
        <v>5769.23</v>
      </c>
      <c r="J126" s="54">
        <f>_xlfn.IFNA(IF(Table6[[#This Row],[الكود]]="","",VLOOKUP(Table6[[#This Row],[الكود]],Data[],100,0)),"")</f>
        <v>1730.77</v>
      </c>
      <c r="K126" s="54">
        <f>IF(Table6[[#This Row],[الاجر الشامل]]=0,"",I126*11%)</f>
        <v>634.61529999999993</v>
      </c>
      <c r="L126" s="54">
        <f>IF(Table6[[#This Row],[الاجر الشامل]]=0,"",I126*18.75%)</f>
        <v>1081.7306249999999</v>
      </c>
      <c r="M126" s="17" t="str">
        <f>VLOOKUP(Table6[[#This Row],[الكود]],Data[],63,0)</f>
        <v>موجودة</v>
      </c>
      <c r="N126" s="17" t="str">
        <f>VLOOKUP(Table6[[#This Row],[الكود]],Data[],64,0)</f>
        <v>موجودة</v>
      </c>
      <c r="O126" s="17" t="b">
        <f>VLOOKUP(Table6[[#This Row],[الكود]],Data[],65,0)</f>
        <v>1</v>
      </c>
      <c r="P126" s="17" t="b">
        <f>VLOOKUP(Table6[[#This Row],[الكود]],Data[],67,0)</f>
        <v>1</v>
      </c>
      <c r="Q126" s="17"/>
      <c r="R126" s="17" t="b">
        <f>VLOOKUP(Table6[[#This Row],[الكود]],Data[],71,0)</f>
        <v>1</v>
      </c>
      <c r="S126" s="17" t="b">
        <f>VLOOKUP(Table6[[#This Row],[الكود]],Data[],73,0)</f>
        <v>0</v>
      </c>
      <c r="T126" s="41"/>
    </row>
    <row r="127" spans="1:20" ht="16.8" x14ac:dyDescent="0.25">
      <c r="A127" s="9">
        <v>682</v>
      </c>
      <c r="B127" s="10" t="s">
        <v>213</v>
      </c>
      <c r="C127" s="10" t="str">
        <f>VLOOKUP(Table6[[#This Row],[الكود]],Data[],12,0)</f>
        <v>29712241300373</v>
      </c>
      <c r="D127" s="10" t="str">
        <f>VLOOKUP(Table6[[#This Row],[الكود]],Data[],10,0)</f>
        <v>مصرى</v>
      </c>
      <c r="E127" s="10" t="str">
        <f>VLOOKUP(Table6[[#This Row],[الكود]],Data[],25,0)</f>
        <v>غير مؤمن</v>
      </c>
      <c r="F127" s="63">
        <f>VLOOKUP(Table6[[#This Row],[الكود]],Data[],88,0)</f>
        <v>45845</v>
      </c>
      <c r="G127" s="10"/>
      <c r="H127" s="54">
        <f>_xlfn.IFNA(IF(Table6[[#This Row],[الكود]]="","",VLOOKUP(Table6[[#This Row],[الكود]],Data[],97,0)),"")</f>
        <v>7400</v>
      </c>
      <c r="I127" s="54">
        <f>_xlfn.IFNA(IF(Table6[[#This Row],[الكود]]="","",VLOOKUP(Table6[[#This Row],[الكود]],Data[],99,0)),"")</f>
        <v>5692.31</v>
      </c>
      <c r="J127" s="54">
        <f>_xlfn.IFNA(IF(Table6[[#This Row],[الكود]]="","",VLOOKUP(Table6[[#This Row],[الكود]],Data[],100,0)),"")</f>
        <v>1707.69</v>
      </c>
      <c r="K127" s="54">
        <f>IF(Table6[[#This Row],[الاجر الشامل]]=0,"",I127*11%)</f>
        <v>626.15410000000008</v>
      </c>
      <c r="L127" s="54">
        <f>IF(Table6[[#This Row],[الاجر الشامل]]=0,"",I127*18.75%)</f>
        <v>1067.308125</v>
      </c>
      <c r="M127" s="17" t="str">
        <f>VLOOKUP(Table6[[#This Row],[الكود]],Data[],63,0)</f>
        <v>موجودة</v>
      </c>
      <c r="N127" s="17" t="str">
        <f>VLOOKUP(Table6[[#This Row],[الكود]],Data[],64,0)</f>
        <v>موجودة</v>
      </c>
      <c r="O127" s="17" t="b">
        <f>VLOOKUP(Table6[[#This Row],[الكود]],Data[],65,0)</f>
        <v>1</v>
      </c>
      <c r="P127" s="17" t="b">
        <f>VLOOKUP(Table6[[#This Row],[الكود]],Data[],67,0)</f>
        <v>1</v>
      </c>
      <c r="Q127" s="17"/>
      <c r="R127" s="17" t="b">
        <f>VLOOKUP(Table6[[#This Row],[الكود]],Data[],71,0)</f>
        <v>1</v>
      </c>
      <c r="S127" s="17" t="b">
        <f>VLOOKUP(Table6[[#This Row],[الكود]],Data[],73,0)</f>
        <v>0</v>
      </c>
      <c r="T127" s="41"/>
    </row>
    <row r="128" spans="1:20" ht="16.8" x14ac:dyDescent="0.25">
      <c r="A128" s="9">
        <v>684</v>
      </c>
      <c r="B128" s="10" t="s">
        <v>216</v>
      </c>
      <c r="C128" s="10" t="str">
        <f>VLOOKUP(Table6[[#This Row],[الكود]],Data[],12,0)</f>
        <v>29910051300578</v>
      </c>
      <c r="D128" s="10" t="str">
        <f>VLOOKUP(Table6[[#This Row],[الكود]],Data[],10,0)</f>
        <v>مصرى</v>
      </c>
      <c r="E128" s="10" t="str">
        <f>VLOOKUP(Table6[[#This Row],[الكود]],Data[],25,0)</f>
        <v>غير مؤمن</v>
      </c>
      <c r="F128" s="63">
        <f>VLOOKUP(Table6[[#This Row],[الكود]],Data[],88,0)</f>
        <v>45853</v>
      </c>
      <c r="G128" s="10"/>
      <c r="H128" s="54">
        <f>_xlfn.IFNA(IF(Table6[[#This Row],[الكود]]="","",VLOOKUP(Table6[[#This Row],[الكود]],Data[],97,0)),"")</f>
        <v>7300</v>
      </c>
      <c r="I128" s="54">
        <f>_xlfn.IFNA(IF(Table6[[#This Row],[الكود]]="","",VLOOKUP(Table6[[#This Row],[الكود]],Data[],99,0)),"")</f>
        <v>5615.38</v>
      </c>
      <c r="J128" s="54">
        <f>_xlfn.IFNA(IF(Table6[[#This Row],[الكود]]="","",VLOOKUP(Table6[[#This Row],[الكود]],Data[],100,0)),"")</f>
        <v>1684.62</v>
      </c>
      <c r="K128" s="54">
        <f>IF(Table6[[#This Row],[الاجر الشامل]]=0,"",I128*11%)</f>
        <v>617.69180000000006</v>
      </c>
      <c r="L128" s="54">
        <f>IF(Table6[[#This Row],[الاجر الشامل]]=0,"",I128*18.75%)</f>
        <v>1052.88375</v>
      </c>
      <c r="M128" s="17" t="str">
        <f>VLOOKUP(Table6[[#This Row],[الكود]],Data[],63,0)</f>
        <v>موجودة</v>
      </c>
      <c r="N128" s="17" t="str">
        <f>VLOOKUP(Table6[[#This Row],[الكود]],Data[],64,0)</f>
        <v>متوسط</v>
      </c>
      <c r="O128" s="17" t="b">
        <f>VLOOKUP(Table6[[#This Row],[الكود]],Data[],65,0)</f>
        <v>1</v>
      </c>
      <c r="P128" s="17" t="b">
        <f>VLOOKUP(Table6[[#This Row],[الكود]],Data[],67,0)</f>
        <v>1</v>
      </c>
      <c r="Q128" s="17"/>
      <c r="R128" s="17" t="b">
        <f>VLOOKUP(Table6[[#This Row],[الكود]],Data[],71,0)</f>
        <v>1</v>
      </c>
      <c r="S128" s="17" t="b">
        <f>VLOOKUP(Table6[[#This Row],[الكود]],Data[],73,0)</f>
        <v>0</v>
      </c>
      <c r="T128" s="41"/>
    </row>
    <row r="129" spans="1:20" ht="16.8" x14ac:dyDescent="0.25">
      <c r="A129" s="9">
        <v>685</v>
      </c>
      <c r="B129" s="10" t="s">
        <v>217</v>
      </c>
      <c r="C129" s="10" t="str">
        <f>VLOOKUP(Table6[[#This Row],[الكود]],Data[],12,0)</f>
        <v>28810011327611</v>
      </c>
      <c r="D129" s="10" t="str">
        <f>VLOOKUP(Table6[[#This Row],[الكود]],Data[],10,0)</f>
        <v>مصرى</v>
      </c>
      <c r="E129" s="10" t="str">
        <f>VLOOKUP(Table6[[#This Row],[الكود]],Data[],25,0)</f>
        <v>غير مؤمن</v>
      </c>
      <c r="F129" s="63">
        <f>VLOOKUP(Table6[[#This Row],[الكود]],Data[],88,0)</f>
        <v>45843</v>
      </c>
      <c r="G129" s="10"/>
      <c r="H129" s="54">
        <f>_xlfn.IFNA(IF(Table6[[#This Row],[الكود]]="","",VLOOKUP(Table6[[#This Row],[الكود]],Data[],97,0)),"")</f>
        <v>7500</v>
      </c>
      <c r="I129" s="54">
        <f>_xlfn.IFNA(IF(Table6[[#This Row],[الكود]]="","",VLOOKUP(Table6[[#This Row],[الكود]],Data[],99,0)),"")</f>
        <v>5769.23</v>
      </c>
      <c r="J129" s="54">
        <f>_xlfn.IFNA(IF(Table6[[#This Row],[الكود]]="","",VLOOKUP(Table6[[#This Row],[الكود]],Data[],100,0)),"")</f>
        <v>1730.77</v>
      </c>
      <c r="K129" s="54">
        <f>IF(Table6[[#This Row],[الاجر الشامل]]=0,"",I129*11%)</f>
        <v>634.61529999999993</v>
      </c>
      <c r="L129" s="54">
        <f>IF(Table6[[#This Row],[الاجر الشامل]]=0,"",I129*18.75%)</f>
        <v>1081.7306249999999</v>
      </c>
      <c r="M129" s="17" t="str">
        <f>VLOOKUP(Table6[[#This Row],[الكود]],Data[],63,0)</f>
        <v>موجودة</v>
      </c>
      <c r="N129" s="17" t="str">
        <f>VLOOKUP(Table6[[#This Row],[الكود]],Data[],64,0)</f>
        <v>موجودة</v>
      </c>
      <c r="O129" s="17" t="b">
        <f>VLOOKUP(Table6[[#This Row],[الكود]],Data[],65,0)</f>
        <v>1</v>
      </c>
      <c r="P129" s="17" t="b">
        <f>VLOOKUP(Table6[[#This Row],[الكود]],Data[],67,0)</f>
        <v>1</v>
      </c>
      <c r="Q129" s="17"/>
      <c r="R129" s="17" t="b">
        <f>VLOOKUP(Table6[[#This Row],[الكود]],Data[],71,0)</f>
        <v>1</v>
      </c>
      <c r="S129" s="17" t="b">
        <f>VLOOKUP(Table6[[#This Row],[الكود]],Data[],73,0)</f>
        <v>0</v>
      </c>
      <c r="T129" s="41"/>
    </row>
    <row r="130" spans="1:20" ht="16.8" x14ac:dyDescent="0.25">
      <c r="A130" s="9">
        <v>687</v>
      </c>
      <c r="B130" s="10" t="s">
        <v>218</v>
      </c>
      <c r="C130" s="10" t="str">
        <f>VLOOKUP(Table6[[#This Row],[الكود]],Data[],12,0)</f>
        <v>29606131301671</v>
      </c>
      <c r="D130" s="10" t="str">
        <f>VLOOKUP(Table6[[#This Row],[الكود]],Data[],10,0)</f>
        <v>مصرى</v>
      </c>
      <c r="E130" s="10" t="str">
        <f>VLOOKUP(Table6[[#This Row],[الكود]],Data[],25,0)</f>
        <v>غير مؤمن</v>
      </c>
      <c r="F130" s="63">
        <f>VLOOKUP(Table6[[#This Row],[الكود]],Data[],88,0)</f>
        <v>45843</v>
      </c>
      <c r="G130" s="10"/>
      <c r="H130" s="54">
        <f>_xlfn.IFNA(IF(Table6[[#This Row],[الكود]]="","",VLOOKUP(Table6[[#This Row],[الكود]],Data[],97,0)),"")</f>
        <v>7300</v>
      </c>
      <c r="I130" s="54">
        <f>_xlfn.IFNA(IF(Table6[[#This Row],[الكود]]="","",VLOOKUP(Table6[[#This Row],[الكود]],Data[],99,0)),"")</f>
        <v>5615.38</v>
      </c>
      <c r="J130" s="54">
        <f>_xlfn.IFNA(IF(Table6[[#This Row],[الكود]]="","",VLOOKUP(Table6[[#This Row],[الكود]],Data[],100,0)),"")</f>
        <v>1684.62</v>
      </c>
      <c r="K130" s="54">
        <f>IF(Table6[[#This Row],[الاجر الشامل]]=0,"",I130*11%)</f>
        <v>617.69180000000006</v>
      </c>
      <c r="L130" s="54">
        <f>IF(Table6[[#This Row],[الاجر الشامل]]=0,"",I130*18.75%)</f>
        <v>1052.88375</v>
      </c>
      <c r="M130" s="17" t="str">
        <f>VLOOKUP(Table6[[#This Row],[الكود]],Data[],63,0)</f>
        <v>موجودة</v>
      </c>
      <c r="N130" s="17" t="str">
        <f>VLOOKUP(Table6[[#This Row],[الكود]],Data[],64,0)</f>
        <v>موجودة</v>
      </c>
      <c r="O130" s="17" t="b">
        <f>VLOOKUP(Table6[[#This Row],[الكود]],Data[],65,0)</f>
        <v>1</v>
      </c>
      <c r="P130" s="17" t="b">
        <f>VLOOKUP(Table6[[#This Row],[الكود]],Data[],67,0)</f>
        <v>1</v>
      </c>
      <c r="Q130" s="17"/>
      <c r="R130" s="17" t="b">
        <f>VLOOKUP(Table6[[#This Row],[الكود]],Data[],71,0)</f>
        <v>1</v>
      </c>
      <c r="S130" s="17" t="b">
        <f>VLOOKUP(Table6[[#This Row],[الكود]],Data[],73,0)</f>
        <v>0</v>
      </c>
      <c r="T130" s="41"/>
    </row>
    <row r="131" spans="1:20" ht="16.8" x14ac:dyDescent="0.25">
      <c r="A131" s="9">
        <v>690</v>
      </c>
      <c r="B131" s="10" t="s">
        <v>220</v>
      </c>
      <c r="C131" s="10" t="str">
        <f>VLOOKUP(Table6[[#This Row],[الكود]],Data[],12,0)</f>
        <v>29302121300392</v>
      </c>
      <c r="D131" s="10" t="str">
        <f>VLOOKUP(Table6[[#This Row],[الكود]],Data[],10,0)</f>
        <v>مصرى</v>
      </c>
      <c r="E131" s="10" t="str">
        <f>VLOOKUP(Table6[[#This Row],[الكود]],Data[],25,0)</f>
        <v>غير مؤمن</v>
      </c>
      <c r="F131" s="63">
        <f>VLOOKUP(Table6[[#This Row],[الكود]],Data[],88,0)</f>
        <v>45843</v>
      </c>
      <c r="G131" s="10"/>
      <c r="H131" s="54">
        <f>_xlfn.IFNA(IF(Table6[[#This Row],[الكود]]="","",VLOOKUP(Table6[[#This Row],[الكود]],Data[],97,0)),"")</f>
        <v>7100</v>
      </c>
      <c r="I131" s="54">
        <f>_xlfn.IFNA(IF(Table6[[#This Row],[الكود]]="","",VLOOKUP(Table6[[#This Row],[الكود]],Data[],99,0)),"")</f>
        <v>5461.54</v>
      </c>
      <c r="J131" s="54">
        <f>_xlfn.IFNA(IF(Table6[[#This Row],[الكود]]="","",VLOOKUP(Table6[[#This Row],[الكود]],Data[],100,0)),"")</f>
        <v>1638.46</v>
      </c>
      <c r="K131" s="54">
        <f>IF(Table6[[#This Row],[الاجر الشامل]]=0,"",I131*11%)</f>
        <v>600.76940000000002</v>
      </c>
      <c r="L131" s="54">
        <f>IF(Table6[[#This Row],[الاجر الشامل]]=0,"",I131*18.75%)</f>
        <v>1024.0387499999999</v>
      </c>
      <c r="M131" s="17" t="str">
        <f>VLOOKUP(Table6[[#This Row],[الكود]],Data[],63,0)</f>
        <v>معافى مؤقت</v>
      </c>
      <c r="N131" s="17" t="str">
        <f>VLOOKUP(Table6[[#This Row],[الكود]],Data[],64,0)</f>
        <v>موجودة</v>
      </c>
      <c r="O131" s="17" t="b">
        <f>VLOOKUP(Table6[[#This Row],[الكود]],Data[],65,0)</f>
        <v>1</v>
      </c>
      <c r="P131" s="17" t="b">
        <f>VLOOKUP(Table6[[#This Row],[الكود]],Data[],67,0)</f>
        <v>1</v>
      </c>
      <c r="Q131" s="17"/>
      <c r="R131" s="17" t="b">
        <f>VLOOKUP(Table6[[#This Row],[الكود]],Data[],71,0)</f>
        <v>1</v>
      </c>
      <c r="S131" s="17" t="b">
        <f>VLOOKUP(Table6[[#This Row],[الكود]],Data[],73,0)</f>
        <v>0</v>
      </c>
      <c r="T131" s="41"/>
    </row>
    <row r="132" spans="1:20" ht="16.8" x14ac:dyDescent="0.25">
      <c r="A132" s="9">
        <v>692</v>
      </c>
      <c r="B132" s="10" t="s">
        <v>221</v>
      </c>
      <c r="C132" s="10" t="str">
        <f>VLOOKUP(Table6[[#This Row],[الكود]],Data[],12,0)</f>
        <v>29107211301811</v>
      </c>
      <c r="D132" s="10" t="str">
        <f>VLOOKUP(Table6[[#This Row],[الكود]],Data[],10,0)</f>
        <v>مصرى</v>
      </c>
      <c r="E132" s="10" t="str">
        <f>VLOOKUP(Table6[[#This Row],[الكود]],Data[],25,0)</f>
        <v>غير مؤمن</v>
      </c>
      <c r="F132" s="63">
        <f>VLOOKUP(Table6[[#This Row],[الكود]],Data[],88,0)</f>
        <v>45840</v>
      </c>
      <c r="G132" s="10"/>
      <c r="H132" s="54">
        <f>_xlfn.IFNA(IF(Table6[[#This Row],[الكود]]="","",VLOOKUP(Table6[[#This Row],[الكود]],Data[],97,0)),"")</f>
        <v>7500</v>
      </c>
      <c r="I132" s="54">
        <f>_xlfn.IFNA(IF(Table6[[#This Row],[الكود]]="","",VLOOKUP(Table6[[#This Row],[الكود]],Data[],99,0)),"")</f>
        <v>5769.23</v>
      </c>
      <c r="J132" s="54">
        <f>_xlfn.IFNA(IF(Table6[[#This Row],[الكود]]="","",VLOOKUP(Table6[[#This Row],[الكود]],Data[],100,0)),"")</f>
        <v>1730.77</v>
      </c>
      <c r="K132" s="54">
        <f>IF(Table6[[#This Row],[الاجر الشامل]]=0,"",I132*11%)</f>
        <v>634.61529999999993</v>
      </c>
      <c r="L132" s="54">
        <f>IF(Table6[[#This Row],[الاجر الشامل]]=0,"",I132*18.75%)</f>
        <v>1081.7306249999999</v>
      </c>
      <c r="M132" s="17" t="str">
        <f>VLOOKUP(Table6[[#This Row],[الكود]],Data[],63,0)</f>
        <v>موجودة</v>
      </c>
      <c r="N132" s="17" t="str">
        <f>VLOOKUP(Table6[[#This Row],[الكود]],Data[],64,0)</f>
        <v>موجودة</v>
      </c>
      <c r="O132" s="17" t="b">
        <f>VLOOKUP(Table6[[#This Row],[الكود]],Data[],65,0)</f>
        <v>1</v>
      </c>
      <c r="P132" s="17" t="b">
        <f>VLOOKUP(Table6[[#This Row],[الكود]],Data[],67,0)</f>
        <v>1</v>
      </c>
      <c r="Q132" s="17"/>
      <c r="R132" s="17" t="b">
        <f>VLOOKUP(Table6[[#This Row],[الكود]],Data[],71,0)</f>
        <v>1</v>
      </c>
      <c r="S132" s="17" t="b">
        <f>VLOOKUP(Table6[[#This Row],[الكود]],Data[],73,0)</f>
        <v>1</v>
      </c>
      <c r="T132" s="41"/>
    </row>
    <row r="133" spans="1:20" ht="16.8" x14ac:dyDescent="0.25">
      <c r="A133" s="9">
        <v>702</v>
      </c>
      <c r="B133" s="10" t="s">
        <v>222</v>
      </c>
      <c r="C133" s="10" t="str">
        <f>VLOOKUP(Table6[[#This Row],[الكود]],Data[],12,0)</f>
        <v>28902091500417</v>
      </c>
      <c r="D133" s="10" t="str">
        <f>VLOOKUP(Table6[[#This Row],[الكود]],Data[],10,0)</f>
        <v>مصرى</v>
      </c>
      <c r="E133" s="10" t="str">
        <f>VLOOKUP(Table6[[#This Row],[الكود]],Data[],25,0)</f>
        <v>غير مؤمن</v>
      </c>
      <c r="F133" s="63">
        <f>VLOOKUP(Table6[[#This Row],[الكود]],Data[],88,0)</f>
        <v>45843</v>
      </c>
      <c r="G133" s="10"/>
      <c r="H133" s="54">
        <f>_xlfn.IFNA(IF(Table6[[#This Row],[الكود]]="","",VLOOKUP(Table6[[#This Row],[الكود]],Data[],97,0)),"")</f>
        <v>7500</v>
      </c>
      <c r="I133" s="54">
        <f>_xlfn.IFNA(IF(Table6[[#This Row],[الكود]]="","",VLOOKUP(Table6[[#This Row],[الكود]],Data[],99,0)),"")</f>
        <v>5769.23</v>
      </c>
      <c r="J133" s="54">
        <f>_xlfn.IFNA(IF(Table6[[#This Row],[الكود]]="","",VLOOKUP(Table6[[#This Row],[الكود]],Data[],100,0)),"")</f>
        <v>1730.77</v>
      </c>
      <c r="K133" s="54">
        <f>IF(Table6[[#This Row],[الاجر الشامل]]=0,"",I133*11%)</f>
        <v>634.61529999999993</v>
      </c>
      <c r="L133" s="54">
        <f>IF(Table6[[#This Row],[الاجر الشامل]]=0,"",I133*18.75%)</f>
        <v>1081.7306249999999</v>
      </c>
      <c r="M133" s="17" t="str">
        <f>VLOOKUP(Table6[[#This Row],[الكود]],Data[],63,0)</f>
        <v>موجودة</v>
      </c>
      <c r="N133" s="17" t="str">
        <f>VLOOKUP(Table6[[#This Row],[الكود]],Data[],64,0)</f>
        <v>موجودة</v>
      </c>
      <c r="O133" s="17" t="b">
        <f>VLOOKUP(Table6[[#This Row],[الكود]],Data[],65,0)</f>
        <v>1</v>
      </c>
      <c r="P133" s="17" t="b">
        <f>VLOOKUP(Table6[[#This Row],[الكود]],Data[],67,0)</f>
        <v>1</v>
      </c>
      <c r="Q133" s="17"/>
      <c r="R133" s="17" t="b">
        <f>VLOOKUP(Table6[[#This Row],[الكود]],Data[],71,0)</f>
        <v>0</v>
      </c>
      <c r="S133" s="17" t="b">
        <f>VLOOKUP(Table6[[#This Row],[الكود]],Data[],73,0)</f>
        <v>0</v>
      </c>
      <c r="T133" s="41"/>
    </row>
    <row r="134" spans="1:20" ht="16.8" x14ac:dyDescent="0.25">
      <c r="A134" s="9">
        <v>715</v>
      </c>
      <c r="B134" s="10" t="s">
        <v>223</v>
      </c>
      <c r="C134" s="10" t="str">
        <f>VLOOKUP(Table6[[#This Row],[الكود]],Data[],12,0)</f>
        <v>29201092702892</v>
      </c>
      <c r="D134" s="10" t="str">
        <f>VLOOKUP(Table6[[#This Row],[الكود]],Data[],10,0)</f>
        <v>مصرى</v>
      </c>
      <c r="E134" s="10" t="str">
        <f>VLOOKUP(Table6[[#This Row],[الكود]],Data[],25,0)</f>
        <v>غير مؤمن</v>
      </c>
      <c r="F134" s="63">
        <f>VLOOKUP(Table6[[#This Row],[الكود]],Data[],88,0)</f>
        <v>45844</v>
      </c>
      <c r="G134" s="10"/>
      <c r="H134" s="54">
        <f>_xlfn.IFNA(IF(Table6[[#This Row],[الكود]]="","",VLOOKUP(Table6[[#This Row],[الكود]],Data[],97,0)),"")</f>
        <v>7300</v>
      </c>
      <c r="I134" s="54">
        <f>_xlfn.IFNA(IF(Table6[[#This Row],[الكود]]="","",VLOOKUP(Table6[[#This Row],[الكود]],Data[],99,0)),"")</f>
        <v>5615.38</v>
      </c>
      <c r="J134" s="54">
        <f>_xlfn.IFNA(IF(Table6[[#This Row],[الكود]]="","",VLOOKUP(Table6[[#This Row],[الكود]],Data[],100,0)),"")</f>
        <v>1684.62</v>
      </c>
      <c r="K134" s="54">
        <f>IF(Table6[[#This Row],[الاجر الشامل]]=0,"",I134*11%)</f>
        <v>617.69180000000006</v>
      </c>
      <c r="L134" s="54">
        <f>IF(Table6[[#This Row],[الاجر الشامل]]=0,"",I134*18.75%)</f>
        <v>1052.88375</v>
      </c>
      <c r="M134" s="17" t="str">
        <f>VLOOKUP(Table6[[#This Row],[الكود]],Data[],63,0)</f>
        <v>موجودة</v>
      </c>
      <c r="N134" s="17" t="str">
        <f>VLOOKUP(Table6[[#This Row],[الكود]],Data[],64,0)</f>
        <v>متوسط</v>
      </c>
      <c r="O134" s="17" t="b">
        <f>VLOOKUP(Table6[[#This Row],[الكود]],Data[],65,0)</f>
        <v>1</v>
      </c>
      <c r="P134" s="17" t="b">
        <f>VLOOKUP(Table6[[#This Row],[الكود]],Data[],67,0)</f>
        <v>1</v>
      </c>
      <c r="Q134" s="17"/>
      <c r="R134" s="17" t="b">
        <f>VLOOKUP(Table6[[#This Row],[الكود]],Data[],71,0)</f>
        <v>1</v>
      </c>
      <c r="S134" s="17" t="b">
        <f>VLOOKUP(Table6[[#This Row],[الكود]],Data[],73,0)</f>
        <v>1</v>
      </c>
      <c r="T134" s="41"/>
    </row>
    <row r="135" spans="1:20" ht="16.8" x14ac:dyDescent="0.25">
      <c r="A135" s="9">
        <v>717</v>
      </c>
      <c r="B135" s="10" t="s">
        <v>224</v>
      </c>
      <c r="C135" s="10" t="str">
        <f>VLOOKUP(Table6[[#This Row],[الكود]],Data[],12,0)</f>
        <v>29109281500512</v>
      </c>
      <c r="D135" s="10" t="str">
        <f>VLOOKUP(Table6[[#This Row],[الكود]],Data[],10,0)</f>
        <v>مصرى</v>
      </c>
      <c r="E135" s="10" t="str">
        <f>VLOOKUP(Table6[[#This Row],[الكود]],Data[],25,0)</f>
        <v>غير مؤمن</v>
      </c>
      <c r="F135" s="63">
        <f>VLOOKUP(Table6[[#This Row],[الكود]],Data[],88,0)</f>
        <v>45852</v>
      </c>
      <c r="G135" s="10"/>
      <c r="H135" s="54">
        <f>_xlfn.IFNA(IF(Table6[[#This Row],[الكود]]="","",VLOOKUP(Table6[[#This Row],[الكود]],Data[],97,0)),"")</f>
        <v>7300</v>
      </c>
      <c r="I135" s="54">
        <f>_xlfn.IFNA(IF(Table6[[#This Row],[الكود]]="","",VLOOKUP(Table6[[#This Row],[الكود]],Data[],99,0)),"")</f>
        <v>5615.38</v>
      </c>
      <c r="J135" s="54">
        <f>_xlfn.IFNA(IF(Table6[[#This Row],[الكود]]="","",VLOOKUP(Table6[[#This Row],[الكود]],Data[],100,0)),"")</f>
        <v>1684.62</v>
      </c>
      <c r="K135" s="54">
        <f>IF(Table6[[#This Row],[الاجر الشامل]]=0,"",I135*11%)</f>
        <v>617.69180000000006</v>
      </c>
      <c r="L135" s="54">
        <f>IF(Table6[[#This Row],[الاجر الشامل]]=0,"",I135*18.75%)</f>
        <v>1052.88375</v>
      </c>
      <c r="M135" s="17" t="str">
        <f>VLOOKUP(Table6[[#This Row],[الكود]],Data[],63,0)</f>
        <v>موجودة</v>
      </c>
      <c r="N135" s="17" t="str">
        <f>VLOOKUP(Table6[[#This Row],[الكود]],Data[],64,0)</f>
        <v>موجودة</v>
      </c>
      <c r="O135" s="17" t="b">
        <f>VLOOKUP(Table6[[#This Row],[الكود]],Data[],65,0)</f>
        <v>1</v>
      </c>
      <c r="P135" s="17" t="b">
        <f>VLOOKUP(Table6[[#This Row],[الكود]],Data[],67,0)</f>
        <v>1</v>
      </c>
      <c r="Q135" s="17"/>
      <c r="R135" s="17" t="b">
        <f>VLOOKUP(Table6[[#This Row],[الكود]],Data[],71,0)</f>
        <v>1</v>
      </c>
      <c r="S135" s="17" t="b">
        <f>VLOOKUP(Table6[[#This Row],[الكود]],Data[],73,0)</f>
        <v>1</v>
      </c>
      <c r="T135" s="41"/>
    </row>
    <row r="136" spans="1:20" ht="16.8" x14ac:dyDescent="0.25">
      <c r="A136" s="9">
        <v>724</v>
      </c>
      <c r="B136" s="10" t="s">
        <v>225</v>
      </c>
      <c r="C136" s="10" t="str">
        <f>VLOOKUP(Table6[[#This Row],[الكود]],Data[],12,0)</f>
        <v>28905271300415</v>
      </c>
      <c r="D136" s="10" t="str">
        <f>VLOOKUP(Table6[[#This Row],[الكود]],Data[],10,0)</f>
        <v>مصرى</v>
      </c>
      <c r="E136" s="10" t="str">
        <f>VLOOKUP(Table6[[#This Row],[الكود]],Data[],25,0)</f>
        <v>غير مؤمن</v>
      </c>
      <c r="F136" s="63">
        <f>VLOOKUP(Table6[[#This Row],[الكود]],Data[],88,0)</f>
        <v>45839</v>
      </c>
      <c r="G136" s="10"/>
      <c r="H136" s="54">
        <f>_xlfn.IFNA(IF(Table6[[#This Row],[الكود]]="","",VLOOKUP(Table6[[#This Row],[الكود]],Data[],97,0)),"")</f>
        <v>7300</v>
      </c>
      <c r="I136" s="54">
        <f>_xlfn.IFNA(IF(Table6[[#This Row],[الكود]]="","",VLOOKUP(Table6[[#This Row],[الكود]],Data[],99,0)),"")</f>
        <v>5615.38</v>
      </c>
      <c r="J136" s="54">
        <f>_xlfn.IFNA(IF(Table6[[#This Row],[الكود]]="","",VLOOKUP(Table6[[#This Row],[الكود]],Data[],100,0)),"")</f>
        <v>1684.62</v>
      </c>
      <c r="K136" s="54">
        <f>IF(Table6[[#This Row],[الاجر الشامل]]=0,"",I136*11%)</f>
        <v>617.69180000000006</v>
      </c>
      <c r="L136" s="54">
        <f>IF(Table6[[#This Row],[الاجر الشامل]]=0,"",I136*18.75%)</f>
        <v>1052.88375</v>
      </c>
      <c r="M136" s="17" t="str">
        <f>VLOOKUP(Table6[[#This Row],[الكود]],Data[],63,0)</f>
        <v>موجودة</v>
      </c>
      <c r="N136" s="17" t="str">
        <f>VLOOKUP(Table6[[#This Row],[الكود]],Data[],64,0)</f>
        <v>موجودة</v>
      </c>
      <c r="O136" s="17" t="b">
        <f>VLOOKUP(Table6[[#This Row],[الكود]],Data[],65,0)</f>
        <v>1</v>
      </c>
      <c r="P136" s="17" t="b">
        <f>VLOOKUP(Table6[[#This Row],[الكود]],Data[],67,0)</f>
        <v>1</v>
      </c>
      <c r="Q136" s="17"/>
      <c r="R136" s="17" t="b">
        <f>VLOOKUP(Table6[[#This Row],[الكود]],Data[],71,0)</f>
        <v>1</v>
      </c>
      <c r="S136" s="17" t="b">
        <f>VLOOKUP(Table6[[#This Row],[الكود]],Data[],73,0)</f>
        <v>0</v>
      </c>
      <c r="T136" s="41"/>
    </row>
    <row r="137" spans="1:20" ht="16.8" x14ac:dyDescent="0.25">
      <c r="A137" s="9">
        <v>725</v>
      </c>
      <c r="B137" s="10" t="s">
        <v>226</v>
      </c>
      <c r="C137" s="10" t="str">
        <f>VLOOKUP(Table6[[#This Row],[الكود]],Data[],12,0)</f>
        <v>29705191301695</v>
      </c>
      <c r="D137" s="10" t="str">
        <f>VLOOKUP(Table6[[#This Row],[الكود]],Data[],10,0)</f>
        <v>مصرى</v>
      </c>
      <c r="E137" s="10" t="str">
        <f>VLOOKUP(Table6[[#This Row],[الكود]],Data[],25,0)</f>
        <v>غير مؤمن</v>
      </c>
      <c r="F137" s="63">
        <f>VLOOKUP(Table6[[#This Row],[الكود]],Data[],88,0)</f>
        <v>45843</v>
      </c>
      <c r="G137" s="10"/>
      <c r="H137" s="54">
        <f>_xlfn.IFNA(IF(Table6[[#This Row],[الكود]]="","",VLOOKUP(Table6[[#This Row],[الكود]],Data[],97,0)),"")</f>
        <v>7300</v>
      </c>
      <c r="I137" s="54">
        <f>_xlfn.IFNA(IF(Table6[[#This Row],[الكود]]="","",VLOOKUP(Table6[[#This Row],[الكود]],Data[],99,0)),"")</f>
        <v>5615.38</v>
      </c>
      <c r="J137" s="54">
        <f>_xlfn.IFNA(IF(Table6[[#This Row],[الكود]]="","",VLOOKUP(Table6[[#This Row],[الكود]],Data[],100,0)),"")</f>
        <v>1684.62</v>
      </c>
      <c r="K137" s="54">
        <f>IF(Table6[[#This Row],[الاجر الشامل]]=0,"",I137*11%)</f>
        <v>617.69180000000006</v>
      </c>
      <c r="L137" s="54">
        <f>IF(Table6[[#This Row],[الاجر الشامل]]=0,"",I137*18.75%)</f>
        <v>1052.88375</v>
      </c>
      <c r="M137" s="17" t="str">
        <f>VLOOKUP(Table6[[#This Row],[الكود]],Data[],63,0)</f>
        <v>موجودة</v>
      </c>
      <c r="N137" s="17" t="str">
        <f>VLOOKUP(Table6[[#This Row],[الكود]],Data[],64,0)</f>
        <v>متوسط</v>
      </c>
      <c r="O137" s="17" t="b">
        <f>VLOOKUP(Table6[[#This Row],[الكود]],Data[],65,0)</f>
        <v>1</v>
      </c>
      <c r="P137" s="17" t="b">
        <f>VLOOKUP(Table6[[#This Row],[الكود]],Data[],67,0)</f>
        <v>0</v>
      </c>
      <c r="Q137" s="17"/>
      <c r="R137" s="17" t="b">
        <f>VLOOKUP(Table6[[#This Row],[الكود]],Data[],71,0)</f>
        <v>1</v>
      </c>
      <c r="S137" s="17" t="b">
        <f>VLOOKUP(Table6[[#This Row],[الكود]],Data[],73,0)</f>
        <v>1</v>
      </c>
      <c r="T137" s="41"/>
    </row>
    <row r="138" spans="1:20" ht="16.8" x14ac:dyDescent="0.25">
      <c r="A138" s="9">
        <v>734</v>
      </c>
      <c r="B138" s="10" t="s">
        <v>227</v>
      </c>
      <c r="C138" s="10" t="str">
        <f>VLOOKUP(Table6[[#This Row],[الكود]],Data[],12,0)</f>
        <v>29709201307293</v>
      </c>
      <c r="D138" s="10" t="str">
        <f>VLOOKUP(Table6[[#This Row],[الكود]],Data[],10,0)</f>
        <v>مصرى</v>
      </c>
      <c r="E138" s="10" t="str">
        <f>VLOOKUP(Table6[[#This Row],[الكود]],Data[],25,0)</f>
        <v>غير مؤمن</v>
      </c>
      <c r="F138" s="63">
        <f>VLOOKUP(Table6[[#This Row],[الكود]],Data[],88,0)</f>
        <v>45844</v>
      </c>
      <c r="G138" s="10"/>
      <c r="H138" s="54">
        <f>_xlfn.IFNA(IF(Table6[[#This Row],[الكود]]="","",VLOOKUP(Table6[[#This Row],[الكود]],Data[],97,0)),"")</f>
        <v>7300</v>
      </c>
      <c r="I138" s="54">
        <f>_xlfn.IFNA(IF(Table6[[#This Row],[الكود]]="","",VLOOKUP(Table6[[#This Row],[الكود]],Data[],99,0)),"")</f>
        <v>5615.38</v>
      </c>
      <c r="J138" s="54">
        <f>_xlfn.IFNA(IF(Table6[[#This Row],[الكود]]="","",VLOOKUP(Table6[[#This Row],[الكود]],Data[],100,0)),"")</f>
        <v>1684.62</v>
      </c>
      <c r="K138" s="54">
        <f>IF(Table6[[#This Row],[الاجر الشامل]]=0,"",I138*11%)</f>
        <v>617.69180000000006</v>
      </c>
      <c r="L138" s="54">
        <f>IF(Table6[[#This Row],[الاجر الشامل]]=0,"",I138*18.75%)</f>
        <v>1052.88375</v>
      </c>
      <c r="M138" s="17" t="str">
        <f>VLOOKUP(Table6[[#This Row],[الكود]],Data[],63,0)</f>
        <v>موجودة</v>
      </c>
      <c r="N138" s="17" t="str">
        <f>VLOOKUP(Table6[[#This Row],[الكود]],Data[],64,0)</f>
        <v>موجودة</v>
      </c>
      <c r="O138" s="17" t="b">
        <f>VLOOKUP(Table6[[#This Row],[الكود]],Data[],65,0)</f>
        <v>1</v>
      </c>
      <c r="P138" s="17" t="b">
        <f>VLOOKUP(Table6[[#This Row],[الكود]],Data[],67,0)</f>
        <v>1</v>
      </c>
      <c r="Q138" s="17"/>
      <c r="R138" s="17" t="b">
        <f>VLOOKUP(Table6[[#This Row],[الكود]],Data[],71,0)</f>
        <v>1</v>
      </c>
      <c r="S138" s="17" t="b">
        <f>VLOOKUP(Table6[[#This Row],[الكود]],Data[],73,0)</f>
        <v>1</v>
      </c>
      <c r="T138" s="41"/>
    </row>
    <row r="139" spans="1:20" ht="16.8" x14ac:dyDescent="0.25">
      <c r="A139" s="9">
        <v>747</v>
      </c>
      <c r="B139" s="10" t="s">
        <v>230</v>
      </c>
      <c r="C139" s="10" t="str">
        <f>VLOOKUP(Table6[[#This Row],[الكود]],Data[],12,0)</f>
        <v>29809231300654</v>
      </c>
      <c r="D139" s="10" t="str">
        <f>VLOOKUP(Table6[[#This Row],[الكود]],Data[],10,0)</f>
        <v>مصرى</v>
      </c>
      <c r="E139" s="10" t="str">
        <f>VLOOKUP(Table6[[#This Row],[الكود]],Data[],25,0)</f>
        <v>غير مؤمن</v>
      </c>
      <c r="F139" s="63">
        <f>VLOOKUP(Table6[[#This Row],[الكود]],Data[],88,0)</f>
        <v>45852</v>
      </c>
      <c r="G139" s="10"/>
      <c r="H139" s="54">
        <f>_xlfn.IFNA(IF(Table6[[#This Row],[الكود]]="","",VLOOKUP(Table6[[#This Row],[الكود]],Data[],97,0)),"")</f>
        <v>7400</v>
      </c>
      <c r="I139" s="54">
        <f>_xlfn.IFNA(IF(Table6[[#This Row],[الكود]]="","",VLOOKUP(Table6[[#This Row],[الكود]],Data[],99,0)),"")</f>
        <v>5692.31</v>
      </c>
      <c r="J139" s="54">
        <f>_xlfn.IFNA(IF(Table6[[#This Row],[الكود]]="","",VLOOKUP(Table6[[#This Row],[الكود]],Data[],100,0)),"")</f>
        <v>1707.69</v>
      </c>
      <c r="K139" s="54">
        <f>IF(Table6[[#This Row],[الاجر الشامل]]=0,"",I139*11%)</f>
        <v>626.15410000000008</v>
      </c>
      <c r="L139" s="54">
        <f>IF(Table6[[#This Row],[الاجر الشامل]]=0,"",I139*18.75%)</f>
        <v>1067.308125</v>
      </c>
      <c r="M139" s="17" t="str">
        <f>VLOOKUP(Table6[[#This Row],[الكود]],Data[],63,0)</f>
        <v>موجودة</v>
      </c>
      <c r="N139" s="17" t="str">
        <f>VLOOKUP(Table6[[#This Row],[الكود]],Data[],64,0)</f>
        <v>متوسط</v>
      </c>
      <c r="O139" s="17" t="b">
        <f>VLOOKUP(Table6[[#This Row],[الكود]],Data[],65,0)</f>
        <v>1</v>
      </c>
      <c r="P139" s="17" t="b">
        <f>VLOOKUP(Table6[[#This Row],[الكود]],Data[],67,0)</f>
        <v>1</v>
      </c>
      <c r="Q139" s="17"/>
      <c r="R139" s="17" t="b">
        <f>VLOOKUP(Table6[[#This Row],[الكود]],Data[],71,0)</f>
        <v>1</v>
      </c>
      <c r="S139" s="17" t="b">
        <f>VLOOKUP(Table6[[#This Row],[الكود]],Data[],73,0)</f>
        <v>1</v>
      </c>
      <c r="T139" s="41"/>
    </row>
    <row r="140" spans="1:20" ht="16.8" x14ac:dyDescent="0.25">
      <c r="A140" s="9">
        <v>755</v>
      </c>
      <c r="B140" s="10" t="s">
        <v>231</v>
      </c>
      <c r="C140" s="10" t="str">
        <f>VLOOKUP(Table6[[#This Row],[الكود]],Data[],12,0)</f>
        <v>29702161302931</v>
      </c>
      <c r="D140" s="10" t="str">
        <f>VLOOKUP(Table6[[#This Row],[الكود]],Data[],10,0)</f>
        <v>مصرى</v>
      </c>
      <c r="E140" s="10" t="str">
        <f>VLOOKUP(Table6[[#This Row],[الكود]],Data[],25,0)</f>
        <v>غير مؤمن</v>
      </c>
      <c r="F140" s="63">
        <f>VLOOKUP(Table6[[#This Row],[الكود]],Data[],88,0)</f>
        <v>45839</v>
      </c>
      <c r="G140" s="10"/>
      <c r="H140" s="54">
        <f>_xlfn.IFNA(IF(Table6[[#This Row],[الكود]]="","",VLOOKUP(Table6[[#This Row],[الكود]],Data[],97,0)),"")</f>
        <v>7300</v>
      </c>
      <c r="I140" s="54">
        <f>_xlfn.IFNA(IF(Table6[[#This Row],[الكود]]="","",VLOOKUP(Table6[[#This Row],[الكود]],Data[],99,0)),"")</f>
        <v>5615.38</v>
      </c>
      <c r="J140" s="54">
        <f>_xlfn.IFNA(IF(Table6[[#This Row],[الكود]]="","",VLOOKUP(Table6[[#This Row],[الكود]],Data[],100,0)),"")</f>
        <v>1684.62</v>
      </c>
      <c r="K140" s="54">
        <f>IF(Table6[[#This Row],[الاجر الشامل]]=0,"",I140*11%)</f>
        <v>617.69180000000006</v>
      </c>
      <c r="L140" s="54">
        <f>IF(Table6[[#This Row],[الاجر الشامل]]=0,"",I140*18.75%)</f>
        <v>1052.88375</v>
      </c>
      <c r="M140" s="17" t="str">
        <f>VLOOKUP(Table6[[#This Row],[الكود]],Data[],63,0)</f>
        <v>موجودة</v>
      </c>
      <c r="N140" s="17" t="str">
        <f>VLOOKUP(Table6[[#This Row],[الكود]],Data[],64,0)</f>
        <v>متوسط</v>
      </c>
      <c r="O140" s="17" t="b">
        <f>VLOOKUP(Table6[[#This Row],[الكود]],Data[],65,0)</f>
        <v>1</v>
      </c>
      <c r="P140" s="17" t="b">
        <f>VLOOKUP(Table6[[#This Row],[الكود]],Data[],67,0)</f>
        <v>1</v>
      </c>
      <c r="Q140" s="17"/>
      <c r="R140" s="17" t="b">
        <f>VLOOKUP(Table6[[#This Row],[الكود]],Data[],71,0)</f>
        <v>1</v>
      </c>
      <c r="S140" s="17" t="b">
        <f>VLOOKUP(Table6[[#This Row],[الكود]],Data[],73,0)</f>
        <v>1</v>
      </c>
      <c r="T140" s="41"/>
    </row>
    <row r="141" spans="1:20" ht="16.8" x14ac:dyDescent="0.25">
      <c r="A141" s="9">
        <v>758</v>
      </c>
      <c r="B141" s="10" t="s">
        <v>232</v>
      </c>
      <c r="C141" s="10" t="str">
        <f>VLOOKUP(Table6[[#This Row],[الكود]],Data[],12,0)</f>
        <v>29101151702031</v>
      </c>
      <c r="D141" s="10" t="str">
        <f>VLOOKUP(Table6[[#This Row],[الكود]],Data[],10,0)</f>
        <v>مصرى</v>
      </c>
      <c r="E141" s="10" t="str">
        <f>VLOOKUP(Table6[[#This Row],[الكود]],Data[],25,0)</f>
        <v>غير مؤمن</v>
      </c>
      <c r="F141" s="63">
        <f>VLOOKUP(Table6[[#This Row],[الكود]],Data[],88,0)</f>
        <v>45853</v>
      </c>
      <c r="G141" s="10"/>
      <c r="H141" s="54">
        <f>_xlfn.IFNA(IF(Table6[[#This Row],[الكود]]="","",VLOOKUP(Table6[[#This Row],[الكود]],Data[],97,0)),"")</f>
        <v>7500</v>
      </c>
      <c r="I141" s="54">
        <f>_xlfn.IFNA(IF(Table6[[#This Row],[الكود]]="","",VLOOKUP(Table6[[#This Row],[الكود]],Data[],99,0)),"")</f>
        <v>5769.23</v>
      </c>
      <c r="J141" s="54">
        <f>_xlfn.IFNA(IF(Table6[[#This Row],[الكود]]="","",VLOOKUP(Table6[[#This Row],[الكود]],Data[],100,0)),"")</f>
        <v>1730.77</v>
      </c>
      <c r="K141" s="54">
        <f>IF(Table6[[#This Row],[الاجر الشامل]]=0,"",I141*11%)</f>
        <v>634.61529999999993</v>
      </c>
      <c r="L141" s="54">
        <f>IF(Table6[[#This Row],[الاجر الشامل]]=0,"",I141*18.75%)</f>
        <v>1081.7306249999999</v>
      </c>
      <c r="M141" s="17" t="str">
        <f>VLOOKUP(Table6[[#This Row],[الكود]],Data[],63,0)</f>
        <v>موجودة</v>
      </c>
      <c r="N141" s="17" t="str">
        <f>VLOOKUP(Table6[[#This Row],[الكود]],Data[],64,0)</f>
        <v>متوسط</v>
      </c>
      <c r="O141" s="17" t="b">
        <f>VLOOKUP(Table6[[#This Row],[الكود]],Data[],65,0)</f>
        <v>1</v>
      </c>
      <c r="P141" s="17" t="b">
        <f>VLOOKUP(Table6[[#This Row],[الكود]],Data[],67,0)</f>
        <v>1</v>
      </c>
      <c r="Q141" s="17"/>
      <c r="R141" s="17" t="b">
        <f>VLOOKUP(Table6[[#This Row],[الكود]],Data[],71,0)</f>
        <v>1</v>
      </c>
      <c r="S141" s="17" t="b">
        <f>VLOOKUP(Table6[[#This Row],[الكود]],Data[],73,0)</f>
        <v>1</v>
      </c>
      <c r="T141" s="41"/>
    </row>
    <row r="142" spans="1:20" ht="16.8" x14ac:dyDescent="0.25">
      <c r="A142" s="9">
        <v>763</v>
      </c>
      <c r="B142" s="10" t="s">
        <v>233</v>
      </c>
      <c r="C142" s="10" t="str">
        <f>VLOOKUP(Table6[[#This Row],[الكود]],Data[],12,0)</f>
        <v>29501151300691</v>
      </c>
      <c r="D142" s="10" t="str">
        <f>VLOOKUP(Table6[[#This Row],[الكود]],Data[],10,0)</f>
        <v>مصرى</v>
      </c>
      <c r="E142" s="10" t="str">
        <f>VLOOKUP(Table6[[#This Row],[الكود]],Data[],25,0)</f>
        <v>غير مؤمن</v>
      </c>
      <c r="F142" s="63">
        <f>VLOOKUP(Table6[[#This Row],[الكود]],Data[],88,0)</f>
        <v>45843</v>
      </c>
      <c r="G142" s="10"/>
      <c r="H142" s="54">
        <f>_xlfn.IFNA(IF(Table6[[#This Row],[الكود]]="","",VLOOKUP(Table6[[#This Row],[الكود]],Data[],97,0)),"")</f>
        <v>7500</v>
      </c>
      <c r="I142" s="54">
        <f>_xlfn.IFNA(IF(Table6[[#This Row],[الكود]]="","",VLOOKUP(Table6[[#This Row],[الكود]],Data[],99,0)),"")</f>
        <v>5769.23</v>
      </c>
      <c r="J142" s="54">
        <f>_xlfn.IFNA(IF(Table6[[#This Row],[الكود]]="","",VLOOKUP(Table6[[#This Row],[الكود]],Data[],100,0)),"")</f>
        <v>1730.77</v>
      </c>
      <c r="K142" s="54">
        <f>IF(Table6[[#This Row],[الاجر الشامل]]=0,"",I142*11%)</f>
        <v>634.61529999999993</v>
      </c>
      <c r="L142" s="54">
        <f>IF(Table6[[#This Row],[الاجر الشامل]]=0,"",I142*18.75%)</f>
        <v>1081.7306249999999</v>
      </c>
      <c r="M142" s="17" t="str">
        <f>VLOOKUP(Table6[[#This Row],[الكود]],Data[],63,0)</f>
        <v>موجودة</v>
      </c>
      <c r="N142" s="17" t="str">
        <f>VLOOKUP(Table6[[#This Row],[الكود]],Data[],64,0)</f>
        <v>متوسط</v>
      </c>
      <c r="O142" s="17" t="b">
        <f>VLOOKUP(Table6[[#This Row],[الكود]],Data[],65,0)</f>
        <v>1</v>
      </c>
      <c r="P142" s="17" t="b">
        <f>VLOOKUP(Table6[[#This Row],[الكود]],Data[],67,0)</f>
        <v>1</v>
      </c>
      <c r="Q142" s="17"/>
      <c r="R142" s="17" t="b">
        <f>VLOOKUP(Table6[[#This Row],[الكود]],Data[],71,0)</f>
        <v>1</v>
      </c>
      <c r="S142" s="17" t="b">
        <f>VLOOKUP(Table6[[#This Row],[الكود]],Data[],73,0)</f>
        <v>1</v>
      </c>
      <c r="T142" s="41"/>
    </row>
    <row r="143" spans="1:20" ht="16.8" x14ac:dyDescent="0.25">
      <c r="A143" s="9">
        <v>764</v>
      </c>
      <c r="B143" s="10" t="s">
        <v>234</v>
      </c>
      <c r="C143" s="10" t="str">
        <f>VLOOKUP(Table6[[#This Row],[الكود]],Data[],12,0)</f>
        <v>29510311300277</v>
      </c>
      <c r="D143" s="10" t="str">
        <f>VLOOKUP(Table6[[#This Row],[الكود]],Data[],10,0)</f>
        <v>مصرى</v>
      </c>
      <c r="E143" s="10" t="str">
        <f>VLOOKUP(Table6[[#This Row],[الكود]],Data[],25,0)</f>
        <v>غير مؤمن</v>
      </c>
      <c r="F143" s="63">
        <f>VLOOKUP(Table6[[#This Row],[الكود]],Data[],88,0)</f>
        <v>45851</v>
      </c>
      <c r="G143" s="10"/>
      <c r="H143" s="54">
        <f>_xlfn.IFNA(IF(Table6[[#This Row],[الكود]]="","",VLOOKUP(Table6[[#This Row],[الكود]],Data[],97,0)),"")</f>
        <v>7300</v>
      </c>
      <c r="I143" s="54">
        <f>_xlfn.IFNA(IF(Table6[[#This Row],[الكود]]="","",VLOOKUP(Table6[[#This Row],[الكود]],Data[],99,0)),"")</f>
        <v>5615.38</v>
      </c>
      <c r="J143" s="54">
        <f>_xlfn.IFNA(IF(Table6[[#This Row],[الكود]]="","",VLOOKUP(Table6[[#This Row],[الكود]],Data[],100,0)),"")</f>
        <v>1684.62</v>
      </c>
      <c r="K143" s="54">
        <f>IF(Table6[[#This Row],[الاجر الشامل]]=0,"",I143*11%)</f>
        <v>617.69180000000006</v>
      </c>
      <c r="L143" s="54">
        <f>IF(Table6[[#This Row],[الاجر الشامل]]=0,"",I143*18.75%)</f>
        <v>1052.88375</v>
      </c>
      <c r="M143" s="17" t="str">
        <f>VLOOKUP(Table6[[#This Row],[الكود]],Data[],63,0)</f>
        <v>موجودة</v>
      </c>
      <c r="N143" s="17" t="str">
        <f>VLOOKUP(Table6[[#This Row],[الكود]],Data[],64,0)</f>
        <v>موجودة</v>
      </c>
      <c r="O143" s="17" t="b">
        <f>VLOOKUP(Table6[[#This Row],[الكود]],Data[],65,0)</f>
        <v>1</v>
      </c>
      <c r="P143" s="17" t="b">
        <f>VLOOKUP(Table6[[#This Row],[الكود]],Data[],67,0)</f>
        <v>1</v>
      </c>
      <c r="Q143" s="17"/>
      <c r="R143" s="17" t="b">
        <f>VLOOKUP(Table6[[#This Row],[الكود]],Data[],71,0)</f>
        <v>1</v>
      </c>
      <c r="S143" s="17" t="b">
        <f>VLOOKUP(Table6[[#This Row],[الكود]],Data[],73,0)</f>
        <v>1</v>
      </c>
      <c r="T143" s="41"/>
    </row>
    <row r="144" spans="1:20" ht="16.8" x14ac:dyDescent="0.25">
      <c r="A144" s="9">
        <v>784</v>
      </c>
      <c r="B144" s="10" t="s">
        <v>237</v>
      </c>
      <c r="C144" s="10" t="str">
        <f>VLOOKUP(Table6[[#This Row],[الكود]],Data[],12,0)</f>
        <v>28909021301934</v>
      </c>
      <c r="D144" s="10" t="str">
        <f>VLOOKUP(Table6[[#This Row],[الكود]],Data[],10,0)</f>
        <v>مصرى</v>
      </c>
      <c r="E144" s="10" t="str">
        <f>VLOOKUP(Table6[[#This Row],[الكود]],Data[],25,0)</f>
        <v>غير مؤمن</v>
      </c>
      <c r="F144" s="63">
        <f>VLOOKUP(Table6[[#This Row],[الكود]],Data[],88,0)</f>
        <v>45844</v>
      </c>
      <c r="G144" s="10"/>
      <c r="H144" s="54">
        <f>_xlfn.IFNA(IF(Table6[[#This Row],[الكود]]="","",VLOOKUP(Table6[[#This Row],[الكود]],Data[],97,0)),"")</f>
        <v>7400</v>
      </c>
      <c r="I144" s="54">
        <f>_xlfn.IFNA(IF(Table6[[#This Row],[الكود]]="","",VLOOKUP(Table6[[#This Row],[الكود]],Data[],99,0)),"")</f>
        <v>5692.31</v>
      </c>
      <c r="J144" s="54">
        <f>_xlfn.IFNA(IF(Table6[[#This Row],[الكود]]="","",VLOOKUP(Table6[[#This Row],[الكود]],Data[],100,0)),"")</f>
        <v>1707.69</v>
      </c>
      <c r="K144" s="54">
        <f>IF(Table6[[#This Row],[الاجر الشامل]]=0,"",I144*11%)</f>
        <v>626.15410000000008</v>
      </c>
      <c r="L144" s="54">
        <f>IF(Table6[[#This Row],[الاجر الشامل]]=0,"",I144*18.75%)</f>
        <v>1067.308125</v>
      </c>
      <c r="M144" s="17" t="str">
        <f>VLOOKUP(Table6[[#This Row],[الكود]],Data[],63,0)</f>
        <v>موجودة</v>
      </c>
      <c r="N144" s="17" t="str">
        <f>VLOOKUP(Table6[[#This Row],[الكود]],Data[],64,0)</f>
        <v>متوسط</v>
      </c>
      <c r="O144" s="17" t="b">
        <f>VLOOKUP(Table6[[#This Row],[الكود]],Data[],65,0)</f>
        <v>1</v>
      </c>
      <c r="P144" s="17" t="b">
        <f>VLOOKUP(Table6[[#This Row],[الكود]],Data[],67,0)</f>
        <v>1</v>
      </c>
      <c r="Q144" s="17"/>
      <c r="R144" s="17" t="b">
        <f>VLOOKUP(Table6[[#This Row],[الكود]],Data[],71,0)</f>
        <v>1</v>
      </c>
      <c r="S144" s="17" t="b">
        <f>VLOOKUP(Table6[[#This Row],[الكود]],Data[],73,0)</f>
        <v>1</v>
      </c>
      <c r="T144" s="41"/>
    </row>
    <row r="145" spans="1:20" ht="16.8" x14ac:dyDescent="0.25">
      <c r="A145" s="9">
        <v>1001</v>
      </c>
      <c r="B145" s="10" t="s">
        <v>242</v>
      </c>
      <c r="C145" s="10" t="str">
        <f>VLOOKUP(Table6[[#This Row],[الكود]],Data[],12,0)</f>
        <v>29303011501631</v>
      </c>
      <c r="D145" s="10" t="str">
        <f>VLOOKUP(Table6[[#This Row],[الكود]],Data[],10,0)</f>
        <v>مصرى</v>
      </c>
      <c r="E145" s="10" t="str">
        <f>VLOOKUP(Table6[[#This Row],[الكود]],Data[],25,0)</f>
        <v>غير مؤمن</v>
      </c>
      <c r="F145" s="63">
        <f>VLOOKUP(Table6[[#This Row],[الكود]],Data[],88,0)</f>
        <v>45708</v>
      </c>
      <c r="G145" s="10"/>
      <c r="H145" s="54">
        <f>_xlfn.IFNA(IF(Table6[[#This Row],[الكود]]="","",VLOOKUP(Table6[[#This Row],[الكود]],Data[],97,0)),"")</f>
        <v>7200</v>
      </c>
      <c r="I145" s="54">
        <f>_xlfn.IFNA(IF(Table6[[#This Row],[الكود]]="","",VLOOKUP(Table6[[#This Row],[الكود]],Data[],99,0)),"")</f>
        <v>5538.46</v>
      </c>
      <c r="J145" s="54">
        <f>_xlfn.IFNA(IF(Table6[[#This Row],[الكود]]="","",VLOOKUP(Table6[[#This Row],[الكود]],Data[],100,0)),"")</f>
        <v>1661.54</v>
      </c>
      <c r="K145" s="54">
        <f>IF(Table6[[#This Row],[الاجر الشامل]]=0,"",I145*11%)</f>
        <v>609.23059999999998</v>
      </c>
      <c r="L145" s="54">
        <f>IF(Table6[[#This Row],[الاجر الشامل]]=0,"",I145*18.75%)</f>
        <v>1038.4612500000001</v>
      </c>
      <c r="M145" s="17" t="str">
        <f>VLOOKUP(Table6[[#This Row],[الكود]],Data[],63,0)</f>
        <v>0</v>
      </c>
      <c r="N145" s="17" t="str">
        <f>VLOOKUP(Table6[[#This Row],[الكود]],Data[],64,0)</f>
        <v>غير موجودة</v>
      </c>
      <c r="O145" s="17" t="b">
        <f>VLOOKUP(Table6[[#This Row],[الكود]],Data[],65,0)</f>
        <v>1</v>
      </c>
      <c r="P145" s="17" t="b">
        <f>VLOOKUP(Table6[[#This Row],[الكود]],Data[],67,0)</f>
        <v>0</v>
      </c>
      <c r="Q145" s="17"/>
      <c r="R145" s="17" t="b">
        <f>VLOOKUP(Table6[[#This Row],[الكود]],Data[],71,0)</f>
        <v>1</v>
      </c>
      <c r="S145" s="17" t="b">
        <f>VLOOKUP(Table6[[#This Row],[الكود]],Data[],73,0)</f>
        <v>1</v>
      </c>
      <c r="T145" s="41"/>
    </row>
    <row r="146" spans="1:20" ht="16.8" x14ac:dyDescent="0.25">
      <c r="A146" s="9">
        <v>1005</v>
      </c>
      <c r="B146" s="10" t="s">
        <v>244</v>
      </c>
      <c r="C146" s="10" t="str">
        <f>VLOOKUP(Table6[[#This Row],[الكود]],Data[],12,0)</f>
        <v>29407311300476</v>
      </c>
      <c r="D146" s="10" t="str">
        <f>VLOOKUP(Table6[[#This Row],[الكود]],Data[],10,0)</f>
        <v>مصرى</v>
      </c>
      <c r="E146" s="10" t="str">
        <f>VLOOKUP(Table6[[#This Row],[الكود]],Data[],25,0)</f>
        <v>غير مؤمن</v>
      </c>
      <c r="F146" s="63">
        <f>VLOOKUP(Table6[[#This Row],[الكود]],Data[],88,0)</f>
        <v>45680</v>
      </c>
      <c r="G146" s="10"/>
      <c r="H146" s="54">
        <f>_xlfn.IFNA(IF(Table6[[#This Row],[الكود]]="","",VLOOKUP(Table6[[#This Row],[الكود]],Data[],97,0)),"")</f>
        <v>7200</v>
      </c>
      <c r="I146" s="54">
        <f>_xlfn.IFNA(IF(Table6[[#This Row],[الكود]]="","",VLOOKUP(Table6[[#This Row],[الكود]],Data[],99,0)),"")</f>
        <v>5538.46</v>
      </c>
      <c r="J146" s="54">
        <f>_xlfn.IFNA(IF(Table6[[#This Row],[الكود]]="","",VLOOKUP(Table6[[#This Row],[الكود]],Data[],100,0)),"")</f>
        <v>1661.54</v>
      </c>
      <c r="K146" s="54">
        <f>IF(Table6[[#This Row],[الاجر الشامل]]=0,"",I146*11%)</f>
        <v>609.23059999999998</v>
      </c>
      <c r="L146" s="54">
        <f>IF(Table6[[#This Row],[الاجر الشامل]]=0,"",I146*18.75%)</f>
        <v>1038.4612500000001</v>
      </c>
      <c r="M146" s="17" t="str">
        <f>VLOOKUP(Table6[[#This Row],[الكود]],Data[],63,0)</f>
        <v>ادى الخدمة</v>
      </c>
      <c r="N146" s="17" t="str">
        <f>VLOOKUP(Table6[[#This Row],[الكود]],Data[],64,0)</f>
        <v>متوسط</v>
      </c>
      <c r="O146" s="17" t="b">
        <f>VLOOKUP(Table6[[#This Row],[الكود]],Data[],65,0)</f>
        <v>1</v>
      </c>
      <c r="P146" s="17" t="b">
        <f>VLOOKUP(Table6[[#This Row],[الكود]],Data[],67,0)</f>
        <v>1</v>
      </c>
      <c r="Q146" s="17"/>
      <c r="R146" s="17" t="b">
        <f>VLOOKUP(Table6[[#This Row],[الكود]],Data[],71,0)</f>
        <v>1</v>
      </c>
      <c r="S146" s="17" t="b">
        <f>VLOOKUP(Table6[[#This Row],[الكود]],Data[],73,0)</f>
        <v>1</v>
      </c>
      <c r="T146" s="41"/>
    </row>
    <row r="147" spans="1:20" ht="16.8" x14ac:dyDescent="0.25">
      <c r="A147" s="9">
        <v>1007</v>
      </c>
      <c r="B147" s="10" t="s">
        <v>246</v>
      </c>
      <c r="C147" s="10" t="str">
        <f>VLOOKUP(Table6[[#This Row],[الكود]],Data[],12,0)</f>
        <v>28108211500094</v>
      </c>
      <c r="D147" s="10" t="str">
        <f>VLOOKUP(Table6[[#This Row],[الكود]],Data[],10,0)</f>
        <v>مصرى</v>
      </c>
      <c r="E147" s="10" t="str">
        <f>VLOOKUP(Table6[[#This Row],[الكود]],Data[],25,0)</f>
        <v>غير مؤمن</v>
      </c>
      <c r="F147" s="63">
        <f>VLOOKUP(Table6[[#This Row],[الكود]],Data[],88,0)</f>
        <v>45666</v>
      </c>
      <c r="G147" s="10"/>
      <c r="H147" s="54">
        <f>_xlfn.IFNA(IF(Table6[[#This Row],[الكود]]="","",VLOOKUP(Table6[[#This Row],[الكود]],Data[],97,0)),"")</f>
        <v>7200</v>
      </c>
      <c r="I147" s="54">
        <f>_xlfn.IFNA(IF(Table6[[#This Row],[الكود]]="","",VLOOKUP(Table6[[#This Row],[الكود]],Data[],99,0)),"")</f>
        <v>5538.46</v>
      </c>
      <c r="J147" s="54">
        <f>_xlfn.IFNA(IF(Table6[[#This Row],[الكود]]="","",VLOOKUP(Table6[[#This Row],[الكود]],Data[],100,0)),"")</f>
        <v>1661.54</v>
      </c>
      <c r="K147" s="54">
        <f>IF(Table6[[#This Row],[الاجر الشامل]]=0,"",I147*11%)</f>
        <v>609.23059999999998</v>
      </c>
      <c r="L147" s="54">
        <f>IF(Table6[[#This Row],[الاجر الشامل]]=0,"",I147*18.75%)</f>
        <v>1038.4612500000001</v>
      </c>
      <c r="M147" s="17" t="str">
        <f>VLOOKUP(Table6[[#This Row],[الكود]],Data[],63,0)</f>
        <v>موجودة</v>
      </c>
      <c r="N147" s="17" t="str">
        <f>VLOOKUP(Table6[[#This Row],[الكود]],Data[],64,0)</f>
        <v>بدون</v>
      </c>
      <c r="O147" s="17" t="b">
        <f>VLOOKUP(Table6[[#This Row],[الكود]],Data[],65,0)</f>
        <v>1</v>
      </c>
      <c r="P147" s="17" t="b">
        <f>VLOOKUP(Table6[[#This Row],[الكود]],Data[],67,0)</f>
        <v>1</v>
      </c>
      <c r="Q147" s="17"/>
      <c r="R147" s="17" t="b">
        <f>VLOOKUP(Table6[[#This Row],[الكود]],Data[],71,0)</f>
        <v>1</v>
      </c>
      <c r="S147" s="17" t="b">
        <f>VLOOKUP(Table6[[#This Row],[الكود]],Data[],73,0)</f>
        <v>0</v>
      </c>
      <c r="T147" s="41"/>
    </row>
    <row r="148" spans="1:20" ht="16.8" x14ac:dyDescent="0.25">
      <c r="A148" s="9">
        <v>1008</v>
      </c>
      <c r="B148" s="10" t="s">
        <v>247</v>
      </c>
      <c r="C148" s="10" t="str">
        <f>VLOOKUP(Table6[[#This Row],[الكود]],Data[],12,0)</f>
        <v>27501121500419</v>
      </c>
      <c r="D148" s="10" t="str">
        <f>VLOOKUP(Table6[[#This Row],[الكود]],Data[],10,0)</f>
        <v>مصرى</v>
      </c>
      <c r="E148" s="10" t="str">
        <f>VLOOKUP(Table6[[#This Row],[الكود]],Data[],25,0)</f>
        <v>غير مؤمن</v>
      </c>
      <c r="F148" s="63">
        <f>VLOOKUP(Table6[[#This Row],[الكود]],Data[],88,0)</f>
        <v>45690</v>
      </c>
      <c r="G148" s="10"/>
      <c r="H148" s="54">
        <f>_xlfn.IFNA(IF(Table6[[#This Row],[الكود]]="","",VLOOKUP(Table6[[#This Row],[الكود]],Data[],97,0)),"")</f>
        <v>7200</v>
      </c>
      <c r="I148" s="54">
        <f>_xlfn.IFNA(IF(Table6[[#This Row],[الكود]]="","",VLOOKUP(Table6[[#This Row],[الكود]],Data[],99,0)),"")</f>
        <v>5538.46</v>
      </c>
      <c r="J148" s="54">
        <f>_xlfn.IFNA(IF(Table6[[#This Row],[الكود]]="","",VLOOKUP(Table6[[#This Row],[الكود]],Data[],100,0)),"")</f>
        <v>1661.54</v>
      </c>
      <c r="K148" s="54">
        <f>IF(Table6[[#This Row],[الاجر الشامل]]=0,"",I148*11%)</f>
        <v>609.23059999999998</v>
      </c>
      <c r="L148" s="54">
        <f>IF(Table6[[#This Row],[الاجر الشامل]]=0,"",I148*18.75%)</f>
        <v>1038.4612500000001</v>
      </c>
      <c r="M148" s="17" t="str">
        <f>VLOOKUP(Table6[[#This Row],[الكود]],Data[],63,0)</f>
        <v>موجودة</v>
      </c>
      <c r="N148" s="17" t="str">
        <f>VLOOKUP(Table6[[#This Row],[الكود]],Data[],64,0)</f>
        <v>بدون</v>
      </c>
      <c r="O148" s="17" t="b">
        <f>VLOOKUP(Table6[[#This Row],[الكود]],Data[],65,0)</f>
        <v>1</v>
      </c>
      <c r="P148" s="17" t="b">
        <f>VLOOKUP(Table6[[#This Row],[الكود]],Data[],67,0)</f>
        <v>1</v>
      </c>
      <c r="Q148" s="17"/>
      <c r="R148" s="17" t="b">
        <f>VLOOKUP(Table6[[#This Row],[الكود]],Data[],71,0)</f>
        <v>1</v>
      </c>
      <c r="S148" s="17" t="b">
        <f>VLOOKUP(Table6[[#This Row],[الكود]],Data[],73,0)</f>
        <v>0</v>
      </c>
      <c r="T148" s="41"/>
    </row>
    <row r="149" spans="1:20" ht="16.8" x14ac:dyDescent="0.25">
      <c r="A149" s="9">
        <v>1010</v>
      </c>
      <c r="B149" s="10" t="s">
        <v>248</v>
      </c>
      <c r="C149" s="10" t="str">
        <f>VLOOKUP(Table6[[#This Row],[الكود]],Data[],12,0)</f>
        <v>27707251301199</v>
      </c>
      <c r="D149" s="10" t="str">
        <f>VLOOKUP(Table6[[#This Row],[الكود]],Data[],10,0)</f>
        <v>مصرى</v>
      </c>
      <c r="E149" s="10" t="str">
        <f>VLOOKUP(Table6[[#This Row],[الكود]],Data[],25,0)</f>
        <v>غير مؤمن</v>
      </c>
      <c r="F149" s="63">
        <f>VLOOKUP(Table6[[#This Row],[الكود]],Data[],88,0)</f>
        <v>45657</v>
      </c>
      <c r="G149" s="10"/>
      <c r="H149" s="54">
        <f>_xlfn.IFNA(IF(Table6[[#This Row],[الكود]]="","",VLOOKUP(Table6[[#This Row],[الكود]],Data[],97,0)),"")</f>
        <v>7400</v>
      </c>
      <c r="I149" s="54">
        <f>_xlfn.IFNA(IF(Table6[[#This Row],[الكود]]="","",VLOOKUP(Table6[[#This Row],[الكود]],Data[],99,0)),"")</f>
        <v>5692.31</v>
      </c>
      <c r="J149" s="54">
        <f>_xlfn.IFNA(IF(Table6[[#This Row],[الكود]]="","",VLOOKUP(Table6[[#This Row],[الكود]],Data[],100,0)),"")</f>
        <v>1707.69</v>
      </c>
      <c r="K149" s="54">
        <f>IF(Table6[[#This Row],[الاجر الشامل]]=0,"",I149*11%)</f>
        <v>626.15410000000008</v>
      </c>
      <c r="L149" s="54">
        <f>IF(Table6[[#This Row],[الاجر الشامل]]=0,"",I149*18.75%)</f>
        <v>1067.308125</v>
      </c>
      <c r="M149" s="17" t="str">
        <f>VLOOKUP(Table6[[#This Row],[الكود]],Data[],63,0)</f>
        <v>موجودة</v>
      </c>
      <c r="N149" s="17" t="str">
        <f>VLOOKUP(Table6[[#This Row],[الكود]],Data[],64,0)</f>
        <v>متوسط</v>
      </c>
      <c r="O149" s="17" t="b">
        <f>VLOOKUP(Table6[[#This Row],[الكود]],Data[],65,0)</f>
        <v>1</v>
      </c>
      <c r="P149" s="17" t="b">
        <f>VLOOKUP(Table6[[#This Row],[الكود]],Data[],67,0)</f>
        <v>1</v>
      </c>
      <c r="Q149" s="17"/>
      <c r="R149" s="17" t="b">
        <f>VLOOKUP(Table6[[#This Row],[الكود]],Data[],71,0)</f>
        <v>1</v>
      </c>
      <c r="S149" s="17" t="b">
        <f>VLOOKUP(Table6[[#This Row],[الكود]],Data[],73,0)</f>
        <v>0</v>
      </c>
      <c r="T149" s="41"/>
    </row>
    <row r="150" spans="1:20" ht="16.8" x14ac:dyDescent="0.25">
      <c r="A150" s="9">
        <v>1012</v>
      </c>
      <c r="B150" s="10" t="s">
        <v>249</v>
      </c>
      <c r="C150" s="10" t="str">
        <f>VLOOKUP(Table6[[#This Row],[الكود]],Data[],12,0)</f>
        <v>28612301301457</v>
      </c>
      <c r="D150" s="10" t="str">
        <f>VLOOKUP(Table6[[#This Row],[الكود]],Data[],10,0)</f>
        <v>مصرى</v>
      </c>
      <c r="E150" s="10" t="str">
        <f>VLOOKUP(Table6[[#This Row],[الكود]],Data[],25,0)</f>
        <v>غير مؤمن</v>
      </c>
      <c r="F150" s="63">
        <f>VLOOKUP(Table6[[#This Row],[الكود]],Data[],88,0)</f>
        <v>45707</v>
      </c>
      <c r="G150" s="10"/>
      <c r="H150" s="54">
        <f>_xlfn.IFNA(IF(Table6[[#This Row],[الكود]]="","",VLOOKUP(Table6[[#This Row],[الكود]],Data[],97,0)),"")</f>
        <v>7200</v>
      </c>
      <c r="I150" s="54">
        <f>_xlfn.IFNA(IF(Table6[[#This Row],[الكود]]="","",VLOOKUP(Table6[[#This Row],[الكود]],Data[],99,0)),"")</f>
        <v>5538.46</v>
      </c>
      <c r="J150" s="54">
        <f>_xlfn.IFNA(IF(Table6[[#This Row],[الكود]]="","",VLOOKUP(Table6[[#This Row],[الكود]],Data[],100,0)),"")</f>
        <v>1661.54</v>
      </c>
      <c r="K150" s="54">
        <f>IF(Table6[[#This Row],[الاجر الشامل]]=0,"",I150*11%)</f>
        <v>609.23059999999998</v>
      </c>
      <c r="L150" s="54">
        <f>IF(Table6[[#This Row],[الاجر الشامل]]=0,"",I150*18.75%)</f>
        <v>1038.4612500000001</v>
      </c>
      <c r="M150" s="17" t="str">
        <f>VLOOKUP(Table6[[#This Row],[الكود]],Data[],63,0)</f>
        <v>موجودة</v>
      </c>
      <c r="N150" s="17" t="str">
        <f>VLOOKUP(Table6[[#This Row],[الكود]],Data[],64,0)</f>
        <v>بدون</v>
      </c>
      <c r="O150" s="17" t="b">
        <f>VLOOKUP(Table6[[#This Row],[الكود]],Data[],65,0)</f>
        <v>1</v>
      </c>
      <c r="P150" s="17" t="b">
        <f>VLOOKUP(Table6[[#This Row],[الكود]],Data[],67,0)</f>
        <v>1</v>
      </c>
      <c r="Q150" s="17"/>
      <c r="R150" s="17" t="b">
        <f>VLOOKUP(Table6[[#This Row],[الكود]],Data[],71,0)</f>
        <v>1</v>
      </c>
      <c r="S150" s="17" t="b">
        <f>VLOOKUP(Table6[[#This Row],[الكود]],Data[],73,0)</f>
        <v>1</v>
      </c>
      <c r="T150" s="41"/>
    </row>
    <row r="151" spans="1:20" ht="16.8" x14ac:dyDescent="0.25">
      <c r="A151" s="9">
        <v>1013</v>
      </c>
      <c r="B151" s="10" t="s">
        <v>250</v>
      </c>
      <c r="C151" s="10" t="str">
        <f>VLOOKUP(Table6[[#This Row],[الكود]],Data[],12,0)</f>
        <v>28801011355275</v>
      </c>
      <c r="D151" s="10" t="str">
        <f>VLOOKUP(Table6[[#This Row],[الكود]],Data[],10,0)</f>
        <v>مصرى</v>
      </c>
      <c r="E151" s="10" t="str">
        <f>VLOOKUP(Table6[[#This Row],[الكود]],Data[],25,0)</f>
        <v>غير مؤمن</v>
      </c>
      <c r="F151" s="63">
        <f>VLOOKUP(Table6[[#This Row],[الكود]],Data[],88,0)</f>
        <v>45696</v>
      </c>
      <c r="G151" s="10"/>
      <c r="H151" s="54">
        <f>_xlfn.IFNA(IF(Table6[[#This Row],[الكود]]="","",VLOOKUP(Table6[[#This Row],[الكود]],Data[],97,0)),"")</f>
        <v>7200</v>
      </c>
      <c r="I151" s="54">
        <f>_xlfn.IFNA(IF(Table6[[#This Row],[الكود]]="","",VLOOKUP(Table6[[#This Row],[الكود]],Data[],99,0)),"")</f>
        <v>5538.46</v>
      </c>
      <c r="J151" s="54">
        <f>_xlfn.IFNA(IF(Table6[[#This Row],[الكود]]="","",VLOOKUP(Table6[[#This Row],[الكود]],Data[],100,0)),"")</f>
        <v>1661.54</v>
      </c>
      <c r="K151" s="54">
        <f>IF(Table6[[#This Row],[الاجر الشامل]]=0,"",I151*11%)</f>
        <v>609.23059999999998</v>
      </c>
      <c r="L151" s="54">
        <f>IF(Table6[[#This Row],[الاجر الشامل]]=0,"",I151*18.75%)</f>
        <v>1038.4612500000001</v>
      </c>
      <c r="M151" s="17" t="str">
        <f>VLOOKUP(Table6[[#This Row],[الكود]],Data[],63,0)</f>
        <v>موجودة</v>
      </c>
      <c r="N151" s="17" t="str">
        <f>VLOOKUP(Table6[[#This Row],[الكود]],Data[],64,0)</f>
        <v>بدون</v>
      </c>
      <c r="O151" s="17" t="b">
        <f>VLOOKUP(Table6[[#This Row],[الكود]],Data[],65,0)</f>
        <v>1</v>
      </c>
      <c r="P151" s="17" t="b">
        <f>VLOOKUP(Table6[[#This Row],[الكود]],Data[],67,0)</f>
        <v>1</v>
      </c>
      <c r="Q151" s="17"/>
      <c r="R151" s="17" t="b">
        <f>VLOOKUP(Table6[[#This Row],[الكود]],Data[],71,0)</f>
        <v>1</v>
      </c>
      <c r="S151" s="17" t="b">
        <f>VLOOKUP(Table6[[#This Row],[الكود]],Data[],73,0)</f>
        <v>1</v>
      </c>
      <c r="T151" s="41"/>
    </row>
    <row r="152" spans="1:20" ht="16.8" x14ac:dyDescent="0.25">
      <c r="A152" s="9">
        <v>1017</v>
      </c>
      <c r="B152" s="10" t="s">
        <v>251</v>
      </c>
      <c r="C152" s="10" t="str">
        <f>VLOOKUP(Table6[[#This Row],[الكود]],Data[],12,0)</f>
        <v>29806291300956</v>
      </c>
      <c r="D152" s="10" t="str">
        <f>VLOOKUP(Table6[[#This Row],[الكود]],Data[],10,0)</f>
        <v>مصرى</v>
      </c>
      <c r="E152" s="10" t="str">
        <f>VLOOKUP(Table6[[#This Row],[الكود]],Data[],25,0)</f>
        <v>غير مؤمن</v>
      </c>
      <c r="F152" s="63">
        <f>VLOOKUP(Table6[[#This Row],[الكود]],Data[],88,0)</f>
        <v>45701</v>
      </c>
      <c r="G152" s="10"/>
      <c r="H152" s="54">
        <f>_xlfn.IFNA(IF(Table6[[#This Row],[الكود]]="","",VLOOKUP(Table6[[#This Row],[الكود]],Data[],97,0)),"")</f>
        <v>7400</v>
      </c>
      <c r="I152" s="54">
        <f>_xlfn.IFNA(IF(Table6[[#This Row],[الكود]]="","",VLOOKUP(Table6[[#This Row],[الكود]],Data[],99,0)),"")</f>
        <v>5692.31</v>
      </c>
      <c r="J152" s="54">
        <f>_xlfn.IFNA(IF(Table6[[#This Row],[الكود]]="","",VLOOKUP(Table6[[#This Row],[الكود]],Data[],100,0)),"")</f>
        <v>1707.69</v>
      </c>
      <c r="K152" s="54">
        <f>IF(Table6[[#This Row],[الاجر الشامل]]=0,"",I152*11%)</f>
        <v>626.15410000000008</v>
      </c>
      <c r="L152" s="54">
        <f>IF(Table6[[#This Row],[الاجر الشامل]]=0,"",I152*18.75%)</f>
        <v>1067.308125</v>
      </c>
      <c r="M152" s="17" t="str">
        <f>VLOOKUP(Table6[[#This Row],[الكود]],Data[],63,0)</f>
        <v>ادى الخدمة</v>
      </c>
      <c r="N152" s="17" t="str">
        <f>VLOOKUP(Table6[[#This Row],[الكود]],Data[],64,0)</f>
        <v>مؤهل عالى</v>
      </c>
      <c r="O152" s="17" t="b">
        <f>VLOOKUP(Table6[[#This Row],[الكود]],Data[],65,0)</f>
        <v>1</v>
      </c>
      <c r="P152" s="17" t="b">
        <f>VLOOKUP(Table6[[#This Row],[الكود]],Data[],67,0)</f>
        <v>1</v>
      </c>
      <c r="Q152" s="17"/>
      <c r="R152" s="17" t="b">
        <f>VLOOKUP(Table6[[#This Row],[الكود]],Data[],71,0)</f>
        <v>1</v>
      </c>
      <c r="S152" s="17" t="b">
        <f>VLOOKUP(Table6[[#This Row],[الكود]],Data[],73,0)</f>
        <v>1</v>
      </c>
      <c r="T152" s="41"/>
    </row>
    <row r="153" spans="1:20" ht="16.8" x14ac:dyDescent="0.25">
      <c r="A153" s="9">
        <v>1018</v>
      </c>
      <c r="B153" s="10" t="s">
        <v>252</v>
      </c>
      <c r="C153" s="10" t="str">
        <f>VLOOKUP(Table6[[#This Row],[الكود]],Data[],12,0)</f>
        <v>27612121501438</v>
      </c>
      <c r="D153" s="10" t="str">
        <f>VLOOKUP(Table6[[#This Row],[الكود]],Data[],10,0)</f>
        <v>مصرى</v>
      </c>
      <c r="E153" s="10" t="str">
        <f>VLOOKUP(Table6[[#This Row],[الكود]],Data[],25,0)</f>
        <v>غير مؤمن</v>
      </c>
      <c r="F153" s="63">
        <f>VLOOKUP(Table6[[#This Row],[الكود]],Data[],88,0)</f>
        <v>45710</v>
      </c>
      <c r="G153" s="10"/>
      <c r="H153" s="54">
        <f>_xlfn.IFNA(IF(Table6[[#This Row],[الكود]]="","",VLOOKUP(Table6[[#This Row],[الكود]],Data[],97,0)),"")</f>
        <v>7200</v>
      </c>
      <c r="I153" s="54">
        <f>_xlfn.IFNA(IF(Table6[[#This Row],[الكود]]="","",VLOOKUP(Table6[[#This Row],[الكود]],Data[],99,0)),"")</f>
        <v>5538.46</v>
      </c>
      <c r="J153" s="54">
        <f>_xlfn.IFNA(IF(Table6[[#This Row],[الكود]]="","",VLOOKUP(Table6[[#This Row],[الكود]],Data[],100,0)),"")</f>
        <v>1661.54</v>
      </c>
      <c r="K153" s="54">
        <f>IF(Table6[[#This Row],[الاجر الشامل]]=0,"",I153*11%)</f>
        <v>609.23059999999998</v>
      </c>
      <c r="L153" s="54">
        <f>IF(Table6[[#This Row],[الاجر الشامل]]=0,"",I153*18.75%)</f>
        <v>1038.4612500000001</v>
      </c>
      <c r="M153" s="17" t="str">
        <f>VLOOKUP(Table6[[#This Row],[الكود]],Data[],63,0)</f>
        <v>موجودة</v>
      </c>
      <c r="N153" s="17" t="str">
        <f>VLOOKUP(Table6[[#This Row],[الكود]],Data[],64,0)</f>
        <v>متوسط</v>
      </c>
      <c r="O153" s="17" t="b">
        <f>VLOOKUP(Table6[[#This Row],[الكود]],Data[],65,0)</f>
        <v>1</v>
      </c>
      <c r="P153" s="17" t="b">
        <f>VLOOKUP(Table6[[#This Row],[الكود]],Data[],67,0)</f>
        <v>1</v>
      </c>
      <c r="Q153" s="17"/>
      <c r="R153" s="17" t="b">
        <f>VLOOKUP(Table6[[#This Row],[الكود]],Data[],71,0)</f>
        <v>1</v>
      </c>
      <c r="S153" s="17" t="b">
        <f>VLOOKUP(Table6[[#This Row],[الكود]],Data[],73,0)</f>
        <v>0</v>
      </c>
      <c r="T153" s="41"/>
    </row>
    <row r="154" spans="1:20" ht="16.8" x14ac:dyDescent="0.25">
      <c r="A154" s="9">
        <v>1020</v>
      </c>
      <c r="B154" s="10" t="s">
        <v>253</v>
      </c>
      <c r="C154" s="10" t="str">
        <f>VLOOKUP(Table6[[#This Row],[الكود]],Data[],12,0)</f>
        <v>29008281402196</v>
      </c>
      <c r="D154" s="10" t="str">
        <f>VLOOKUP(Table6[[#This Row],[الكود]],Data[],10,0)</f>
        <v>مصرى</v>
      </c>
      <c r="E154" s="10" t="str">
        <f>VLOOKUP(Table6[[#This Row],[الكود]],Data[],25,0)</f>
        <v>غير مؤمن</v>
      </c>
      <c r="F154" s="63">
        <f>VLOOKUP(Table6[[#This Row],[الكود]],Data[],88,0)</f>
        <v>45687</v>
      </c>
      <c r="G154" s="10"/>
      <c r="H154" s="54">
        <f>_xlfn.IFNA(IF(Table6[[#This Row],[الكود]]="","",VLOOKUP(Table6[[#This Row],[الكود]],Data[],97,0)),"")</f>
        <v>7200</v>
      </c>
      <c r="I154" s="54">
        <f>_xlfn.IFNA(IF(Table6[[#This Row],[الكود]]="","",VLOOKUP(Table6[[#This Row],[الكود]],Data[],99,0)),"")</f>
        <v>5538.46</v>
      </c>
      <c r="J154" s="54">
        <f>_xlfn.IFNA(IF(Table6[[#This Row],[الكود]]="","",VLOOKUP(Table6[[#This Row],[الكود]],Data[],100,0)),"")</f>
        <v>1661.54</v>
      </c>
      <c r="K154" s="54">
        <f>IF(Table6[[#This Row],[الاجر الشامل]]=0,"",I154*11%)</f>
        <v>609.23059999999998</v>
      </c>
      <c r="L154" s="54">
        <f>IF(Table6[[#This Row],[الاجر الشامل]]=0,"",I154*18.75%)</f>
        <v>1038.4612500000001</v>
      </c>
      <c r="M154" s="17" t="str">
        <f>VLOOKUP(Table6[[#This Row],[الكود]],Data[],63,0)</f>
        <v>موجودة</v>
      </c>
      <c r="N154" s="17" t="str">
        <f>VLOOKUP(Table6[[#This Row],[الكود]],Data[],64,0)</f>
        <v>بدون</v>
      </c>
      <c r="O154" s="17" t="b">
        <f>VLOOKUP(Table6[[#This Row],[الكود]],Data[],65,0)</f>
        <v>1</v>
      </c>
      <c r="P154" s="17" t="b">
        <f>VLOOKUP(Table6[[#This Row],[الكود]],Data[],67,0)</f>
        <v>1</v>
      </c>
      <c r="Q154" s="17"/>
      <c r="R154" s="17" t="b">
        <f>VLOOKUP(Table6[[#This Row],[الكود]],Data[],71,0)</f>
        <v>0</v>
      </c>
      <c r="S154" s="17" t="b">
        <f>VLOOKUP(Table6[[#This Row],[الكود]],Data[],73,0)</f>
        <v>0</v>
      </c>
      <c r="T154" s="41"/>
    </row>
    <row r="155" spans="1:20" ht="16.8" x14ac:dyDescent="0.25">
      <c r="A155" s="9">
        <v>1022</v>
      </c>
      <c r="B155" s="10" t="s">
        <v>254</v>
      </c>
      <c r="C155" s="10" t="str">
        <f>VLOOKUP(Table6[[#This Row],[الكود]],Data[],12,0)</f>
        <v>27909071500357</v>
      </c>
      <c r="D155" s="10" t="str">
        <f>VLOOKUP(Table6[[#This Row],[الكود]],Data[],10,0)</f>
        <v>مصرى</v>
      </c>
      <c r="E155" s="10" t="str">
        <f>VLOOKUP(Table6[[#This Row],[الكود]],Data[],25,0)</f>
        <v>غير مؤمن</v>
      </c>
      <c r="F155" s="63">
        <f>VLOOKUP(Table6[[#This Row],[الكود]],Data[],88,0)</f>
        <v>45683</v>
      </c>
      <c r="G155" s="10"/>
      <c r="H155" s="54">
        <f>_xlfn.IFNA(IF(Table6[[#This Row],[الكود]]="","",VLOOKUP(Table6[[#This Row],[الكود]],Data[],97,0)),"")</f>
        <v>7200</v>
      </c>
      <c r="I155" s="54">
        <f>_xlfn.IFNA(IF(Table6[[#This Row],[الكود]]="","",VLOOKUP(Table6[[#This Row],[الكود]],Data[],99,0)),"")</f>
        <v>5538.46</v>
      </c>
      <c r="J155" s="54">
        <f>_xlfn.IFNA(IF(Table6[[#This Row],[الكود]]="","",VLOOKUP(Table6[[#This Row],[الكود]],Data[],100,0)),"")</f>
        <v>1661.54</v>
      </c>
      <c r="K155" s="54">
        <f>IF(Table6[[#This Row],[الاجر الشامل]]=0,"",I155*11%)</f>
        <v>609.23059999999998</v>
      </c>
      <c r="L155" s="54">
        <f>IF(Table6[[#This Row],[الاجر الشامل]]=0,"",I155*18.75%)</f>
        <v>1038.4612500000001</v>
      </c>
      <c r="M155" s="17" t="str">
        <f>VLOOKUP(Table6[[#This Row],[الكود]],Data[],63,0)</f>
        <v>موجودة</v>
      </c>
      <c r="N155" s="17" t="str">
        <f>VLOOKUP(Table6[[#This Row],[الكود]],Data[],64,0)</f>
        <v>متوسط</v>
      </c>
      <c r="O155" s="17" t="b">
        <f>VLOOKUP(Table6[[#This Row],[الكود]],Data[],65,0)</f>
        <v>1</v>
      </c>
      <c r="P155" s="17" t="b">
        <f>VLOOKUP(Table6[[#This Row],[الكود]],Data[],67,0)</f>
        <v>1</v>
      </c>
      <c r="Q155" s="17"/>
      <c r="R155" s="17" t="b">
        <f>VLOOKUP(Table6[[#This Row],[الكود]],Data[],71,0)</f>
        <v>1</v>
      </c>
      <c r="S155" s="17" t="b">
        <f>VLOOKUP(Table6[[#This Row],[الكود]],Data[],73,0)</f>
        <v>0</v>
      </c>
      <c r="T155" s="41"/>
    </row>
    <row r="156" spans="1:20" ht="16.8" x14ac:dyDescent="0.25">
      <c r="A156" s="9">
        <v>1024</v>
      </c>
      <c r="B156" s="10" t="s">
        <v>255</v>
      </c>
      <c r="C156" s="10" t="str">
        <f>VLOOKUP(Table6[[#This Row],[الكود]],Data[],12,0)</f>
        <v>29811151501912</v>
      </c>
      <c r="D156" s="10" t="str">
        <f>VLOOKUP(Table6[[#This Row],[الكود]],Data[],10,0)</f>
        <v>مصرى</v>
      </c>
      <c r="E156" s="10" t="str">
        <f>VLOOKUP(Table6[[#This Row],[الكود]],Data[],25,0)</f>
        <v>غير مؤمن</v>
      </c>
      <c r="F156" s="63">
        <f>VLOOKUP(Table6[[#This Row],[الكود]],Data[],88,0)</f>
        <v>45675</v>
      </c>
      <c r="G156" s="10"/>
      <c r="H156" s="54">
        <f>_xlfn.IFNA(IF(Table6[[#This Row],[الكود]]="","",VLOOKUP(Table6[[#This Row],[الكود]],Data[],97,0)),"")</f>
        <v>7200</v>
      </c>
      <c r="I156" s="54">
        <f>_xlfn.IFNA(IF(Table6[[#This Row],[الكود]]="","",VLOOKUP(Table6[[#This Row],[الكود]],Data[],99,0)),"")</f>
        <v>5538.46</v>
      </c>
      <c r="J156" s="54">
        <f>_xlfn.IFNA(IF(Table6[[#This Row],[الكود]]="","",VLOOKUP(Table6[[#This Row],[الكود]],Data[],100,0)),"")</f>
        <v>1661.54</v>
      </c>
      <c r="K156" s="54">
        <f>IF(Table6[[#This Row],[الاجر الشامل]]=0,"",I156*11%)</f>
        <v>609.23059999999998</v>
      </c>
      <c r="L156" s="54">
        <f>IF(Table6[[#This Row],[الاجر الشامل]]=0,"",I156*18.75%)</f>
        <v>1038.4612500000001</v>
      </c>
      <c r="M156" s="17" t="str">
        <f>VLOOKUP(Table6[[#This Row],[الكود]],Data[],63,0)</f>
        <v>موجودة</v>
      </c>
      <c r="N156" s="17" t="str">
        <f>VLOOKUP(Table6[[#This Row],[الكود]],Data[],64,0)</f>
        <v>موجودة</v>
      </c>
      <c r="O156" s="17" t="b">
        <f>VLOOKUP(Table6[[#This Row],[الكود]],Data[],65,0)</f>
        <v>1</v>
      </c>
      <c r="P156" s="17" t="b">
        <f>VLOOKUP(Table6[[#This Row],[الكود]],Data[],67,0)</f>
        <v>1</v>
      </c>
      <c r="Q156" s="17"/>
      <c r="R156" s="17" t="b">
        <f>VLOOKUP(Table6[[#This Row],[الكود]],Data[],71,0)</f>
        <v>1</v>
      </c>
      <c r="S156" s="17" t="b">
        <f>VLOOKUP(Table6[[#This Row],[الكود]],Data[],73,0)</f>
        <v>1</v>
      </c>
      <c r="T156" s="41"/>
    </row>
    <row r="157" spans="1:20" ht="16.8" x14ac:dyDescent="0.25">
      <c r="A157" s="9">
        <v>1029</v>
      </c>
      <c r="B157" s="10" t="s">
        <v>256</v>
      </c>
      <c r="C157" s="10" t="str">
        <f>VLOOKUP(Table6[[#This Row],[الكود]],Data[],12,0)</f>
        <v>28809171307693</v>
      </c>
      <c r="D157" s="10" t="str">
        <f>VLOOKUP(Table6[[#This Row],[الكود]],Data[],10,0)</f>
        <v>مصرى</v>
      </c>
      <c r="E157" s="10" t="str">
        <f>VLOOKUP(Table6[[#This Row],[الكود]],Data[],25,0)</f>
        <v>غير مؤمن</v>
      </c>
      <c r="F157" s="63">
        <f>VLOOKUP(Table6[[#This Row],[الكود]],Data[],88,0)</f>
        <v>45613</v>
      </c>
      <c r="G157" s="10"/>
      <c r="H157" s="54">
        <f>_xlfn.IFNA(IF(Table6[[#This Row],[الكود]]="","",VLOOKUP(Table6[[#This Row],[الكود]],Data[],97,0)),"")</f>
        <v>7200</v>
      </c>
      <c r="I157" s="54">
        <f>_xlfn.IFNA(IF(Table6[[#This Row],[الكود]]="","",VLOOKUP(Table6[[#This Row],[الكود]],Data[],99,0)),"")</f>
        <v>5538.46</v>
      </c>
      <c r="J157" s="54">
        <f>_xlfn.IFNA(IF(Table6[[#This Row],[الكود]]="","",VLOOKUP(Table6[[#This Row],[الكود]],Data[],100,0)),"")</f>
        <v>1661.54</v>
      </c>
      <c r="K157" s="54">
        <f>IF(Table6[[#This Row],[الاجر الشامل]]=0,"",I157*11%)</f>
        <v>609.23059999999998</v>
      </c>
      <c r="L157" s="54">
        <f>IF(Table6[[#This Row],[الاجر الشامل]]=0,"",I157*18.75%)</f>
        <v>1038.4612500000001</v>
      </c>
      <c r="M157" s="17" t="str">
        <f>VLOOKUP(Table6[[#This Row],[الكود]],Data[],63,0)</f>
        <v>موجودة</v>
      </c>
      <c r="N157" s="17" t="str">
        <f>VLOOKUP(Table6[[#This Row],[الكود]],Data[],64,0)</f>
        <v>موجودة</v>
      </c>
      <c r="O157" s="17" t="b">
        <f>VLOOKUP(Table6[[#This Row],[الكود]],Data[],65,0)</f>
        <v>1</v>
      </c>
      <c r="P157" s="17" t="b">
        <f>VLOOKUP(Table6[[#This Row],[الكود]],Data[],67,0)</f>
        <v>1</v>
      </c>
      <c r="Q157" s="17"/>
      <c r="R157" s="17" t="b">
        <f>VLOOKUP(Table6[[#This Row],[الكود]],Data[],71,0)</f>
        <v>1</v>
      </c>
      <c r="S157" s="17" t="b">
        <f>VLOOKUP(Table6[[#This Row],[الكود]],Data[],73,0)</f>
        <v>1</v>
      </c>
      <c r="T157" s="41"/>
    </row>
    <row r="158" spans="1:20" ht="16.8" x14ac:dyDescent="0.25">
      <c r="A158" s="9">
        <v>1031</v>
      </c>
      <c r="B158" s="10" t="s">
        <v>258</v>
      </c>
      <c r="C158" s="10" t="str">
        <f>VLOOKUP(Table6[[#This Row],[الكود]],Data[],12,0)</f>
        <v>28901221201879</v>
      </c>
      <c r="D158" s="10" t="str">
        <f>VLOOKUP(Table6[[#This Row],[الكود]],Data[],10,0)</f>
        <v>مصرى</v>
      </c>
      <c r="E158" s="10" t="str">
        <f>VLOOKUP(Table6[[#This Row],[الكود]],Data[],25,0)</f>
        <v>غير مؤمن</v>
      </c>
      <c r="F158" s="63">
        <f>VLOOKUP(Table6[[#This Row],[الكود]],Data[],88,0)</f>
        <v>45601</v>
      </c>
      <c r="G158" s="10"/>
      <c r="H158" s="54">
        <f>_xlfn.IFNA(IF(Table6[[#This Row],[الكود]]="","",VLOOKUP(Table6[[#This Row],[الكود]],Data[],97,0)),"")</f>
        <v>7200</v>
      </c>
      <c r="I158" s="54">
        <f>_xlfn.IFNA(IF(Table6[[#This Row],[الكود]]="","",VLOOKUP(Table6[[#This Row],[الكود]],Data[],99,0)),"")</f>
        <v>5538.46</v>
      </c>
      <c r="J158" s="54">
        <f>_xlfn.IFNA(IF(Table6[[#This Row],[الكود]]="","",VLOOKUP(Table6[[#This Row],[الكود]],Data[],100,0)),"")</f>
        <v>1661.54</v>
      </c>
      <c r="K158" s="54">
        <f>IF(Table6[[#This Row],[الاجر الشامل]]=0,"",I158*11%)</f>
        <v>609.23059999999998</v>
      </c>
      <c r="L158" s="54">
        <f>IF(Table6[[#This Row],[الاجر الشامل]]=0,"",I158*18.75%)</f>
        <v>1038.4612500000001</v>
      </c>
      <c r="M158" s="17" t="str">
        <f>VLOOKUP(Table6[[#This Row],[الكود]],Data[],63,0)</f>
        <v>موجودة</v>
      </c>
      <c r="N158" s="17" t="str">
        <f>VLOOKUP(Table6[[#This Row],[الكود]],Data[],64,0)</f>
        <v>موجودة</v>
      </c>
      <c r="O158" s="17" t="b">
        <f>VLOOKUP(Table6[[#This Row],[الكود]],Data[],65,0)</f>
        <v>1</v>
      </c>
      <c r="P158" s="17" t="b">
        <f>VLOOKUP(Table6[[#This Row],[الكود]],Data[],67,0)</f>
        <v>1</v>
      </c>
      <c r="Q158" s="17"/>
      <c r="R158" s="17" t="b">
        <f>VLOOKUP(Table6[[#This Row],[الكود]],Data[],71,0)</f>
        <v>1</v>
      </c>
      <c r="S158" s="17" t="b">
        <f>VLOOKUP(Table6[[#This Row],[الكود]],Data[],73,0)</f>
        <v>1</v>
      </c>
      <c r="T158" s="41"/>
    </row>
    <row r="159" spans="1:20" ht="16.8" x14ac:dyDescent="0.25">
      <c r="A159" s="9">
        <v>1034</v>
      </c>
      <c r="B159" s="10" t="s">
        <v>259</v>
      </c>
      <c r="C159" s="10" t="str">
        <f>VLOOKUP(Table6[[#This Row],[الكود]],Data[],12,0)</f>
        <v>29401011528892</v>
      </c>
      <c r="D159" s="10" t="str">
        <f>VLOOKUP(Table6[[#This Row],[الكود]],Data[],10,0)</f>
        <v>مصرى</v>
      </c>
      <c r="E159" s="10" t="str">
        <f>VLOOKUP(Table6[[#This Row],[الكود]],Data[],25,0)</f>
        <v>غير مؤمن</v>
      </c>
      <c r="F159" s="63">
        <f>VLOOKUP(Table6[[#This Row],[الكود]],Data[],88,0)</f>
        <v>45694</v>
      </c>
      <c r="G159" s="10"/>
      <c r="H159" s="54">
        <f>_xlfn.IFNA(IF(Table6[[#This Row],[الكود]]="","",VLOOKUP(Table6[[#This Row],[الكود]],Data[],97,0)),"")</f>
        <v>7200</v>
      </c>
      <c r="I159" s="54">
        <f>_xlfn.IFNA(IF(Table6[[#This Row],[الكود]]="","",VLOOKUP(Table6[[#This Row],[الكود]],Data[],99,0)),"")</f>
        <v>5538.46</v>
      </c>
      <c r="J159" s="54">
        <f>_xlfn.IFNA(IF(Table6[[#This Row],[الكود]]="","",VLOOKUP(Table6[[#This Row],[الكود]],Data[],100,0)),"")</f>
        <v>1661.54</v>
      </c>
      <c r="K159" s="54">
        <f>IF(Table6[[#This Row],[الاجر الشامل]]=0,"",I159*11%)</f>
        <v>609.23059999999998</v>
      </c>
      <c r="L159" s="54">
        <f>IF(Table6[[#This Row],[الاجر الشامل]]=0,"",I159*18.75%)</f>
        <v>1038.4612500000001</v>
      </c>
      <c r="M159" s="17" t="str">
        <f>VLOOKUP(Table6[[#This Row],[الكود]],Data[],63,0)</f>
        <v>موجودة</v>
      </c>
      <c r="N159" s="17" t="str">
        <f>VLOOKUP(Table6[[#This Row],[الكود]],Data[],64,0)</f>
        <v>موجودة</v>
      </c>
      <c r="O159" s="17" t="b">
        <f>VLOOKUP(Table6[[#This Row],[الكود]],Data[],65,0)</f>
        <v>1</v>
      </c>
      <c r="P159" s="17" t="b">
        <f>VLOOKUP(Table6[[#This Row],[الكود]],Data[],67,0)</f>
        <v>1</v>
      </c>
      <c r="Q159" s="17"/>
      <c r="R159" s="17" t="b">
        <f>VLOOKUP(Table6[[#This Row],[الكود]],Data[],71,0)</f>
        <v>1</v>
      </c>
      <c r="S159" s="17" t="b">
        <f>VLOOKUP(Table6[[#This Row],[الكود]],Data[],73,0)</f>
        <v>1</v>
      </c>
      <c r="T159" s="41"/>
    </row>
    <row r="160" spans="1:20" ht="16.8" x14ac:dyDescent="0.25">
      <c r="A160" s="9">
        <v>1035</v>
      </c>
      <c r="B160" s="10" t="s">
        <v>260</v>
      </c>
      <c r="C160" s="10" t="str">
        <f>VLOOKUP(Table6[[#This Row],[الكود]],Data[],12,0)</f>
        <v>27110011500473</v>
      </c>
      <c r="D160" s="10" t="str">
        <f>VLOOKUP(Table6[[#This Row],[الكود]],Data[],10,0)</f>
        <v>مصرى</v>
      </c>
      <c r="E160" s="10" t="str">
        <f>VLOOKUP(Table6[[#This Row],[الكود]],Data[],25,0)</f>
        <v>غير مؤمن</v>
      </c>
      <c r="F160" s="63">
        <f>VLOOKUP(Table6[[#This Row],[الكود]],Data[],88,0)</f>
        <v>45603</v>
      </c>
      <c r="G160" s="10"/>
      <c r="H160" s="54">
        <f>_xlfn.IFNA(IF(Table6[[#This Row],[الكود]]="","",VLOOKUP(Table6[[#This Row],[الكود]],Data[],97,0)),"")</f>
        <v>7200</v>
      </c>
      <c r="I160" s="54">
        <f>_xlfn.IFNA(IF(Table6[[#This Row],[الكود]]="","",VLOOKUP(Table6[[#This Row],[الكود]],Data[],99,0)),"")</f>
        <v>5538.46</v>
      </c>
      <c r="J160" s="54">
        <f>_xlfn.IFNA(IF(Table6[[#This Row],[الكود]]="","",VLOOKUP(Table6[[#This Row],[الكود]],Data[],100,0)),"")</f>
        <v>1661.54</v>
      </c>
      <c r="K160" s="54">
        <f>IF(Table6[[#This Row],[الاجر الشامل]]=0,"",I160*11%)</f>
        <v>609.23059999999998</v>
      </c>
      <c r="L160" s="54">
        <f>IF(Table6[[#This Row],[الاجر الشامل]]=0,"",I160*18.75%)</f>
        <v>1038.4612500000001</v>
      </c>
      <c r="M160" s="17" t="str">
        <f>VLOOKUP(Table6[[#This Row],[الكود]],Data[],63,0)</f>
        <v>موجودة</v>
      </c>
      <c r="N160" s="17" t="str">
        <f>VLOOKUP(Table6[[#This Row],[الكود]],Data[],64,0)</f>
        <v>غير موجودة</v>
      </c>
      <c r="O160" s="17" t="b">
        <f>VLOOKUP(Table6[[#This Row],[الكود]],Data[],65,0)</f>
        <v>1</v>
      </c>
      <c r="P160" s="17" t="b">
        <f>VLOOKUP(Table6[[#This Row],[الكود]],Data[],67,0)</f>
        <v>1</v>
      </c>
      <c r="Q160" s="17"/>
      <c r="R160" s="17" t="b">
        <f>VLOOKUP(Table6[[#This Row],[الكود]],Data[],71,0)</f>
        <v>1</v>
      </c>
      <c r="S160" s="17" t="b">
        <f>VLOOKUP(Table6[[#This Row],[الكود]],Data[],73,0)</f>
        <v>0</v>
      </c>
      <c r="T160" s="41"/>
    </row>
    <row r="161" spans="1:20" ht="16.8" x14ac:dyDescent="0.25">
      <c r="A161" s="9">
        <v>1039</v>
      </c>
      <c r="B161" s="10" t="s">
        <v>261</v>
      </c>
      <c r="C161" s="10" t="str">
        <f>VLOOKUP(Table6[[#This Row],[الكود]],Data[],12,0)</f>
        <v>29601201301494</v>
      </c>
      <c r="D161" s="10" t="str">
        <f>VLOOKUP(Table6[[#This Row],[الكود]],Data[],10,0)</f>
        <v>مصرى</v>
      </c>
      <c r="E161" s="10" t="str">
        <f>VLOOKUP(Table6[[#This Row],[الكود]],Data[],25,0)</f>
        <v>غير مؤمن</v>
      </c>
      <c r="F161" s="63">
        <f>VLOOKUP(Table6[[#This Row],[الكود]],Data[],88,0)</f>
        <v>45606</v>
      </c>
      <c r="G161" s="10"/>
      <c r="H161" s="54">
        <f>_xlfn.IFNA(IF(Table6[[#This Row],[الكود]]="","",VLOOKUP(Table6[[#This Row],[الكود]],Data[],97,0)),"")</f>
        <v>7200</v>
      </c>
      <c r="I161" s="54">
        <f>_xlfn.IFNA(IF(Table6[[#This Row],[الكود]]="","",VLOOKUP(Table6[[#This Row],[الكود]],Data[],99,0)),"")</f>
        <v>5538.46</v>
      </c>
      <c r="J161" s="54">
        <f>_xlfn.IFNA(IF(Table6[[#This Row],[الكود]]="","",VLOOKUP(Table6[[#This Row],[الكود]],Data[],100,0)),"")</f>
        <v>1661.54</v>
      </c>
      <c r="K161" s="54">
        <f>IF(Table6[[#This Row],[الاجر الشامل]]=0,"",I161*11%)</f>
        <v>609.23059999999998</v>
      </c>
      <c r="L161" s="54">
        <f>IF(Table6[[#This Row],[الاجر الشامل]]=0,"",I161*18.75%)</f>
        <v>1038.4612500000001</v>
      </c>
      <c r="M161" s="17" t="str">
        <f>VLOOKUP(Table6[[#This Row],[الكود]],Data[],63,0)</f>
        <v>معافى نهائي</v>
      </c>
      <c r="N161" s="17" t="str">
        <f>VLOOKUP(Table6[[#This Row],[الكود]],Data[],64,0)</f>
        <v>متوسط</v>
      </c>
      <c r="O161" s="17" t="b">
        <f>VLOOKUP(Table6[[#This Row],[الكود]],Data[],65,0)</f>
        <v>1</v>
      </c>
      <c r="P161" s="17" t="b">
        <f>VLOOKUP(Table6[[#This Row],[الكود]],Data[],67,0)</f>
        <v>1</v>
      </c>
      <c r="Q161" s="17"/>
      <c r="R161" s="17" t="b">
        <f>VLOOKUP(Table6[[#This Row],[الكود]],Data[],71,0)</f>
        <v>1</v>
      </c>
      <c r="S161" s="17" t="b">
        <f>VLOOKUP(Table6[[#This Row],[الكود]],Data[],73,0)</f>
        <v>1</v>
      </c>
      <c r="T161" s="41"/>
    </row>
    <row r="162" spans="1:20" ht="16.8" x14ac:dyDescent="0.25">
      <c r="A162" s="9">
        <v>1040</v>
      </c>
      <c r="B162" s="10" t="s">
        <v>262</v>
      </c>
      <c r="C162" s="10" t="str">
        <f>VLOOKUP(Table6[[#This Row],[الكود]],Data[],12,0)</f>
        <v>29009271303731</v>
      </c>
      <c r="D162" s="10" t="str">
        <f>VLOOKUP(Table6[[#This Row],[الكود]],Data[],10,0)</f>
        <v>مصرى</v>
      </c>
      <c r="E162" s="10" t="str">
        <f>VLOOKUP(Table6[[#This Row],[الكود]],Data[],25,0)</f>
        <v>غير مؤمن</v>
      </c>
      <c r="F162" s="63">
        <f>VLOOKUP(Table6[[#This Row],[الكود]],Data[],88,0)</f>
        <v>45608</v>
      </c>
      <c r="G162" s="10"/>
      <c r="H162" s="54">
        <f>_xlfn.IFNA(IF(Table6[[#This Row],[الكود]]="","",VLOOKUP(Table6[[#This Row],[الكود]],Data[],97,0)),"")</f>
        <v>8500</v>
      </c>
      <c r="I162" s="54">
        <f>_xlfn.IFNA(IF(Table6[[#This Row],[الكود]]="","",VLOOKUP(Table6[[#This Row],[الكود]],Data[],99,0)),"")</f>
        <v>6538.46</v>
      </c>
      <c r="J162" s="54">
        <f>_xlfn.IFNA(IF(Table6[[#This Row],[الكود]]="","",VLOOKUP(Table6[[#This Row],[الكود]],Data[],100,0)),"")</f>
        <v>1961.54</v>
      </c>
      <c r="K162" s="54">
        <f>IF(Table6[[#This Row],[الاجر الشامل]]=0,"",I162*11%)</f>
        <v>719.23059999999998</v>
      </c>
      <c r="L162" s="54">
        <f>IF(Table6[[#This Row],[الاجر الشامل]]=0,"",I162*18.75%)</f>
        <v>1225.9612500000001</v>
      </c>
      <c r="M162" s="17" t="str">
        <f>VLOOKUP(Table6[[#This Row],[الكود]],Data[],63,0)</f>
        <v>غير موجودة</v>
      </c>
      <c r="N162" s="17" t="str">
        <f>VLOOKUP(Table6[[#This Row],[الكود]],Data[],64,0)</f>
        <v>غير موجودة</v>
      </c>
      <c r="O162" s="17" t="b">
        <f>VLOOKUP(Table6[[#This Row],[الكود]],Data[],65,0)</f>
        <v>0</v>
      </c>
      <c r="P162" s="17" t="b">
        <f>VLOOKUP(Table6[[#This Row],[الكود]],Data[],67,0)</f>
        <v>1</v>
      </c>
      <c r="Q162" s="17"/>
      <c r="R162" s="17" t="b">
        <f>VLOOKUP(Table6[[#This Row],[الكود]],Data[],71,0)</f>
        <v>0</v>
      </c>
      <c r="S162" s="17" t="b">
        <f>VLOOKUP(Table6[[#This Row],[الكود]],Data[],73,0)</f>
        <v>0</v>
      </c>
      <c r="T162" s="41"/>
    </row>
    <row r="163" spans="1:20" ht="16.8" x14ac:dyDescent="0.25">
      <c r="A163" s="9">
        <v>1053</v>
      </c>
      <c r="B163" s="10" t="s">
        <v>264</v>
      </c>
      <c r="C163" s="10" t="str">
        <f>VLOOKUP(Table6[[#This Row],[الكود]],Data[],12,0)</f>
        <v>28508011311619</v>
      </c>
      <c r="D163" s="10" t="str">
        <f>VLOOKUP(Table6[[#This Row],[الكود]],Data[],10,0)</f>
        <v>مصرى</v>
      </c>
      <c r="E163" s="10" t="str">
        <f>VLOOKUP(Table6[[#This Row],[الكود]],Data[],25,0)</f>
        <v>غير مؤمن</v>
      </c>
      <c r="F163" s="63">
        <f>VLOOKUP(Table6[[#This Row],[الكود]],Data[],88,0)</f>
        <v>45610</v>
      </c>
      <c r="G163" s="10"/>
      <c r="H163" s="54">
        <f>_xlfn.IFNA(IF(Table6[[#This Row],[الكود]]="","",VLOOKUP(Table6[[#This Row],[الكود]],Data[],97,0)),"")</f>
        <v>7400</v>
      </c>
      <c r="I163" s="54">
        <f>_xlfn.IFNA(IF(Table6[[#This Row],[الكود]]="","",VLOOKUP(Table6[[#This Row],[الكود]],Data[],99,0)),"")</f>
        <v>5692.31</v>
      </c>
      <c r="J163" s="54">
        <f>_xlfn.IFNA(IF(Table6[[#This Row],[الكود]]="","",VLOOKUP(Table6[[#This Row],[الكود]],Data[],100,0)),"")</f>
        <v>1707.69</v>
      </c>
      <c r="K163" s="54">
        <f>IF(Table6[[#This Row],[الاجر الشامل]]=0,"",I163*11%)</f>
        <v>626.15410000000008</v>
      </c>
      <c r="L163" s="54">
        <f>IF(Table6[[#This Row],[الاجر الشامل]]=0,"",I163*18.75%)</f>
        <v>1067.308125</v>
      </c>
      <c r="M163" s="17" t="str">
        <f>VLOOKUP(Table6[[#This Row],[الكود]],Data[],63,0)</f>
        <v>موجودة</v>
      </c>
      <c r="N163" s="17" t="str">
        <f>VLOOKUP(Table6[[#This Row],[الكود]],Data[],64,0)</f>
        <v>موجودة</v>
      </c>
      <c r="O163" s="17" t="b">
        <f>VLOOKUP(Table6[[#This Row],[الكود]],Data[],65,0)</f>
        <v>1</v>
      </c>
      <c r="P163" s="17" t="b">
        <f>VLOOKUP(Table6[[#This Row],[الكود]],Data[],67,0)</f>
        <v>1</v>
      </c>
      <c r="Q163" s="17"/>
      <c r="R163" s="17" t="b">
        <f>VLOOKUP(Table6[[#This Row],[الكود]],Data[],71,0)</f>
        <v>1</v>
      </c>
      <c r="S163" s="17" t="b">
        <f>VLOOKUP(Table6[[#This Row],[الكود]],Data[],73,0)</f>
        <v>1</v>
      </c>
      <c r="T163" s="41"/>
    </row>
    <row r="164" spans="1:20" ht="16.8" x14ac:dyDescent="0.25">
      <c r="A164" s="9">
        <v>1057</v>
      </c>
      <c r="B164" s="10" t="s">
        <v>265</v>
      </c>
      <c r="C164" s="10" t="str">
        <f>VLOOKUP(Table6[[#This Row],[الكود]],Data[],12,0)</f>
        <v>29801011323571</v>
      </c>
      <c r="D164" s="10" t="str">
        <f>VLOOKUP(Table6[[#This Row],[الكود]],Data[],10,0)</f>
        <v>مصرى</v>
      </c>
      <c r="E164" s="10" t="str">
        <f>VLOOKUP(Table6[[#This Row],[الكود]],Data[],25,0)</f>
        <v>غير مؤمن</v>
      </c>
      <c r="F164" s="63">
        <f>VLOOKUP(Table6[[#This Row],[الكود]],Data[],88,0)</f>
        <v>45568</v>
      </c>
      <c r="G164" s="10"/>
      <c r="H164" s="54">
        <f>_xlfn.IFNA(IF(Table6[[#This Row],[الكود]]="","",VLOOKUP(Table6[[#This Row],[الكود]],Data[],97,0)),"")</f>
        <v>7200</v>
      </c>
      <c r="I164" s="54">
        <f>_xlfn.IFNA(IF(Table6[[#This Row],[الكود]]="","",VLOOKUP(Table6[[#This Row],[الكود]],Data[],99,0)),"")</f>
        <v>5538.46</v>
      </c>
      <c r="J164" s="54">
        <f>_xlfn.IFNA(IF(Table6[[#This Row],[الكود]]="","",VLOOKUP(Table6[[#This Row],[الكود]],Data[],100,0)),"")</f>
        <v>1661.54</v>
      </c>
      <c r="K164" s="54">
        <f>IF(Table6[[#This Row],[الاجر الشامل]]=0,"",I164*11%)</f>
        <v>609.23059999999998</v>
      </c>
      <c r="L164" s="54">
        <f>IF(Table6[[#This Row],[الاجر الشامل]]=0,"",I164*18.75%)</f>
        <v>1038.4612500000001</v>
      </c>
      <c r="M164" s="17" t="str">
        <f>VLOOKUP(Table6[[#This Row],[الكود]],Data[],63,0)</f>
        <v>موجودة</v>
      </c>
      <c r="N164" s="17" t="str">
        <f>VLOOKUP(Table6[[#This Row],[الكود]],Data[],64,0)</f>
        <v>متوسط</v>
      </c>
      <c r="O164" s="17" t="b">
        <f>VLOOKUP(Table6[[#This Row],[الكود]],Data[],65,0)</f>
        <v>1</v>
      </c>
      <c r="P164" s="17" t="b">
        <f>VLOOKUP(Table6[[#This Row],[الكود]],Data[],67,0)</f>
        <v>1</v>
      </c>
      <c r="Q164" s="17"/>
      <c r="R164" s="17" t="b">
        <f>VLOOKUP(Table6[[#This Row],[الكود]],Data[],71,0)</f>
        <v>1</v>
      </c>
      <c r="S164" s="17" t="b">
        <f>VLOOKUP(Table6[[#This Row],[الكود]],Data[],73,0)</f>
        <v>1</v>
      </c>
      <c r="T164" s="41"/>
    </row>
    <row r="165" spans="1:20" ht="16.8" x14ac:dyDescent="0.25">
      <c r="A165" s="9">
        <v>1058</v>
      </c>
      <c r="B165" s="10" t="s">
        <v>266</v>
      </c>
      <c r="C165" s="10" t="str">
        <f>VLOOKUP(Table6[[#This Row],[الكود]],Data[],12,0)</f>
        <v>29305091302734</v>
      </c>
      <c r="D165" s="10" t="str">
        <f>VLOOKUP(Table6[[#This Row],[الكود]],Data[],10,0)</f>
        <v>مصرى</v>
      </c>
      <c r="E165" s="10" t="str">
        <f>VLOOKUP(Table6[[#This Row],[الكود]],Data[],25,0)</f>
        <v>غير مؤمن</v>
      </c>
      <c r="F165" s="63">
        <f>VLOOKUP(Table6[[#This Row],[الكود]],Data[],88,0)</f>
        <v>45572</v>
      </c>
      <c r="G165" s="10"/>
      <c r="H165" s="54">
        <f>_xlfn.IFNA(IF(Table6[[#This Row],[الكود]]="","",VLOOKUP(Table6[[#This Row],[الكود]],Data[],97,0)),"")</f>
        <v>7200</v>
      </c>
      <c r="I165" s="54">
        <f>_xlfn.IFNA(IF(Table6[[#This Row],[الكود]]="","",VLOOKUP(Table6[[#This Row],[الكود]],Data[],99,0)),"")</f>
        <v>5538.46</v>
      </c>
      <c r="J165" s="54">
        <f>_xlfn.IFNA(IF(Table6[[#This Row],[الكود]]="","",VLOOKUP(Table6[[#This Row],[الكود]],Data[],100,0)),"")</f>
        <v>1661.54</v>
      </c>
      <c r="K165" s="54">
        <f>IF(Table6[[#This Row],[الاجر الشامل]]=0,"",I165*11%)</f>
        <v>609.23059999999998</v>
      </c>
      <c r="L165" s="54">
        <f>IF(Table6[[#This Row],[الاجر الشامل]]=0,"",I165*18.75%)</f>
        <v>1038.4612500000001</v>
      </c>
      <c r="M165" s="17" t="str">
        <f>VLOOKUP(Table6[[#This Row],[الكود]],Data[],63,0)</f>
        <v>موجودة</v>
      </c>
      <c r="N165" s="17" t="str">
        <f>VLOOKUP(Table6[[#This Row],[الكود]],Data[],64,0)</f>
        <v>متوسط</v>
      </c>
      <c r="O165" s="17" t="b">
        <f>VLOOKUP(Table6[[#This Row],[الكود]],Data[],65,0)</f>
        <v>1</v>
      </c>
      <c r="P165" s="17" t="b">
        <f>VLOOKUP(Table6[[#This Row],[الكود]],Data[],67,0)</f>
        <v>1</v>
      </c>
      <c r="Q165" s="17"/>
      <c r="R165" s="17" t="b">
        <f>VLOOKUP(Table6[[#This Row],[الكود]],Data[],71,0)</f>
        <v>1</v>
      </c>
      <c r="S165" s="17" t="b">
        <f>VLOOKUP(Table6[[#This Row],[الكود]],Data[],73,0)</f>
        <v>1</v>
      </c>
      <c r="T165" s="41"/>
    </row>
    <row r="166" spans="1:20" ht="16.8" x14ac:dyDescent="0.25">
      <c r="A166" s="9">
        <v>1064</v>
      </c>
      <c r="B166" s="10" t="s">
        <v>268</v>
      </c>
      <c r="C166" s="10" t="str">
        <f>VLOOKUP(Table6[[#This Row],[الكود]],Data[],12,0)</f>
        <v>27501061503553</v>
      </c>
      <c r="D166" s="10" t="str">
        <f>VLOOKUP(Table6[[#This Row],[الكود]],Data[],10,0)</f>
        <v>مصرى</v>
      </c>
      <c r="E166" s="10" t="str">
        <f>VLOOKUP(Table6[[#This Row],[الكود]],Data[],25,0)</f>
        <v>غير مؤمن</v>
      </c>
      <c r="F166" s="63">
        <f>VLOOKUP(Table6[[#This Row],[الكود]],Data[],88,0)</f>
        <v>1</v>
      </c>
      <c r="G166" s="10"/>
      <c r="H166" s="54">
        <f>_xlfn.IFNA(IF(Table6[[#This Row],[الكود]]="","",VLOOKUP(Table6[[#This Row],[الكود]],Data[],97,0)),"")</f>
        <v>7200</v>
      </c>
      <c r="I166" s="54">
        <f>_xlfn.IFNA(IF(Table6[[#This Row],[الكود]]="","",VLOOKUP(Table6[[#This Row],[الكود]],Data[],99,0)),"")</f>
        <v>5538.46</v>
      </c>
      <c r="J166" s="54">
        <f>_xlfn.IFNA(IF(Table6[[#This Row],[الكود]]="","",VLOOKUP(Table6[[#This Row],[الكود]],Data[],100,0)),"")</f>
        <v>1661.54</v>
      </c>
      <c r="K166" s="54">
        <f>IF(Table6[[#This Row],[الاجر الشامل]]=0,"",I166*11%)</f>
        <v>609.23059999999998</v>
      </c>
      <c r="L166" s="54">
        <f>IF(Table6[[#This Row],[الاجر الشامل]]=0,"",I166*18.75%)</f>
        <v>1038.4612500000001</v>
      </c>
      <c r="M166" s="17" t="str">
        <f>VLOOKUP(Table6[[#This Row],[الكود]],Data[],63,0)</f>
        <v>غير موجودة</v>
      </c>
      <c r="N166" s="17" t="str">
        <f>VLOOKUP(Table6[[#This Row],[الكود]],Data[],64,0)</f>
        <v>غير موجود</v>
      </c>
      <c r="O166" s="17" t="b">
        <f>VLOOKUP(Table6[[#This Row],[الكود]],Data[],65,0)</f>
        <v>1</v>
      </c>
      <c r="P166" s="17" t="b">
        <f>VLOOKUP(Table6[[#This Row],[الكود]],Data[],67,0)</f>
        <v>1</v>
      </c>
      <c r="Q166" s="17"/>
      <c r="R166" s="17" t="b">
        <f>VLOOKUP(Table6[[#This Row],[الكود]],Data[],71,0)</f>
        <v>0</v>
      </c>
      <c r="S166" s="17" t="b">
        <f>VLOOKUP(Table6[[#This Row],[الكود]],Data[],73,0)</f>
        <v>0</v>
      </c>
      <c r="T166" s="41"/>
    </row>
    <row r="167" spans="1:20" ht="16.8" x14ac:dyDescent="0.25">
      <c r="A167" s="9">
        <v>3027</v>
      </c>
      <c r="B167" s="10" t="s">
        <v>296</v>
      </c>
      <c r="C167" s="10" t="str">
        <f>VLOOKUP(Table6[[#This Row],[الكود]],Data[],12,0)</f>
        <v>29009271303731</v>
      </c>
      <c r="D167" s="10" t="str">
        <f>VLOOKUP(Table6[[#This Row],[الكود]],Data[],10,0)</f>
        <v>مصرى</v>
      </c>
      <c r="E167" s="10" t="str">
        <f>VLOOKUP(Table6[[#This Row],[الكود]],Data[],25,0)</f>
        <v>غير مؤمن</v>
      </c>
      <c r="F167" s="63">
        <f>VLOOKUP(Table6[[#This Row],[الكود]],Data[],88,0)</f>
        <v>45608</v>
      </c>
      <c r="G167" s="10"/>
      <c r="H167" s="54">
        <f>_xlfn.IFNA(IF(Table6[[#This Row],[الكود]]="","",VLOOKUP(Table6[[#This Row],[الكود]],Data[],97,0)),"")</f>
        <v>8500</v>
      </c>
      <c r="I167" s="54">
        <f>_xlfn.IFNA(IF(Table6[[#This Row],[الكود]]="","",VLOOKUP(Table6[[#This Row],[الكود]],Data[],99,0)),"")</f>
        <v>6538.46</v>
      </c>
      <c r="J167" s="54">
        <f>_xlfn.IFNA(IF(Table6[[#This Row],[الكود]]="","",VLOOKUP(Table6[[#This Row],[الكود]],Data[],100,0)),"")</f>
        <v>1961.54</v>
      </c>
      <c r="K167" s="54">
        <f>IF(Table6[[#This Row],[الاجر الشامل]]=0,"",I167*11%)</f>
        <v>719.23059999999998</v>
      </c>
      <c r="L167" s="54">
        <f>IF(Table6[[#This Row],[الاجر الشامل]]=0,"",I167*18.75%)</f>
        <v>1225.9612500000001</v>
      </c>
      <c r="M167" s="17" t="str">
        <f>VLOOKUP(Table6[[#This Row],[الكود]],Data[],63,0)</f>
        <v>غير موجودة</v>
      </c>
      <c r="N167" s="17" t="str">
        <f>VLOOKUP(Table6[[#This Row],[الكود]],Data[],64,0)</f>
        <v>غير موجودة</v>
      </c>
      <c r="O167" s="17" t="b">
        <f>VLOOKUP(Table6[[#This Row],[الكود]],Data[],65,0)</f>
        <v>0</v>
      </c>
      <c r="P167" s="17" t="b">
        <f>VLOOKUP(Table6[[#This Row],[الكود]],Data[],67,0)</f>
        <v>1</v>
      </c>
      <c r="Q167" s="17"/>
      <c r="R167" s="17" t="b">
        <f>VLOOKUP(Table6[[#This Row],[الكود]],Data[],71,0)</f>
        <v>0</v>
      </c>
      <c r="S167" s="17" t="b">
        <f>VLOOKUP(Table6[[#This Row],[الكود]],Data[],73,0)</f>
        <v>0</v>
      </c>
      <c r="T167" s="41"/>
    </row>
    <row r="168" spans="1:20" ht="16.8" x14ac:dyDescent="0.25">
      <c r="A168" s="12">
        <v>51</v>
      </c>
      <c r="B168" s="13" t="s">
        <v>43</v>
      </c>
      <c r="C168" s="13" t="str">
        <f>VLOOKUP(Table6[[#This Row],[الكود]],Data[],12,0)</f>
        <v>29211221302893</v>
      </c>
      <c r="D168" s="13" t="str">
        <f>VLOOKUP(Table6[[#This Row],[الكود]],Data[],10,0)</f>
        <v>مصرى</v>
      </c>
      <c r="E168" s="13" t="str">
        <f>VLOOKUP(Table6[[#This Row],[الكود]],Data[],25,0)</f>
        <v>مؤمن عليه</v>
      </c>
      <c r="F168" s="64">
        <f>VLOOKUP(Table6[[#This Row],[الكود]],Data[],88,0)</f>
        <v>45890</v>
      </c>
      <c r="G168" s="13"/>
      <c r="H168" s="55">
        <f>_xlfn.IFNA(IF(Table6[[#This Row],[الكود]]="","",VLOOKUP(Table6[[#This Row],[الكود]],Data[],97,0)),"")</f>
        <v>7300</v>
      </c>
      <c r="I168" s="55">
        <f>_xlfn.IFNA(IF(Table6[[#This Row],[الكود]]="","",VLOOKUP(Table6[[#This Row],[الكود]],Data[],99,0)),"")</f>
        <v>5615.38</v>
      </c>
      <c r="J168" s="55">
        <f>_xlfn.IFNA(IF(Table6[[#This Row],[الكود]]="","",VLOOKUP(Table6[[#This Row],[الكود]],Data[],100,0)),"")</f>
        <v>1684.62</v>
      </c>
      <c r="K168" s="55">
        <f>IF(Table6[[#This Row],[الاجر الشامل]]=0,"",I168*11%)</f>
        <v>617.69180000000006</v>
      </c>
      <c r="L168" s="55">
        <f>IF(Table6[[#This Row],[الاجر الشامل]]=0,"",I168*18.75%)</f>
        <v>1052.88375</v>
      </c>
      <c r="M168" s="42" t="str">
        <f>VLOOKUP(Table6[[#This Row],[الكود]],Data[],63,0)</f>
        <v>موجودة</v>
      </c>
      <c r="N168" s="42" t="str">
        <f>VLOOKUP(Table6[[#This Row],[الكود]],Data[],64,0)</f>
        <v>متوسط</v>
      </c>
      <c r="O168" s="42" t="b">
        <f>VLOOKUP(Table6[[#This Row],[الكود]],Data[],65,0)</f>
        <v>1</v>
      </c>
      <c r="P168" s="42" t="b">
        <f>VLOOKUP(Table6[[#This Row],[الكود]],Data[],67,0)</f>
        <v>1</v>
      </c>
      <c r="Q168" s="42"/>
      <c r="R168" s="42" t="b">
        <f>VLOOKUP(Table6[[#This Row],[الكود]],Data[],71,0)</f>
        <v>1</v>
      </c>
      <c r="S168" s="42" t="b">
        <f>VLOOKUP(Table6[[#This Row],[الكود]],Data[],73,0)</f>
        <v>0</v>
      </c>
      <c r="T168" s="43"/>
    </row>
    <row r="169" spans="1:20" ht="16.8" x14ac:dyDescent="0.25">
      <c r="A169" s="12">
        <v>88</v>
      </c>
      <c r="B169" s="13" t="s">
        <v>63</v>
      </c>
      <c r="C169" s="13" t="str">
        <f>VLOOKUP(Table6[[#This Row],[الكود]],Data[],12,0)</f>
        <v>29507291302218</v>
      </c>
      <c r="D169" s="13" t="str">
        <f>VLOOKUP(Table6[[#This Row],[الكود]],Data[],10,0)</f>
        <v>مصرى</v>
      </c>
      <c r="E169" s="13" t="str">
        <f>VLOOKUP(Table6[[#This Row],[الكود]],Data[],25,0)</f>
        <v>مؤمن عليه</v>
      </c>
      <c r="F169" s="64">
        <f>VLOOKUP(Table6[[#This Row],[الكود]],Data[],88,0)</f>
        <v>1</v>
      </c>
      <c r="G169" s="13"/>
      <c r="H169" s="55">
        <f>_xlfn.IFNA(IF(Table6[[#This Row],[الكود]]="","",VLOOKUP(Table6[[#This Row],[الكود]],Data[],97,0)),"")</f>
        <v>8500</v>
      </c>
      <c r="I169" s="55">
        <f>_xlfn.IFNA(IF(Table6[[#This Row],[الكود]]="","",VLOOKUP(Table6[[#This Row],[الكود]],Data[],99,0)),"")</f>
        <v>6538.46</v>
      </c>
      <c r="J169" s="55">
        <f>_xlfn.IFNA(IF(Table6[[#This Row],[الكود]]="","",VLOOKUP(Table6[[#This Row],[الكود]],Data[],100,0)),"")</f>
        <v>1961.54</v>
      </c>
      <c r="K169" s="55">
        <f>IF(Table6[[#This Row],[الاجر الشامل]]=0,"",I169*11%)</f>
        <v>719.23059999999998</v>
      </c>
      <c r="L169" s="55">
        <f>IF(Table6[[#This Row],[الاجر الشامل]]=0,"",I169*18.75%)</f>
        <v>1225.9612500000001</v>
      </c>
      <c r="M169" s="42" t="str">
        <f>VLOOKUP(Table6[[#This Row],[الكود]],Data[],63,0)</f>
        <v>غير موجودة</v>
      </c>
      <c r="N169" s="42" t="str">
        <f>VLOOKUP(Table6[[#This Row],[الكود]],Data[],64,0)</f>
        <v>غير موجودة</v>
      </c>
      <c r="O169" s="42" t="b">
        <f>VLOOKUP(Table6[[#This Row],[الكود]],Data[],65,0)</f>
        <v>1</v>
      </c>
      <c r="P169" s="42" t="b">
        <f>VLOOKUP(Table6[[#This Row],[الكود]],Data[],67,0)</f>
        <v>1</v>
      </c>
      <c r="Q169" s="42"/>
      <c r="R169" s="42" t="b">
        <f>VLOOKUP(Table6[[#This Row],[الكود]],Data[],71,0)</f>
        <v>0</v>
      </c>
      <c r="S169" s="42" t="b">
        <f>VLOOKUP(Table6[[#This Row],[الكود]],Data[],73,0)</f>
        <v>0</v>
      </c>
      <c r="T169" s="43"/>
    </row>
    <row r="170" spans="1:20" ht="16.8" x14ac:dyDescent="0.25">
      <c r="A170" s="12">
        <v>154</v>
      </c>
      <c r="B170" s="13" t="s">
        <v>82</v>
      </c>
      <c r="C170" s="13" t="str">
        <f>VLOOKUP(Table6[[#This Row],[الكود]],Data[],12,0)</f>
        <v>29608041301594</v>
      </c>
      <c r="D170" s="13" t="str">
        <f>VLOOKUP(Table6[[#This Row],[الكود]],Data[],10,0)</f>
        <v>مصرى</v>
      </c>
      <c r="E170" s="13" t="str">
        <f>VLOOKUP(Table6[[#This Row],[الكود]],Data[],25,0)</f>
        <v>مؤمن عليه</v>
      </c>
      <c r="F170" s="64">
        <f>VLOOKUP(Table6[[#This Row],[الكود]],Data[],88,0)</f>
        <v>1</v>
      </c>
      <c r="G170" s="13"/>
      <c r="H170" s="55">
        <f>_xlfn.IFNA(IF(Table6[[#This Row],[الكود]]="","",VLOOKUP(Table6[[#This Row],[الكود]],Data[],97,0)),"")</f>
        <v>7100</v>
      </c>
      <c r="I170" s="55">
        <f>_xlfn.IFNA(IF(Table6[[#This Row],[الكود]]="","",VLOOKUP(Table6[[#This Row],[الكود]],Data[],99,0)),"")</f>
        <v>5461.54</v>
      </c>
      <c r="J170" s="55">
        <f>_xlfn.IFNA(IF(Table6[[#This Row],[الكود]]="","",VLOOKUP(Table6[[#This Row],[الكود]],Data[],100,0)),"")</f>
        <v>1638.46</v>
      </c>
      <c r="K170" s="55">
        <f>IF(Table6[[#This Row],[الاجر الشامل]]=0,"",I170*11%)</f>
        <v>600.76940000000002</v>
      </c>
      <c r="L170" s="55">
        <f>IF(Table6[[#This Row],[الاجر الشامل]]=0,"",I170*18.75%)</f>
        <v>1024.0387499999999</v>
      </c>
      <c r="M170" s="42" t="str">
        <f>VLOOKUP(Table6[[#This Row],[الكود]],Data[],63,0)</f>
        <v>غير موجودة</v>
      </c>
      <c r="N170" s="42" t="str">
        <f>VLOOKUP(Table6[[#This Row],[الكود]],Data[],64,0)</f>
        <v>غير موجودة</v>
      </c>
      <c r="O170" s="42" t="b">
        <f>VLOOKUP(Table6[[#This Row],[الكود]],Data[],65,0)</f>
        <v>0</v>
      </c>
      <c r="P170" s="42" t="b">
        <f>VLOOKUP(Table6[[#This Row],[الكود]],Data[],67,0)</f>
        <v>1</v>
      </c>
      <c r="Q170" s="42"/>
      <c r="R170" s="42" t="b">
        <f>VLOOKUP(Table6[[#This Row],[الكود]],Data[],71,0)</f>
        <v>1</v>
      </c>
      <c r="S170" s="42" t="b">
        <f>VLOOKUP(Table6[[#This Row],[الكود]],Data[],73,0)</f>
        <v>0</v>
      </c>
      <c r="T170" s="43"/>
    </row>
    <row r="171" spans="1:20" ht="16.8" x14ac:dyDescent="0.25">
      <c r="A171" s="12">
        <v>204</v>
      </c>
      <c r="B171" s="13" t="s">
        <v>92</v>
      </c>
      <c r="C171" s="13" t="str">
        <f>VLOOKUP(Table6[[#This Row],[الكود]],Data[],12,0)</f>
        <v>28707111305112</v>
      </c>
      <c r="D171" s="13" t="str">
        <f>VLOOKUP(Table6[[#This Row],[الكود]],Data[],10,0)</f>
        <v>مصرى</v>
      </c>
      <c r="E171" s="13" t="str">
        <f>VLOOKUP(Table6[[#This Row],[الكود]],Data[],25,0)</f>
        <v>مؤمن عليه</v>
      </c>
      <c r="F171" s="64">
        <f>VLOOKUP(Table6[[#This Row],[الكود]],Data[],88,0)</f>
        <v>45887</v>
      </c>
      <c r="G171" s="13"/>
      <c r="H171" s="55">
        <f>_xlfn.IFNA(IF(Table6[[#This Row],[الكود]]="","",VLOOKUP(Table6[[#This Row],[الكود]],Data[],97,0)),"")</f>
        <v>7300</v>
      </c>
      <c r="I171" s="55">
        <f>_xlfn.IFNA(IF(Table6[[#This Row],[الكود]]="","",VLOOKUP(Table6[[#This Row],[الكود]],Data[],99,0)),"")</f>
        <v>5615.38</v>
      </c>
      <c r="J171" s="55">
        <f>_xlfn.IFNA(IF(Table6[[#This Row],[الكود]]="","",VLOOKUP(Table6[[#This Row],[الكود]],Data[],100,0)),"")</f>
        <v>1684.62</v>
      </c>
      <c r="K171" s="55">
        <f>IF(Table6[[#This Row],[الاجر الشامل]]=0,"",I171*11%)</f>
        <v>617.69180000000006</v>
      </c>
      <c r="L171" s="55">
        <f>IF(Table6[[#This Row],[الاجر الشامل]]=0,"",I171*18.75%)</f>
        <v>1052.88375</v>
      </c>
      <c r="M171" s="42" t="str">
        <f>VLOOKUP(Table6[[#This Row],[الكود]],Data[],63,0)</f>
        <v>موجودة</v>
      </c>
      <c r="N171" s="42" t="str">
        <f>VLOOKUP(Table6[[#This Row],[الكود]],Data[],64,0)</f>
        <v>موجودة</v>
      </c>
      <c r="O171" s="42" t="b">
        <f>VLOOKUP(Table6[[#This Row],[الكود]],Data[],65,0)</f>
        <v>1</v>
      </c>
      <c r="P171" s="42" t="b">
        <f>VLOOKUP(Table6[[#This Row],[الكود]],Data[],67,0)</f>
        <v>1</v>
      </c>
      <c r="Q171" s="42"/>
      <c r="R171" s="42" t="b">
        <f>VLOOKUP(Table6[[#This Row],[الكود]],Data[],71,0)</f>
        <v>1</v>
      </c>
      <c r="S171" s="42" t="b">
        <f>VLOOKUP(Table6[[#This Row],[الكود]],Data[],73,0)</f>
        <v>0</v>
      </c>
      <c r="T171" s="43"/>
    </row>
    <row r="172" spans="1:20" ht="16.8" x14ac:dyDescent="0.25">
      <c r="A172" s="12">
        <v>392</v>
      </c>
      <c r="B172" s="13" t="s">
        <v>117</v>
      </c>
      <c r="C172" s="13" t="str">
        <f>VLOOKUP(Table6[[#This Row],[الكود]],Data[],12,0)</f>
        <v>30112152501576</v>
      </c>
      <c r="D172" s="13" t="str">
        <f>VLOOKUP(Table6[[#This Row],[الكود]],Data[],10,0)</f>
        <v>مصرى</v>
      </c>
      <c r="E172" s="13" t="str">
        <f>VLOOKUP(Table6[[#This Row],[الكود]],Data[],25,0)</f>
        <v>مؤمن عليه</v>
      </c>
      <c r="F172" s="64">
        <f>VLOOKUP(Table6[[#This Row],[الكود]],Data[],88,0)</f>
        <v>1</v>
      </c>
      <c r="G172" s="13"/>
      <c r="H172" s="55">
        <f>_xlfn.IFNA(IF(Table6[[#This Row],[الكود]]="","",VLOOKUP(Table6[[#This Row],[الكود]],Data[],97,0)),"")</f>
        <v>7000</v>
      </c>
      <c r="I172" s="55">
        <f>_xlfn.IFNA(IF(Table6[[#This Row],[الكود]]="","",VLOOKUP(Table6[[#This Row],[الكود]],Data[],99,0)),"")</f>
        <v>5384.62</v>
      </c>
      <c r="J172" s="55">
        <f>_xlfn.IFNA(IF(Table6[[#This Row],[الكود]]="","",VLOOKUP(Table6[[#This Row],[الكود]],Data[],100,0)),"")</f>
        <v>1615.38</v>
      </c>
      <c r="K172" s="55">
        <f>IF(Table6[[#This Row],[الاجر الشامل]]=0,"",I172*11%)</f>
        <v>592.30819999999994</v>
      </c>
      <c r="L172" s="55">
        <f>IF(Table6[[#This Row],[الاجر الشامل]]=0,"",I172*18.75%)</f>
        <v>1009.61625</v>
      </c>
      <c r="M172" s="42" t="str">
        <f>VLOOKUP(Table6[[#This Row],[الكود]],Data[],63,0)</f>
        <v>موجودة</v>
      </c>
      <c r="N172" s="42" t="str">
        <f>VLOOKUP(Table6[[#This Row],[الكود]],Data[],64,0)</f>
        <v>متوسط</v>
      </c>
      <c r="O172" s="42" t="b">
        <f>VLOOKUP(Table6[[#This Row],[الكود]],Data[],65,0)</f>
        <v>1</v>
      </c>
      <c r="P172" s="42" t="b">
        <f>VLOOKUP(Table6[[#This Row],[الكود]],Data[],67,0)</f>
        <v>1</v>
      </c>
      <c r="Q172" s="42"/>
      <c r="R172" s="42" t="b">
        <f>VLOOKUP(Table6[[#This Row],[الكود]],Data[],71,0)</f>
        <v>1</v>
      </c>
      <c r="S172" s="42" t="b">
        <f>VLOOKUP(Table6[[#This Row],[الكود]],Data[],73,0)</f>
        <v>1</v>
      </c>
      <c r="T172" s="43"/>
    </row>
    <row r="173" spans="1:20" ht="16.8" x14ac:dyDescent="0.25">
      <c r="A173" s="12">
        <v>422</v>
      </c>
      <c r="B173" s="13" t="s">
        <v>125</v>
      </c>
      <c r="C173" s="13" t="str">
        <f>VLOOKUP(Table6[[#This Row],[الكود]],Data[],12,0)</f>
        <v>30210261300094</v>
      </c>
      <c r="D173" s="13" t="str">
        <f>VLOOKUP(Table6[[#This Row],[الكود]],Data[],10,0)</f>
        <v>مصرى</v>
      </c>
      <c r="E173" s="13" t="str">
        <f>VLOOKUP(Table6[[#This Row],[الكود]],Data[],25,0)</f>
        <v>مؤمن عليه</v>
      </c>
      <c r="F173" s="64">
        <f>VLOOKUP(Table6[[#This Row],[الكود]],Data[],88,0)</f>
        <v>1</v>
      </c>
      <c r="G173" s="13"/>
      <c r="H173" s="55">
        <f>_xlfn.IFNA(IF(Table6[[#This Row],[الكود]]="","",VLOOKUP(Table6[[#This Row],[الكود]],Data[],97,0)),"")</f>
        <v>7000</v>
      </c>
      <c r="I173" s="55">
        <f>_xlfn.IFNA(IF(Table6[[#This Row],[الكود]]="","",VLOOKUP(Table6[[#This Row],[الكود]],Data[],99,0)),"")</f>
        <v>5384.62</v>
      </c>
      <c r="J173" s="55">
        <f>_xlfn.IFNA(IF(Table6[[#This Row],[الكود]]="","",VLOOKUP(Table6[[#This Row],[الكود]],Data[],100,0)),"")</f>
        <v>1615.38</v>
      </c>
      <c r="K173" s="55">
        <f>IF(Table6[[#This Row],[الاجر الشامل]]=0,"",I173*11%)</f>
        <v>592.30819999999994</v>
      </c>
      <c r="L173" s="55">
        <f>IF(Table6[[#This Row],[الاجر الشامل]]=0,"",I173*18.75%)</f>
        <v>1009.61625</v>
      </c>
      <c r="M173" s="42" t="str">
        <f>VLOOKUP(Table6[[#This Row],[الكود]],Data[],63,0)</f>
        <v>غير موجودة</v>
      </c>
      <c r="N173" s="42" t="str">
        <f>VLOOKUP(Table6[[#This Row],[الكود]],Data[],64,0)</f>
        <v>مؤهل عالى</v>
      </c>
      <c r="O173" s="42" t="b">
        <f>VLOOKUP(Table6[[#This Row],[الكود]],Data[],65,0)</f>
        <v>1</v>
      </c>
      <c r="P173" s="42" t="b">
        <f>VLOOKUP(Table6[[#This Row],[الكود]],Data[],67,0)</f>
        <v>1</v>
      </c>
      <c r="Q173" s="42"/>
      <c r="R173" s="42" t="b">
        <f>VLOOKUP(Table6[[#This Row],[الكود]],Data[],71,0)</f>
        <v>1</v>
      </c>
      <c r="S173" s="42" t="b">
        <f>VLOOKUP(Table6[[#This Row],[الكود]],Data[],73,0)</f>
        <v>1</v>
      </c>
      <c r="T173" s="43"/>
    </row>
    <row r="174" spans="1:20" ht="16.8" x14ac:dyDescent="0.25">
      <c r="A174" s="9">
        <v>507</v>
      </c>
      <c r="B174" s="10" t="s">
        <v>143</v>
      </c>
      <c r="C174" s="10" t="str">
        <f>VLOOKUP(Table6[[#This Row],[الكود]],Data[],12,0)</f>
        <v>28703231401179</v>
      </c>
      <c r="D174" s="10" t="str">
        <f>VLOOKUP(Table6[[#This Row],[الكود]],Data[],10,0)</f>
        <v>مصرى</v>
      </c>
      <c r="E174" s="10" t="str">
        <f>VLOOKUP(Table6[[#This Row],[الكود]],Data[],25,0)</f>
        <v>مؤمن عليه</v>
      </c>
      <c r="F174" s="63">
        <f>VLOOKUP(Table6[[#This Row],[الكود]],Data[],88,0)</f>
        <v>45839</v>
      </c>
      <c r="G174" s="10"/>
      <c r="H174" s="54">
        <f>_xlfn.IFNA(IF(Table6[[#This Row],[الكود]]="","",VLOOKUP(Table6[[#This Row],[الكود]],Data[],97,0)),"")</f>
        <v>8500</v>
      </c>
      <c r="I174" s="54">
        <f>_xlfn.IFNA(IF(Table6[[#This Row],[الكود]]="","",VLOOKUP(Table6[[#This Row],[الكود]],Data[],99,0)),"")</f>
        <v>6538.46</v>
      </c>
      <c r="J174" s="54">
        <f>_xlfn.IFNA(IF(Table6[[#This Row],[الكود]]="","",VLOOKUP(Table6[[#This Row],[الكود]],Data[],100,0)),"")</f>
        <v>1961.54</v>
      </c>
      <c r="K174" s="54">
        <f>IF(Table6[[#This Row],[الاجر الشامل]]=0,"",I174*11%)</f>
        <v>719.23059999999998</v>
      </c>
      <c r="L174" s="54">
        <f>IF(Table6[[#This Row],[الاجر الشامل]]=0,"",I174*18.75%)</f>
        <v>1225.9612500000001</v>
      </c>
      <c r="M174" s="17" t="str">
        <f>VLOOKUP(Table6[[#This Row],[الكود]],Data[],63,0)</f>
        <v>غير موجودة</v>
      </c>
      <c r="N174" s="17" t="str">
        <f>VLOOKUP(Table6[[#This Row],[الكود]],Data[],64,0)</f>
        <v>موجودة</v>
      </c>
      <c r="O174" s="17" t="b">
        <f>VLOOKUP(Table6[[#This Row],[الكود]],Data[],65,0)</f>
        <v>1</v>
      </c>
      <c r="P174" s="17" t="b">
        <f>VLOOKUP(Table6[[#This Row],[الكود]],Data[],67,0)</f>
        <v>1</v>
      </c>
      <c r="Q174" s="17"/>
      <c r="R174" s="17" t="b">
        <f>VLOOKUP(Table6[[#This Row],[الكود]],Data[],71,0)</f>
        <v>0</v>
      </c>
      <c r="S174" s="17" t="b">
        <f>VLOOKUP(Table6[[#This Row],[الكود]],Data[],73,0)</f>
        <v>0</v>
      </c>
      <c r="T174" s="41"/>
    </row>
    <row r="175" spans="1:20" ht="16.8" x14ac:dyDescent="0.25">
      <c r="A175" s="9">
        <v>511</v>
      </c>
      <c r="B175" s="10" t="s">
        <v>149</v>
      </c>
      <c r="C175" s="10" t="str">
        <f>VLOOKUP(Table6[[#This Row],[الكود]],Data[],12,0)</f>
        <v>28703231401179</v>
      </c>
      <c r="D175" s="10" t="str">
        <f>VLOOKUP(Table6[[#This Row],[الكود]],Data[],10,0)</f>
        <v>مصرى</v>
      </c>
      <c r="E175" s="10" t="str">
        <f>VLOOKUP(Table6[[#This Row],[الكود]],Data[],25,0)</f>
        <v>مؤمن عليه</v>
      </c>
      <c r="F175" s="63">
        <f>VLOOKUP(Table6[[#This Row],[الكود]],Data[],88,0)</f>
        <v>45839</v>
      </c>
      <c r="G175" s="10"/>
      <c r="H175" s="54">
        <f>_xlfn.IFNA(IF(Table6[[#This Row],[الكود]]="","",VLOOKUP(Table6[[#This Row],[الكود]],Data[],97,0)),"")</f>
        <v>8500</v>
      </c>
      <c r="I175" s="54">
        <f>_xlfn.IFNA(IF(Table6[[#This Row],[الكود]]="","",VLOOKUP(Table6[[#This Row],[الكود]],Data[],99,0)),"")</f>
        <v>6538.46</v>
      </c>
      <c r="J175" s="54">
        <f>_xlfn.IFNA(IF(Table6[[#This Row],[الكود]]="","",VLOOKUP(Table6[[#This Row],[الكود]],Data[],100,0)),"")</f>
        <v>1961.54</v>
      </c>
      <c r="K175" s="54">
        <f>IF(Table6[[#This Row],[الاجر الشامل]]=0,"",I175*11%)</f>
        <v>719.23059999999998</v>
      </c>
      <c r="L175" s="54">
        <f>IF(Table6[[#This Row],[الاجر الشامل]]=0,"",I175*18.75%)</f>
        <v>1225.9612500000001</v>
      </c>
      <c r="M175" s="17" t="str">
        <f>VLOOKUP(Table6[[#This Row],[الكود]],Data[],63,0)</f>
        <v>غير موجودة</v>
      </c>
      <c r="N175" s="17" t="str">
        <f>VLOOKUP(Table6[[#This Row],[الكود]],Data[],64,0)</f>
        <v>موجودة</v>
      </c>
      <c r="O175" s="17" t="b">
        <f>VLOOKUP(Table6[[#This Row],[الكود]],Data[],65,0)</f>
        <v>1</v>
      </c>
      <c r="P175" s="17" t="b">
        <f>VLOOKUP(Table6[[#This Row],[الكود]],Data[],67,0)</f>
        <v>1</v>
      </c>
      <c r="Q175" s="17"/>
      <c r="R175" s="17" t="b">
        <f>VLOOKUP(Table6[[#This Row],[الكود]],Data[],71,0)</f>
        <v>0</v>
      </c>
      <c r="S175" s="17" t="b">
        <f>VLOOKUP(Table6[[#This Row],[الكود]],Data[],73,0)</f>
        <v>0</v>
      </c>
      <c r="T175" s="41"/>
    </row>
    <row r="176" spans="1:20" ht="16.8" x14ac:dyDescent="0.25">
      <c r="A176" s="9">
        <v>512</v>
      </c>
      <c r="B176" s="10" t="s">
        <v>151</v>
      </c>
      <c r="C176" s="10" t="str">
        <f>VLOOKUP(Table6[[#This Row],[الكود]],Data[],12,0)</f>
        <v>N 013160464</v>
      </c>
      <c r="D176" s="10" t="str">
        <f>VLOOKUP(Table6[[#This Row],[الكود]],Data[],10,0)</f>
        <v>سورى</v>
      </c>
      <c r="E176" s="10" t="str">
        <f>VLOOKUP(Table6[[#This Row],[الكود]],Data[],25,0)</f>
        <v>مؤمن عليه</v>
      </c>
      <c r="F176" s="63">
        <f>VLOOKUP(Table6[[#This Row],[الكود]],Data[],88,0)</f>
        <v>1</v>
      </c>
      <c r="G176" s="10"/>
      <c r="H176" s="54">
        <f>_xlfn.IFNA(IF(Table6[[#This Row],[الكود]]="","",VLOOKUP(Table6[[#This Row],[الكود]],Data[],97,0)),"")</f>
        <v>8500</v>
      </c>
      <c r="I176" s="54">
        <f>_xlfn.IFNA(IF(Table6[[#This Row],[الكود]]="","",VLOOKUP(Table6[[#This Row],[الكود]],Data[],99,0)),"")</f>
        <v>6538.46</v>
      </c>
      <c r="J176" s="54">
        <f>_xlfn.IFNA(IF(Table6[[#This Row],[الكود]]="","",VLOOKUP(Table6[[#This Row],[الكود]],Data[],100,0)),"")</f>
        <v>1961.54</v>
      </c>
      <c r="K176" s="54">
        <f>IF(Table6[[#This Row],[الاجر الشامل]]=0,"",I176*11%)</f>
        <v>719.23059999999998</v>
      </c>
      <c r="L176" s="54">
        <f>IF(Table6[[#This Row],[الاجر الشامل]]=0,"",I176*18.75%)</f>
        <v>1225.9612500000001</v>
      </c>
      <c r="M176" s="17" t="str">
        <f>VLOOKUP(Table6[[#This Row],[الكود]],Data[],63,0)</f>
        <v>غير موجودة</v>
      </c>
      <c r="N176" s="17" t="str">
        <f>VLOOKUP(Table6[[#This Row],[الكود]],Data[],64,0)</f>
        <v>غير موجودة</v>
      </c>
      <c r="O176" s="17" t="b">
        <f>VLOOKUP(Table6[[#This Row],[الكود]],Data[],65,0)</f>
        <v>0</v>
      </c>
      <c r="P176" s="17" t="b">
        <f>VLOOKUP(Table6[[#This Row],[الكود]],Data[],67,0)</f>
        <v>0</v>
      </c>
      <c r="Q176" s="17"/>
      <c r="R176" s="17" t="b">
        <f>VLOOKUP(Table6[[#This Row],[الكود]],Data[],71,0)</f>
        <v>0</v>
      </c>
      <c r="S176" s="17" t="b">
        <f>VLOOKUP(Table6[[#This Row],[الكود]],Data[],73,0)</f>
        <v>0</v>
      </c>
      <c r="T176" s="41"/>
    </row>
    <row r="177" spans="1:20" ht="16.8" x14ac:dyDescent="0.25">
      <c r="A177" s="9">
        <v>513</v>
      </c>
      <c r="B177" s="10" t="s">
        <v>153</v>
      </c>
      <c r="C177" s="10" t="str">
        <f>VLOOKUP(Table6[[#This Row],[الكود]],Data[],12,0)</f>
        <v>29509161304076</v>
      </c>
      <c r="D177" s="10" t="str">
        <f>VLOOKUP(Table6[[#This Row],[الكود]],Data[],10,0)</f>
        <v>مصرى</v>
      </c>
      <c r="E177" s="10" t="str">
        <f>VLOOKUP(Table6[[#This Row],[الكود]],Data[],25,0)</f>
        <v>مؤمن عليه</v>
      </c>
      <c r="F177" s="63">
        <f>VLOOKUP(Table6[[#This Row],[الكود]],Data[],88,0)</f>
        <v>1</v>
      </c>
      <c r="G177" s="10"/>
      <c r="H177" s="54">
        <f>_xlfn.IFNA(IF(Table6[[#This Row],[الكود]]="","",VLOOKUP(Table6[[#This Row],[الكود]],Data[],97,0)),"")</f>
        <v>8500</v>
      </c>
      <c r="I177" s="54">
        <f>_xlfn.IFNA(IF(Table6[[#This Row],[الكود]]="","",VLOOKUP(Table6[[#This Row],[الكود]],Data[],99,0)),"")</f>
        <v>6538.46</v>
      </c>
      <c r="J177" s="54">
        <f>_xlfn.IFNA(IF(Table6[[#This Row],[الكود]]="","",VLOOKUP(Table6[[#This Row],[الكود]],Data[],100,0)),"")</f>
        <v>1961.54</v>
      </c>
      <c r="K177" s="54">
        <f>IF(Table6[[#This Row],[الاجر الشامل]]=0,"",I177*11%)</f>
        <v>719.23059999999998</v>
      </c>
      <c r="L177" s="54">
        <f>IF(Table6[[#This Row],[الاجر الشامل]]=0,"",I177*18.75%)</f>
        <v>1225.9612500000001</v>
      </c>
      <c r="M177" s="17" t="str">
        <f>VLOOKUP(Table6[[#This Row],[الكود]],Data[],63,0)</f>
        <v>موجودة</v>
      </c>
      <c r="N177" s="17" t="str">
        <f>VLOOKUP(Table6[[#This Row],[الكود]],Data[],64,0)</f>
        <v>موجودة</v>
      </c>
      <c r="O177" s="17" t="b">
        <f>VLOOKUP(Table6[[#This Row],[الكود]],Data[],65,0)</f>
        <v>1</v>
      </c>
      <c r="P177" s="17" t="b">
        <f>VLOOKUP(Table6[[#This Row],[الكود]],Data[],67,0)</f>
        <v>1</v>
      </c>
      <c r="Q177" s="17"/>
      <c r="R177" s="17" t="b">
        <f>VLOOKUP(Table6[[#This Row],[الكود]],Data[],71,0)</f>
        <v>0</v>
      </c>
      <c r="S177" s="17" t="b">
        <f>VLOOKUP(Table6[[#This Row],[الكود]],Data[],73,0)</f>
        <v>0</v>
      </c>
      <c r="T177" s="41"/>
    </row>
    <row r="178" spans="1:20" ht="16.8" x14ac:dyDescent="0.25">
      <c r="A178" s="9">
        <v>531</v>
      </c>
      <c r="B178" s="10" t="s">
        <v>157</v>
      </c>
      <c r="C178" s="10" t="str">
        <f>VLOOKUP(Table6[[#This Row],[الكود]],Data[],12,0)</f>
        <v>29108101300239</v>
      </c>
      <c r="D178" s="10" t="str">
        <f>VLOOKUP(Table6[[#This Row],[الكود]],Data[],10,0)</f>
        <v>مصرى</v>
      </c>
      <c r="E178" s="10" t="str">
        <f>VLOOKUP(Table6[[#This Row],[الكود]],Data[],25,0)</f>
        <v>مؤمن عليه</v>
      </c>
      <c r="F178" s="63">
        <f>VLOOKUP(Table6[[#This Row],[الكود]],Data[],88,0)</f>
        <v>1</v>
      </c>
      <c r="G178" s="10"/>
      <c r="H178" s="54">
        <f>_xlfn.IFNA(IF(Table6[[#This Row],[الكود]]="","",VLOOKUP(Table6[[#This Row],[الكود]],Data[],97,0)),"")</f>
        <v>8500</v>
      </c>
      <c r="I178" s="54">
        <f>_xlfn.IFNA(IF(Table6[[#This Row],[الكود]]="","",VLOOKUP(Table6[[#This Row],[الكود]],Data[],99,0)),"")</f>
        <v>6538.46</v>
      </c>
      <c r="J178" s="54">
        <f>_xlfn.IFNA(IF(Table6[[#This Row],[الكود]]="","",VLOOKUP(Table6[[#This Row],[الكود]],Data[],100,0)),"")</f>
        <v>1961.54</v>
      </c>
      <c r="K178" s="54">
        <f>IF(Table6[[#This Row],[الاجر الشامل]]=0,"",I178*11%)</f>
        <v>719.23059999999998</v>
      </c>
      <c r="L178" s="54">
        <f>IF(Table6[[#This Row],[الاجر الشامل]]=0,"",I178*18.75%)</f>
        <v>1225.9612500000001</v>
      </c>
      <c r="M178" s="17" t="str">
        <f>VLOOKUP(Table6[[#This Row],[الكود]],Data[],63,0)</f>
        <v>موجودة</v>
      </c>
      <c r="N178" s="17" t="str">
        <f>VLOOKUP(Table6[[#This Row],[الكود]],Data[],64,0)</f>
        <v>موجودة</v>
      </c>
      <c r="O178" s="17" t="b">
        <f>VLOOKUP(Table6[[#This Row],[الكود]],Data[],65,0)</f>
        <v>1</v>
      </c>
      <c r="P178" s="17" t="b">
        <f>VLOOKUP(Table6[[#This Row],[الكود]],Data[],67,0)</f>
        <v>1</v>
      </c>
      <c r="Q178" s="17"/>
      <c r="R178" s="17" t="b">
        <f>VLOOKUP(Table6[[#This Row],[الكود]],Data[],71,0)</f>
        <v>0</v>
      </c>
      <c r="S178" s="17" t="b">
        <f>VLOOKUP(Table6[[#This Row],[الكود]],Data[],73,0)</f>
        <v>0</v>
      </c>
      <c r="T178" s="41"/>
    </row>
    <row r="179" spans="1:20" ht="16.8" x14ac:dyDescent="0.25">
      <c r="A179" s="9">
        <v>562</v>
      </c>
      <c r="B179" s="10" t="s">
        <v>173</v>
      </c>
      <c r="C179" s="10" t="str">
        <f>VLOOKUP(Table6[[#This Row],[الكود]],Data[],12,0)</f>
        <v>27407201303018</v>
      </c>
      <c r="D179" s="10" t="str">
        <f>VLOOKUP(Table6[[#This Row],[الكود]],Data[],10,0)</f>
        <v>مصرى</v>
      </c>
      <c r="E179" s="10" t="str">
        <f>VLOOKUP(Table6[[#This Row],[الكود]],Data[],25,0)</f>
        <v>مؤمن عليه</v>
      </c>
      <c r="F179" s="63">
        <f>VLOOKUP(Table6[[#This Row],[الكود]],Data[],88,0)</f>
        <v>1</v>
      </c>
      <c r="G179" s="10"/>
      <c r="H179" s="54">
        <f>_xlfn.IFNA(IF(Table6[[#This Row],[الكود]]="","",VLOOKUP(Table6[[#This Row],[الكود]],Data[],97,0)),"")</f>
        <v>7300</v>
      </c>
      <c r="I179" s="54">
        <f>_xlfn.IFNA(IF(Table6[[#This Row],[الكود]]="","",VLOOKUP(Table6[[#This Row],[الكود]],Data[],99,0)),"")</f>
        <v>5615.38</v>
      </c>
      <c r="J179" s="54">
        <f>_xlfn.IFNA(IF(Table6[[#This Row],[الكود]]="","",VLOOKUP(Table6[[#This Row],[الكود]],Data[],100,0)),"")</f>
        <v>1684.62</v>
      </c>
      <c r="K179" s="54">
        <f>IF(Table6[[#This Row],[الاجر الشامل]]=0,"",I179*11%)</f>
        <v>617.69180000000006</v>
      </c>
      <c r="L179" s="54">
        <f>IF(Table6[[#This Row],[الاجر الشامل]]=0,"",I179*18.75%)</f>
        <v>1052.88375</v>
      </c>
      <c r="M179" s="17" t="str">
        <f>VLOOKUP(Table6[[#This Row],[الكود]],Data[],63,0)</f>
        <v>موجودة</v>
      </c>
      <c r="N179" s="17" t="str">
        <f>VLOOKUP(Table6[[#This Row],[الكود]],Data[],64,0)</f>
        <v>إبتدائى</v>
      </c>
      <c r="O179" s="17" t="b">
        <f>VLOOKUP(Table6[[#This Row],[الكود]],Data[],65,0)</f>
        <v>1</v>
      </c>
      <c r="P179" s="17" t="b">
        <f>VLOOKUP(Table6[[#This Row],[الكود]],Data[],67,0)</f>
        <v>1</v>
      </c>
      <c r="Q179" s="17"/>
      <c r="R179" s="17" t="b">
        <f>VLOOKUP(Table6[[#This Row],[الكود]],Data[],71,0)</f>
        <v>1</v>
      </c>
      <c r="S179" s="17" t="b">
        <f>VLOOKUP(Table6[[#This Row],[الكود]],Data[],73,0)</f>
        <v>1</v>
      </c>
      <c r="T179" s="41"/>
    </row>
    <row r="180" spans="1:20" ht="16.8" x14ac:dyDescent="0.25">
      <c r="A180" s="9">
        <v>664</v>
      </c>
      <c r="B180" s="10" t="s">
        <v>208</v>
      </c>
      <c r="C180" s="10" t="str">
        <f>VLOOKUP(Table6[[#This Row],[الكود]],Data[],12,0)</f>
        <v>29005301300396</v>
      </c>
      <c r="D180" s="10" t="str">
        <f>VLOOKUP(Table6[[#This Row],[الكود]],Data[],10,0)</f>
        <v>مصرى</v>
      </c>
      <c r="E180" s="10" t="str">
        <f>VLOOKUP(Table6[[#This Row],[الكود]],Data[],25,0)</f>
        <v>مؤمن عليه</v>
      </c>
      <c r="F180" s="63">
        <f>VLOOKUP(Table6[[#This Row],[الكود]],Data[],88,0)</f>
        <v>45840</v>
      </c>
      <c r="G180" s="10"/>
      <c r="H180" s="54">
        <f>_xlfn.IFNA(IF(Table6[[#This Row],[الكود]]="","",VLOOKUP(Table6[[#This Row],[الكود]],Data[],97,0)),"")</f>
        <v>7500</v>
      </c>
      <c r="I180" s="54">
        <f>_xlfn.IFNA(IF(Table6[[#This Row],[الكود]]="","",VLOOKUP(Table6[[#This Row],[الكود]],Data[],99,0)),"")</f>
        <v>5769.23</v>
      </c>
      <c r="J180" s="54">
        <f>_xlfn.IFNA(IF(Table6[[#This Row],[الكود]]="","",VLOOKUP(Table6[[#This Row],[الكود]],Data[],100,0)),"")</f>
        <v>1730.77</v>
      </c>
      <c r="K180" s="54">
        <f>IF(Table6[[#This Row],[الاجر الشامل]]=0,"",I180*11%)</f>
        <v>634.61529999999993</v>
      </c>
      <c r="L180" s="54">
        <f>IF(Table6[[#This Row],[الاجر الشامل]]=0,"",I180*18.75%)</f>
        <v>1081.7306249999999</v>
      </c>
      <c r="M180" s="17" t="str">
        <f>VLOOKUP(Table6[[#This Row],[الكود]],Data[],63,0)</f>
        <v>موجودة</v>
      </c>
      <c r="N180" s="17" t="str">
        <f>VLOOKUP(Table6[[#This Row],[الكود]],Data[],64,0)</f>
        <v>موجودة</v>
      </c>
      <c r="O180" s="17" t="b">
        <f>VLOOKUP(Table6[[#This Row],[الكود]],Data[],65,0)</f>
        <v>1</v>
      </c>
      <c r="P180" s="17" t="b">
        <f>VLOOKUP(Table6[[#This Row],[الكود]],Data[],67,0)</f>
        <v>1</v>
      </c>
      <c r="Q180" s="17"/>
      <c r="R180" s="17" t="b">
        <f>VLOOKUP(Table6[[#This Row],[الكود]],Data[],71,0)</f>
        <v>1</v>
      </c>
      <c r="S180" s="17" t="b">
        <f>VLOOKUP(Table6[[#This Row],[الكود]],Data[],73,0)</f>
        <v>1</v>
      </c>
      <c r="T180" s="41"/>
    </row>
    <row r="181" spans="1:20" ht="16.8" x14ac:dyDescent="0.25">
      <c r="A181" s="9">
        <v>666</v>
      </c>
      <c r="B181" s="10" t="s">
        <v>209</v>
      </c>
      <c r="C181" s="10" t="str">
        <f>VLOOKUP(Table6[[#This Row],[الكود]],Data[],12,0)</f>
        <v>29202081303275</v>
      </c>
      <c r="D181" s="10" t="str">
        <f>VLOOKUP(Table6[[#This Row],[الكود]],Data[],10,0)</f>
        <v>مصرى</v>
      </c>
      <c r="E181" s="10" t="str">
        <f>VLOOKUP(Table6[[#This Row],[الكود]],Data[],25,0)</f>
        <v>مؤمن عليه</v>
      </c>
      <c r="F181" s="63">
        <f>VLOOKUP(Table6[[#This Row],[الكود]],Data[],88,0)</f>
        <v>45887</v>
      </c>
      <c r="G181" s="10"/>
      <c r="H181" s="54">
        <f>_xlfn.IFNA(IF(Table6[[#This Row],[الكود]]="","",VLOOKUP(Table6[[#This Row],[الكود]],Data[],97,0)),"")</f>
        <v>7500</v>
      </c>
      <c r="I181" s="54">
        <f>_xlfn.IFNA(IF(Table6[[#This Row],[الكود]]="","",VLOOKUP(Table6[[#This Row],[الكود]],Data[],99,0)),"")</f>
        <v>5769.23</v>
      </c>
      <c r="J181" s="54">
        <f>_xlfn.IFNA(IF(Table6[[#This Row],[الكود]]="","",VLOOKUP(Table6[[#This Row],[الكود]],Data[],100,0)),"")</f>
        <v>1730.77</v>
      </c>
      <c r="K181" s="54">
        <f>IF(Table6[[#This Row],[الاجر الشامل]]=0,"",I181*11%)</f>
        <v>634.61529999999993</v>
      </c>
      <c r="L181" s="54">
        <f>IF(Table6[[#This Row],[الاجر الشامل]]=0,"",I181*18.75%)</f>
        <v>1081.7306249999999</v>
      </c>
      <c r="M181" s="17" t="str">
        <f>VLOOKUP(Table6[[#This Row],[الكود]],Data[],63,0)</f>
        <v>موجودة</v>
      </c>
      <c r="N181" s="17" t="str">
        <f>VLOOKUP(Table6[[#This Row],[الكود]],Data[],64,0)</f>
        <v>موجودة</v>
      </c>
      <c r="O181" s="17" t="b">
        <f>VLOOKUP(Table6[[#This Row],[الكود]],Data[],65,0)</f>
        <v>1</v>
      </c>
      <c r="P181" s="17" t="b">
        <f>VLOOKUP(Table6[[#This Row],[الكود]],Data[],67,0)</f>
        <v>1</v>
      </c>
      <c r="Q181" s="17"/>
      <c r="R181" s="17" t="b">
        <f>VLOOKUP(Table6[[#This Row],[الكود]],Data[],71,0)</f>
        <v>1</v>
      </c>
      <c r="S181" s="17" t="b">
        <f>VLOOKUP(Table6[[#This Row],[الكود]],Data[],73,0)</f>
        <v>1</v>
      </c>
      <c r="T181" s="41"/>
    </row>
    <row r="182" spans="1:20" ht="16.8" x14ac:dyDescent="0.25">
      <c r="A182" s="9">
        <v>672</v>
      </c>
      <c r="B182" s="10" t="s">
        <v>211</v>
      </c>
      <c r="C182" s="10" t="str">
        <f>VLOOKUP(Table6[[#This Row],[الكود]],Data[],12,0)</f>
        <v>29209151307294</v>
      </c>
      <c r="D182" s="10" t="str">
        <f>VLOOKUP(Table6[[#This Row],[الكود]],Data[],10,0)</f>
        <v>مصرى</v>
      </c>
      <c r="E182" s="10" t="str">
        <f>VLOOKUP(Table6[[#This Row],[الكود]],Data[],25,0)</f>
        <v>مؤمن عليه</v>
      </c>
      <c r="F182" s="63">
        <f>VLOOKUP(Table6[[#This Row],[الكود]],Data[],88,0)</f>
        <v>45843</v>
      </c>
      <c r="G182" s="10"/>
      <c r="H182" s="54">
        <f>_xlfn.IFNA(IF(Table6[[#This Row],[الكود]]="","",VLOOKUP(Table6[[#This Row],[الكود]],Data[],97,0)),"")</f>
        <v>7300</v>
      </c>
      <c r="I182" s="54">
        <f>_xlfn.IFNA(IF(Table6[[#This Row],[الكود]]="","",VLOOKUP(Table6[[#This Row],[الكود]],Data[],99,0)),"")</f>
        <v>5615.38</v>
      </c>
      <c r="J182" s="54">
        <f>_xlfn.IFNA(IF(Table6[[#This Row],[الكود]]="","",VLOOKUP(Table6[[#This Row],[الكود]],Data[],100,0)),"")</f>
        <v>1684.62</v>
      </c>
      <c r="K182" s="54">
        <f>IF(Table6[[#This Row],[الاجر الشامل]]=0,"",I182*11%)</f>
        <v>617.69180000000006</v>
      </c>
      <c r="L182" s="54">
        <f>IF(Table6[[#This Row],[الاجر الشامل]]=0,"",I182*18.75%)</f>
        <v>1052.88375</v>
      </c>
      <c r="M182" s="17" t="str">
        <f>VLOOKUP(Table6[[#This Row],[الكود]],Data[],63,0)</f>
        <v>موجودة</v>
      </c>
      <c r="N182" s="17" t="str">
        <f>VLOOKUP(Table6[[#This Row],[الكود]],Data[],64,0)</f>
        <v>موجودة</v>
      </c>
      <c r="O182" s="17" t="b">
        <f>VLOOKUP(Table6[[#This Row],[الكود]],Data[],65,0)</f>
        <v>1</v>
      </c>
      <c r="P182" s="17" t="b">
        <f>VLOOKUP(Table6[[#This Row],[الكود]],Data[],67,0)</f>
        <v>1</v>
      </c>
      <c r="Q182" s="17"/>
      <c r="R182" s="17" t="b">
        <f>VLOOKUP(Table6[[#This Row],[الكود]],Data[],71,0)</f>
        <v>1</v>
      </c>
      <c r="S182" s="17" t="b">
        <f>VLOOKUP(Table6[[#This Row],[الكود]],Data[],73,0)</f>
        <v>0</v>
      </c>
      <c r="T182" s="41"/>
    </row>
    <row r="183" spans="1:20" ht="16.8" x14ac:dyDescent="0.25">
      <c r="A183" s="9">
        <v>735</v>
      </c>
      <c r="B183" s="10" t="s">
        <v>228</v>
      </c>
      <c r="C183" s="10" t="str">
        <f>VLOOKUP(Table6[[#This Row],[الكود]],Data[],12,0)</f>
        <v>29502011313676</v>
      </c>
      <c r="D183" s="10" t="str">
        <f>VLOOKUP(Table6[[#This Row],[الكود]],Data[],10,0)</f>
        <v>مصرى</v>
      </c>
      <c r="E183" s="10" t="str">
        <f>VLOOKUP(Table6[[#This Row],[الكود]],Data[],25,0)</f>
        <v>مؤمن عليه</v>
      </c>
      <c r="F183" s="63">
        <f>VLOOKUP(Table6[[#This Row],[الكود]],Data[],88,0)</f>
        <v>45890</v>
      </c>
      <c r="G183" s="10"/>
      <c r="H183" s="54">
        <f>_xlfn.IFNA(IF(Table6[[#This Row],[الكود]]="","",VLOOKUP(Table6[[#This Row],[الكود]],Data[],97,0)),"")</f>
        <v>7500</v>
      </c>
      <c r="I183" s="54">
        <f>_xlfn.IFNA(IF(Table6[[#This Row],[الكود]]="","",VLOOKUP(Table6[[#This Row],[الكود]],Data[],99,0)),"")</f>
        <v>5769.23</v>
      </c>
      <c r="J183" s="54">
        <f>_xlfn.IFNA(IF(Table6[[#This Row],[الكود]]="","",VLOOKUP(Table6[[#This Row],[الكود]],Data[],100,0)),"")</f>
        <v>1730.77</v>
      </c>
      <c r="K183" s="54">
        <f>IF(Table6[[#This Row],[الاجر الشامل]]=0,"",I183*11%)</f>
        <v>634.61529999999993</v>
      </c>
      <c r="L183" s="54">
        <f>IF(Table6[[#This Row],[الاجر الشامل]]=0,"",I183*18.75%)</f>
        <v>1081.7306249999999</v>
      </c>
      <c r="M183" s="17" t="str">
        <f>VLOOKUP(Table6[[#This Row],[الكود]],Data[],63,0)</f>
        <v>موجودة</v>
      </c>
      <c r="N183" s="17" t="str">
        <f>VLOOKUP(Table6[[#This Row],[الكود]],Data[],64,0)</f>
        <v>موجودة</v>
      </c>
      <c r="O183" s="17" t="b">
        <f>VLOOKUP(Table6[[#This Row],[الكود]],Data[],65,0)</f>
        <v>1</v>
      </c>
      <c r="P183" s="17" t="b">
        <f>VLOOKUP(Table6[[#This Row],[الكود]],Data[],67,0)</f>
        <v>1</v>
      </c>
      <c r="Q183" s="17"/>
      <c r="R183" s="17" t="b">
        <f>VLOOKUP(Table6[[#This Row],[الكود]],Data[],71,0)</f>
        <v>1</v>
      </c>
      <c r="S183" s="17" t="b">
        <f>VLOOKUP(Table6[[#This Row],[الكود]],Data[],73,0)</f>
        <v>1</v>
      </c>
      <c r="T183" s="41"/>
    </row>
    <row r="184" spans="1:20" ht="16.8" x14ac:dyDescent="0.25">
      <c r="A184" s="9">
        <v>739</v>
      </c>
      <c r="B184" s="10" t="s">
        <v>229</v>
      </c>
      <c r="C184" s="10" t="str">
        <f>VLOOKUP(Table6[[#This Row],[الكود]],Data[],12,0)</f>
        <v>29809012706157</v>
      </c>
      <c r="D184" s="10" t="str">
        <f>VLOOKUP(Table6[[#This Row],[الكود]],Data[],10,0)</f>
        <v>مصرى</v>
      </c>
      <c r="E184" s="10" t="str">
        <f>VLOOKUP(Table6[[#This Row],[الكود]],Data[],25,0)</f>
        <v>مؤمن عليه</v>
      </c>
      <c r="F184" s="63">
        <f>VLOOKUP(Table6[[#This Row],[الكود]],Data[],88,0)</f>
        <v>45886</v>
      </c>
      <c r="G184" s="10"/>
      <c r="H184" s="54">
        <f>_xlfn.IFNA(IF(Table6[[#This Row],[الكود]]="","",VLOOKUP(Table6[[#This Row],[الكود]],Data[],97,0)),"")</f>
        <v>7300</v>
      </c>
      <c r="I184" s="54">
        <f>_xlfn.IFNA(IF(Table6[[#This Row],[الكود]]="","",VLOOKUP(Table6[[#This Row],[الكود]],Data[],99,0)),"")</f>
        <v>5615.38</v>
      </c>
      <c r="J184" s="54">
        <f>_xlfn.IFNA(IF(Table6[[#This Row],[الكود]]="","",VLOOKUP(Table6[[#This Row],[الكود]],Data[],100,0)),"")</f>
        <v>1684.62</v>
      </c>
      <c r="K184" s="54">
        <f>IF(Table6[[#This Row],[الاجر الشامل]]=0,"",I184*11%)</f>
        <v>617.69180000000006</v>
      </c>
      <c r="L184" s="54">
        <f>IF(Table6[[#This Row],[الاجر الشامل]]=0,"",I184*18.75%)</f>
        <v>1052.88375</v>
      </c>
      <c r="M184" s="17" t="str">
        <f>VLOOKUP(Table6[[#This Row],[الكود]],Data[],63,0)</f>
        <v>موجودة</v>
      </c>
      <c r="N184" s="17" t="str">
        <f>VLOOKUP(Table6[[#This Row],[الكود]],Data[],64,0)</f>
        <v>متوسط</v>
      </c>
      <c r="O184" s="17" t="b">
        <f>VLOOKUP(Table6[[#This Row],[الكود]],Data[],65,0)</f>
        <v>1</v>
      </c>
      <c r="P184" s="17" t="b">
        <f>VLOOKUP(Table6[[#This Row],[الكود]],Data[],67,0)</f>
        <v>1</v>
      </c>
      <c r="Q184" s="17"/>
      <c r="R184" s="17" t="b">
        <f>VLOOKUP(Table6[[#This Row],[الكود]],Data[],71,0)</f>
        <v>1</v>
      </c>
      <c r="S184" s="17" t="b">
        <f>VLOOKUP(Table6[[#This Row],[الكود]],Data[],73,0)</f>
        <v>1</v>
      </c>
      <c r="T184" s="41"/>
    </row>
    <row r="185" spans="1:20" ht="16.8" x14ac:dyDescent="0.25">
      <c r="A185" s="9">
        <v>783</v>
      </c>
      <c r="B185" s="10" t="s">
        <v>236</v>
      </c>
      <c r="C185" s="10" t="str">
        <f>VLOOKUP(Table6[[#This Row],[الكود]],Data[],12,0)</f>
        <v>28502161301851</v>
      </c>
      <c r="D185" s="10" t="str">
        <f>VLOOKUP(Table6[[#This Row],[الكود]],Data[],10,0)</f>
        <v>مصرى</v>
      </c>
      <c r="E185" s="10" t="str">
        <f>VLOOKUP(Table6[[#This Row],[الكود]],Data[],25,0)</f>
        <v>مؤمن عليه</v>
      </c>
      <c r="F185" s="63">
        <f>VLOOKUP(Table6[[#This Row],[الكود]],Data[],88,0)</f>
        <v>45890</v>
      </c>
      <c r="G185" s="10"/>
      <c r="H185" s="54">
        <f>_xlfn.IFNA(IF(Table6[[#This Row],[الكود]]="","",VLOOKUP(Table6[[#This Row],[الكود]],Data[],97,0)),"")</f>
        <v>7300</v>
      </c>
      <c r="I185" s="54">
        <f>_xlfn.IFNA(IF(Table6[[#This Row],[الكود]]="","",VLOOKUP(Table6[[#This Row],[الكود]],Data[],99,0)),"")</f>
        <v>5615.38</v>
      </c>
      <c r="J185" s="54">
        <f>_xlfn.IFNA(IF(Table6[[#This Row],[الكود]]="","",VLOOKUP(Table6[[#This Row],[الكود]],Data[],100,0)),"")</f>
        <v>1684.62</v>
      </c>
      <c r="K185" s="54">
        <f>IF(Table6[[#This Row],[الاجر الشامل]]=0,"",I185*11%)</f>
        <v>617.69180000000006</v>
      </c>
      <c r="L185" s="54">
        <f>IF(Table6[[#This Row],[الاجر الشامل]]=0,"",I185*18.75%)</f>
        <v>1052.88375</v>
      </c>
      <c r="M185" s="17" t="str">
        <f>VLOOKUP(Table6[[#This Row],[الكود]],Data[],63,0)</f>
        <v>موجودة</v>
      </c>
      <c r="N185" s="17" t="str">
        <f>VLOOKUP(Table6[[#This Row],[الكود]],Data[],64,0)</f>
        <v>مؤهل متوسط</v>
      </c>
      <c r="O185" s="17" t="b">
        <f>VLOOKUP(Table6[[#This Row],[الكود]],Data[],65,0)</f>
        <v>1</v>
      </c>
      <c r="P185" s="17" t="b">
        <f>VLOOKUP(Table6[[#This Row],[الكود]],Data[],67,0)</f>
        <v>1</v>
      </c>
      <c r="Q185" s="17"/>
      <c r="R185" s="17" t="b">
        <f>VLOOKUP(Table6[[#This Row],[الكود]],Data[],71,0)</f>
        <v>1</v>
      </c>
      <c r="S185" s="17" t="b">
        <f>VLOOKUP(Table6[[#This Row],[الكود]],Data[],73,0)</f>
        <v>1</v>
      </c>
      <c r="T185" s="41"/>
    </row>
    <row r="186" spans="1:20" ht="16.8" x14ac:dyDescent="0.25">
      <c r="A186" s="9">
        <v>790</v>
      </c>
      <c r="B186" s="10" t="s">
        <v>239</v>
      </c>
      <c r="C186" s="10" t="str">
        <f>VLOOKUP(Table6[[#This Row],[الكود]],Data[],12,0)</f>
        <v>28407231303454</v>
      </c>
      <c r="D186" s="10" t="str">
        <f>VLOOKUP(Table6[[#This Row],[الكود]],Data[],10,0)</f>
        <v>مصرى</v>
      </c>
      <c r="E186" s="10" t="str">
        <f>VLOOKUP(Table6[[#This Row],[الكود]],Data[],25,0)</f>
        <v>مؤمن عليه</v>
      </c>
      <c r="F186" s="63">
        <f>VLOOKUP(Table6[[#This Row],[الكود]],Data[],88,0)</f>
        <v>45886</v>
      </c>
      <c r="G186" s="10"/>
      <c r="H186" s="54">
        <f>_xlfn.IFNA(IF(Table6[[#This Row],[الكود]]="","",VLOOKUP(Table6[[#This Row],[الكود]],Data[],97,0)),"")</f>
        <v>7300</v>
      </c>
      <c r="I186" s="54">
        <f>_xlfn.IFNA(IF(Table6[[#This Row],[الكود]]="","",VLOOKUP(Table6[[#This Row],[الكود]],Data[],99,0)),"")</f>
        <v>5615.38</v>
      </c>
      <c r="J186" s="54">
        <f>_xlfn.IFNA(IF(Table6[[#This Row],[الكود]]="","",VLOOKUP(Table6[[#This Row],[الكود]],Data[],100,0)),"")</f>
        <v>1684.62</v>
      </c>
      <c r="K186" s="54">
        <f>IF(Table6[[#This Row],[الاجر الشامل]]=0,"",I186*11%)</f>
        <v>617.69180000000006</v>
      </c>
      <c r="L186" s="54">
        <f>IF(Table6[[#This Row],[الاجر الشامل]]=0,"",I186*18.75%)</f>
        <v>1052.88375</v>
      </c>
      <c r="M186" s="17" t="str">
        <f>VLOOKUP(Table6[[#This Row],[الكود]],Data[],63,0)</f>
        <v>موجودة</v>
      </c>
      <c r="N186" s="17" t="str">
        <f>VLOOKUP(Table6[[#This Row],[الكود]],Data[],64,0)</f>
        <v>متوسط</v>
      </c>
      <c r="O186" s="17" t="b">
        <f>VLOOKUP(Table6[[#This Row],[الكود]],Data[],65,0)</f>
        <v>1</v>
      </c>
      <c r="P186" s="17" t="b">
        <f>VLOOKUP(Table6[[#This Row],[الكود]],Data[],67,0)</f>
        <v>1</v>
      </c>
      <c r="Q186" s="17"/>
      <c r="R186" s="17" t="b">
        <f>VLOOKUP(Table6[[#This Row],[الكود]],Data[],71,0)</f>
        <v>1</v>
      </c>
      <c r="S186" s="17" t="b">
        <f>VLOOKUP(Table6[[#This Row],[الكود]],Data[],73,0)</f>
        <v>1</v>
      </c>
      <c r="T186" s="41"/>
    </row>
    <row r="187" spans="1:20" ht="16.8" x14ac:dyDescent="0.25">
      <c r="A187" s="9">
        <v>792</v>
      </c>
      <c r="B187" s="10" t="s">
        <v>240</v>
      </c>
      <c r="C187" s="10" t="str">
        <f>VLOOKUP(Table6[[#This Row],[الكود]],Data[],12,0)</f>
        <v>28907211200295</v>
      </c>
      <c r="D187" s="10" t="str">
        <f>VLOOKUP(Table6[[#This Row],[الكود]],Data[],10,0)</f>
        <v>مصرى</v>
      </c>
      <c r="E187" s="10" t="str">
        <f>VLOOKUP(Table6[[#This Row],[الكود]],Data[],25,0)</f>
        <v>مؤمن عليه</v>
      </c>
      <c r="F187" s="63">
        <f>VLOOKUP(Table6[[#This Row],[الكود]],Data[],88,0)</f>
        <v>45887</v>
      </c>
      <c r="G187" s="10"/>
      <c r="H187" s="54">
        <f>_xlfn.IFNA(IF(Table6[[#This Row],[الكود]]="","",VLOOKUP(Table6[[#This Row],[الكود]],Data[],97,0)),"")</f>
        <v>7300</v>
      </c>
      <c r="I187" s="54">
        <f>_xlfn.IFNA(IF(Table6[[#This Row],[الكود]]="","",VLOOKUP(Table6[[#This Row],[الكود]],Data[],99,0)),"")</f>
        <v>5615.38</v>
      </c>
      <c r="J187" s="54">
        <f>_xlfn.IFNA(IF(Table6[[#This Row],[الكود]]="","",VLOOKUP(Table6[[#This Row],[الكود]],Data[],100,0)),"")</f>
        <v>1684.62</v>
      </c>
      <c r="K187" s="54">
        <f>IF(Table6[[#This Row],[الاجر الشامل]]=0,"",I187*11%)</f>
        <v>617.69180000000006</v>
      </c>
      <c r="L187" s="54">
        <f>IF(Table6[[#This Row],[الاجر الشامل]]=0,"",I187*18.75%)</f>
        <v>1052.88375</v>
      </c>
      <c r="M187" s="17" t="str">
        <f>VLOOKUP(Table6[[#This Row],[الكود]],Data[],63,0)</f>
        <v>موجودة</v>
      </c>
      <c r="N187" s="17" t="str">
        <f>VLOOKUP(Table6[[#This Row],[الكود]],Data[],64,0)</f>
        <v>متوسط</v>
      </c>
      <c r="O187" s="17" t="b">
        <f>VLOOKUP(Table6[[#This Row],[الكود]],Data[],65,0)</f>
        <v>1</v>
      </c>
      <c r="P187" s="17" t="b">
        <f>VLOOKUP(Table6[[#This Row],[الكود]],Data[],67,0)</f>
        <v>1</v>
      </c>
      <c r="Q187" s="17"/>
      <c r="R187" s="17" t="b">
        <f>VLOOKUP(Table6[[#This Row],[الكود]],Data[],71,0)</f>
        <v>1</v>
      </c>
      <c r="S187" s="17" t="b">
        <f>VLOOKUP(Table6[[#This Row],[الكود]],Data[],73,0)</f>
        <v>1</v>
      </c>
      <c r="T187" s="41"/>
    </row>
    <row r="188" spans="1:20" ht="16.8" x14ac:dyDescent="0.25">
      <c r="A188" s="9">
        <v>2000</v>
      </c>
      <c r="B188" s="10" t="s">
        <v>1747</v>
      </c>
      <c r="C188" s="10" t="str">
        <f>VLOOKUP(Table6[[#This Row],[الكود]],Data[],12,0)</f>
        <v>N012373104</v>
      </c>
      <c r="D188" s="10" t="str">
        <f>VLOOKUP(Table6[[#This Row],[الكود]],Data[],10,0)</f>
        <v>سورى</v>
      </c>
      <c r="E188" s="10" t="str">
        <f>VLOOKUP(Table6[[#This Row],[الكود]],Data[],25,0)</f>
        <v>مؤمن عليه</v>
      </c>
      <c r="F188" s="63">
        <f>VLOOKUP(Table6[[#This Row],[الكود]],Data[],88,0)</f>
        <v>1</v>
      </c>
      <c r="G188" s="10"/>
      <c r="H188" s="54">
        <f>_xlfn.IFNA(IF(Table6[[#This Row],[الكود]]="","",VLOOKUP(Table6[[#This Row],[الكود]],Data[],97,0)),"")</f>
        <v>0</v>
      </c>
      <c r="I188" s="54">
        <f>_xlfn.IFNA(IF(Table6[[#This Row],[الكود]]="","",VLOOKUP(Table6[[#This Row],[الكود]],Data[],99,0)),"")</f>
        <v>0</v>
      </c>
      <c r="J188" s="54">
        <f>_xlfn.IFNA(IF(Table6[[#This Row],[الكود]]="","",VLOOKUP(Table6[[#This Row],[الكود]],Data[],100,0)),"")</f>
        <v>0</v>
      </c>
      <c r="K188" s="54" t="str">
        <f>IF(Table6[[#This Row],[الاجر الشامل]]=0,"",I188*11%)</f>
        <v/>
      </c>
      <c r="L188" s="54" t="str">
        <f>IF(Table6[[#This Row],[الاجر الشامل]]=0,"",I188*18.75%)</f>
        <v/>
      </c>
      <c r="M188" s="17" t="str">
        <f>VLOOKUP(Table6[[#This Row],[الكود]],Data[],63,0)</f>
        <v>غير موجودة</v>
      </c>
      <c r="N188" s="17" t="str">
        <f>VLOOKUP(Table6[[#This Row],[الكود]],Data[],64,0)</f>
        <v>غير موجودة</v>
      </c>
      <c r="O188" s="17" t="b">
        <f>VLOOKUP(Table6[[#This Row],[الكود]],Data[],65,0)</f>
        <v>0</v>
      </c>
      <c r="P188" s="17" t="b">
        <f>VLOOKUP(Table6[[#This Row],[الكود]],Data[],67,0)</f>
        <v>0</v>
      </c>
      <c r="Q188" s="17"/>
      <c r="R188" s="17" t="b">
        <f>VLOOKUP(Table6[[#This Row],[الكود]],Data[],71,0)</f>
        <v>0</v>
      </c>
      <c r="S188" s="17" t="b">
        <f>VLOOKUP(Table6[[#This Row],[الكود]],Data[],73,0)</f>
        <v>0</v>
      </c>
      <c r="T188" s="41"/>
    </row>
    <row r="189" spans="1:20" ht="16.8" x14ac:dyDescent="0.25">
      <c r="A189" s="9">
        <v>2001</v>
      </c>
      <c r="B189" s="10" t="s">
        <v>1753</v>
      </c>
      <c r="C189" s="10" t="str">
        <f>VLOOKUP(Table6[[#This Row],[الكود]],Data[],12,0)</f>
        <v>N014646728</v>
      </c>
      <c r="D189" s="10" t="str">
        <f>VLOOKUP(Table6[[#This Row],[الكود]],Data[],10,0)</f>
        <v>سورى</v>
      </c>
      <c r="E189" s="10" t="str">
        <f>VLOOKUP(Table6[[#This Row],[الكود]],Data[],25,0)</f>
        <v>مؤمن عليه</v>
      </c>
      <c r="F189" s="63">
        <f>VLOOKUP(Table6[[#This Row],[الكود]],Data[],88,0)</f>
        <v>1</v>
      </c>
      <c r="G189" s="10"/>
      <c r="H189" s="54">
        <f>_xlfn.IFNA(IF(Table6[[#This Row],[الكود]]="","",VLOOKUP(Table6[[#This Row],[الكود]],Data[],97,0)),"")</f>
        <v>0</v>
      </c>
      <c r="I189" s="54">
        <f>_xlfn.IFNA(IF(Table6[[#This Row],[الكود]]="","",VLOOKUP(Table6[[#This Row],[الكود]],Data[],99,0)),"")</f>
        <v>0</v>
      </c>
      <c r="J189" s="54">
        <f>_xlfn.IFNA(IF(Table6[[#This Row],[الكود]]="","",VLOOKUP(Table6[[#This Row],[الكود]],Data[],100,0)),"")</f>
        <v>0</v>
      </c>
      <c r="K189" s="54" t="str">
        <f>IF(Table6[[#This Row],[الاجر الشامل]]=0,"",I189*11%)</f>
        <v/>
      </c>
      <c r="L189" s="54" t="str">
        <f>IF(Table6[[#This Row],[الاجر الشامل]]=0,"",I189*18.75%)</f>
        <v/>
      </c>
      <c r="M189" s="17" t="str">
        <f>VLOOKUP(Table6[[#This Row],[الكود]],Data[],63,0)</f>
        <v>غير موجودة</v>
      </c>
      <c r="N189" s="17" t="str">
        <f>VLOOKUP(Table6[[#This Row],[الكود]],Data[],64,0)</f>
        <v>غير موجودة</v>
      </c>
      <c r="O189" s="17" t="b">
        <f>VLOOKUP(Table6[[#This Row],[الكود]],Data[],65,0)</f>
        <v>0</v>
      </c>
      <c r="P189" s="17" t="b">
        <f>VLOOKUP(Table6[[#This Row],[الكود]],Data[],67,0)</f>
        <v>0</v>
      </c>
      <c r="Q189" s="17"/>
      <c r="R189" s="17" t="b">
        <f>VLOOKUP(Table6[[#This Row],[الكود]],Data[],71,0)</f>
        <v>0</v>
      </c>
      <c r="S189" s="17" t="b">
        <f>VLOOKUP(Table6[[#This Row],[الكود]],Data[],73,0)</f>
        <v>0</v>
      </c>
      <c r="T189" s="41"/>
    </row>
    <row r="190" spans="1:20" ht="16.8" x14ac:dyDescent="0.25">
      <c r="A190" s="9">
        <v>2002</v>
      </c>
      <c r="B190" s="10" t="s">
        <v>1756</v>
      </c>
      <c r="C190" s="10" t="str">
        <f>VLOOKUP(Table6[[#This Row],[الكود]],Data[],12,0)</f>
        <v>N013344059</v>
      </c>
      <c r="D190" s="10" t="str">
        <f>VLOOKUP(Table6[[#This Row],[الكود]],Data[],10,0)</f>
        <v>سورى</v>
      </c>
      <c r="E190" s="10" t="str">
        <f>VLOOKUP(Table6[[#This Row],[الكود]],Data[],25,0)</f>
        <v>مؤمن عليه</v>
      </c>
      <c r="F190" s="63">
        <f>VLOOKUP(Table6[[#This Row],[الكود]],Data[],88,0)</f>
        <v>1</v>
      </c>
      <c r="G190" s="10"/>
      <c r="H190" s="54">
        <f>_xlfn.IFNA(IF(Table6[[#This Row],[الكود]]="","",VLOOKUP(Table6[[#This Row],[الكود]],Data[],97,0)),"")</f>
        <v>0</v>
      </c>
      <c r="I190" s="54">
        <f>_xlfn.IFNA(IF(Table6[[#This Row],[الكود]]="","",VLOOKUP(Table6[[#This Row],[الكود]],Data[],99,0)),"")</f>
        <v>0</v>
      </c>
      <c r="J190" s="54">
        <f>_xlfn.IFNA(IF(Table6[[#This Row],[الكود]]="","",VLOOKUP(Table6[[#This Row],[الكود]],Data[],100,0)),"")</f>
        <v>0</v>
      </c>
      <c r="K190" s="54" t="str">
        <f>IF(Table6[[#This Row],[الاجر الشامل]]=0,"",I190*11%)</f>
        <v/>
      </c>
      <c r="L190" s="54" t="str">
        <f>IF(Table6[[#This Row],[الاجر الشامل]]=0,"",I190*18.75%)</f>
        <v/>
      </c>
      <c r="M190" s="17" t="str">
        <f>VLOOKUP(Table6[[#This Row],[الكود]],Data[],63,0)</f>
        <v>غير موجودة</v>
      </c>
      <c r="N190" s="17" t="str">
        <f>VLOOKUP(Table6[[#This Row],[الكود]],Data[],64,0)</f>
        <v>غير موجودة</v>
      </c>
      <c r="O190" s="17" t="b">
        <f>VLOOKUP(Table6[[#This Row],[الكود]],Data[],65,0)</f>
        <v>0</v>
      </c>
      <c r="P190" s="17" t="b">
        <f>VLOOKUP(Table6[[#This Row],[الكود]],Data[],67,0)</f>
        <v>0</v>
      </c>
      <c r="Q190" s="17"/>
      <c r="R190" s="17" t="b">
        <f>VLOOKUP(Table6[[#This Row],[الكود]],Data[],71,0)</f>
        <v>0</v>
      </c>
      <c r="S190" s="17" t="b">
        <f>VLOOKUP(Table6[[#This Row],[الكود]],Data[],73,0)</f>
        <v>0</v>
      </c>
      <c r="T190" s="41"/>
    </row>
    <row r="191" spans="1:20" ht="16.8" x14ac:dyDescent="0.25">
      <c r="A191" s="9">
        <v>2003</v>
      </c>
      <c r="B191" s="10" t="s">
        <v>1759</v>
      </c>
      <c r="C191" s="10" t="str">
        <f>VLOOKUP(Table6[[#This Row],[الكود]],Data[],12,0)</f>
        <v/>
      </c>
      <c r="D191" s="10" t="str">
        <f>VLOOKUP(Table6[[#This Row],[الكود]],Data[],10,0)</f>
        <v>سورى</v>
      </c>
      <c r="E191" s="10" t="str">
        <f>VLOOKUP(Table6[[#This Row],[الكود]],Data[],25,0)</f>
        <v>مؤمن عليه</v>
      </c>
      <c r="F191" s="63">
        <f>VLOOKUP(Table6[[#This Row],[الكود]],Data[],88,0)</f>
        <v>1</v>
      </c>
      <c r="G191" s="10"/>
      <c r="H191" s="54">
        <f>_xlfn.IFNA(IF(Table6[[#This Row],[الكود]]="","",VLOOKUP(Table6[[#This Row],[الكود]],Data[],97,0)),"")</f>
        <v>0</v>
      </c>
      <c r="I191" s="54">
        <f>_xlfn.IFNA(IF(Table6[[#This Row],[الكود]]="","",VLOOKUP(Table6[[#This Row],[الكود]],Data[],99,0)),"")</f>
        <v>0</v>
      </c>
      <c r="J191" s="54">
        <f>_xlfn.IFNA(IF(Table6[[#This Row],[الكود]]="","",VLOOKUP(Table6[[#This Row],[الكود]],Data[],100,0)),"")</f>
        <v>0</v>
      </c>
      <c r="K191" s="54" t="str">
        <f>IF(Table6[[#This Row],[الاجر الشامل]]=0,"",I191*11%)</f>
        <v/>
      </c>
      <c r="L191" s="54" t="str">
        <f>IF(Table6[[#This Row],[الاجر الشامل]]=0,"",I191*18.75%)</f>
        <v/>
      </c>
      <c r="M191" s="17" t="str">
        <f>VLOOKUP(Table6[[#This Row],[الكود]],Data[],63,0)</f>
        <v>غير موجودة</v>
      </c>
      <c r="N191" s="17" t="str">
        <f>VLOOKUP(Table6[[#This Row],[الكود]],Data[],64,0)</f>
        <v>غير موجودة</v>
      </c>
      <c r="O191" s="17" t="b">
        <f>VLOOKUP(Table6[[#This Row],[الكود]],Data[],65,0)</f>
        <v>0</v>
      </c>
      <c r="P191" s="17" t="b">
        <f>VLOOKUP(Table6[[#This Row],[الكود]],Data[],67,0)</f>
        <v>0</v>
      </c>
      <c r="Q191" s="17"/>
      <c r="R191" s="17" t="b">
        <f>VLOOKUP(Table6[[#This Row],[الكود]],Data[],71,0)</f>
        <v>0</v>
      </c>
      <c r="S191" s="17" t="b">
        <f>VLOOKUP(Table6[[#This Row],[الكود]],Data[],73,0)</f>
        <v>0</v>
      </c>
      <c r="T191" s="41"/>
    </row>
    <row r="192" spans="1:20" ht="16.8" x14ac:dyDescent="0.25">
      <c r="A192" s="9">
        <v>2021</v>
      </c>
      <c r="B192" s="10" t="s">
        <v>269</v>
      </c>
      <c r="C192" s="10" t="str">
        <f>VLOOKUP(Table6[[#This Row],[الكود]],Data[],12,0)</f>
        <v>28107131301795</v>
      </c>
      <c r="D192" s="10" t="str">
        <f>VLOOKUP(Table6[[#This Row],[الكود]],Data[],10,0)</f>
        <v>مصرى</v>
      </c>
      <c r="E192" s="10" t="str">
        <f>VLOOKUP(Table6[[#This Row],[الكود]],Data[],25,0)</f>
        <v>مؤمن عليه</v>
      </c>
      <c r="F192" s="63">
        <f>VLOOKUP(Table6[[#This Row],[الكود]],Data[],88,0)</f>
        <v>1</v>
      </c>
      <c r="G192" s="10"/>
      <c r="H192" s="54">
        <f>_xlfn.IFNA(IF(Table6[[#This Row],[الكود]]="","",VLOOKUP(Table6[[#This Row],[الكود]],Data[],97,0)),"")</f>
        <v>7000</v>
      </c>
      <c r="I192" s="54">
        <f>_xlfn.IFNA(IF(Table6[[#This Row],[الكود]]="","",VLOOKUP(Table6[[#This Row],[الكود]],Data[],99,0)),"")</f>
        <v>5384.62</v>
      </c>
      <c r="J192" s="54">
        <f>_xlfn.IFNA(IF(Table6[[#This Row],[الكود]]="","",VLOOKUP(Table6[[#This Row],[الكود]],Data[],100,0)),"")</f>
        <v>1615.38</v>
      </c>
      <c r="K192" s="54">
        <f>IF(Table6[[#This Row],[الاجر الشامل]]=0,"",I192*11%)</f>
        <v>592.30819999999994</v>
      </c>
      <c r="L192" s="54">
        <f>IF(Table6[[#This Row],[الاجر الشامل]]=0,"",I192*18.75%)</f>
        <v>1009.61625</v>
      </c>
      <c r="M192" s="17" t="str">
        <f>VLOOKUP(Table6[[#This Row],[الكود]],Data[],63,0)</f>
        <v>غير موجودة</v>
      </c>
      <c r="N192" s="17" t="str">
        <f>VLOOKUP(Table6[[#This Row],[الكود]],Data[],64,0)</f>
        <v>غير موجودة</v>
      </c>
      <c r="O192" s="17" t="b">
        <f>VLOOKUP(Table6[[#This Row],[الكود]],Data[],65,0)</f>
        <v>0</v>
      </c>
      <c r="P192" s="17" t="b">
        <f>VLOOKUP(Table6[[#This Row],[الكود]],Data[],67,0)</f>
        <v>1</v>
      </c>
      <c r="Q192" s="17"/>
      <c r="R192" s="17" t="b">
        <f>VLOOKUP(Table6[[#This Row],[الكود]],Data[],71,0)</f>
        <v>0</v>
      </c>
      <c r="S192" s="17" t="b">
        <f>VLOOKUP(Table6[[#This Row],[الكود]],Data[],73,0)</f>
        <v>0</v>
      </c>
      <c r="T192" s="41"/>
    </row>
    <row r="193" spans="1:20" ht="16.8" x14ac:dyDescent="0.25">
      <c r="A193" s="9">
        <v>2027</v>
      </c>
      <c r="B193" s="10" t="s">
        <v>271</v>
      </c>
      <c r="C193" s="10" t="str">
        <f>VLOOKUP(Table6[[#This Row],[الكود]],Data[],12,0)</f>
        <v>27812172400279</v>
      </c>
      <c r="D193" s="10" t="str">
        <f>VLOOKUP(Table6[[#This Row],[الكود]],Data[],10,0)</f>
        <v>مصرى</v>
      </c>
      <c r="E193" s="10" t="str">
        <f>VLOOKUP(Table6[[#This Row],[الكود]],Data[],25,0)</f>
        <v>مؤمن عليه</v>
      </c>
      <c r="F193" s="63">
        <f>VLOOKUP(Table6[[#This Row],[الكود]],Data[],88,0)</f>
        <v>1</v>
      </c>
      <c r="G193" s="10"/>
      <c r="H193" s="54">
        <f>_xlfn.IFNA(IF(Table6[[#This Row],[الكود]]="","",VLOOKUP(Table6[[#This Row],[الكود]],Data[],97,0)),"")</f>
        <v>7000</v>
      </c>
      <c r="I193" s="54">
        <f>_xlfn.IFNA(IF(Table6[[#This Row],[الكود]]="","",VLOOKUP(Table6[[#This Row],[الكود]],Data[],99,0)),"")</f>
        <v>5384.62</v>
      </c>
      <c r="J193" s="54">
        <f>_xlfn.IFNA(IF(Table6[[#This Row],[الكود]]="","",VLOOKUP(Table6[[#This Row],[الكود]],Data[],100,0)),"")</f>
        <v>1615.38</v>
      </c>
      <c r="K193" s="54">
        <f>IF(Table6[[#This Row],[الاجر الشامل]]=0,"",I193*11%)</f>
        <v>592.30819999999994</v>
      </c>
      <c r="L193" s="54">
        <f>IF(Table6[[#This Row],[الاجر الشامل]]=0,"",I193*18.75%)</f>
        <v>1009.61625</v>
      </c>
      <c r="M193" s="17" t="str">
        <f>VLOOKUP(Table6[[#This Row],[الكود]],Data[],63,0)</f>
        <v>غير موجودة</v>
      </c>
      <c r="N193" s="17" t="str">
        <f>VLOOKUP(Table6[[#This Row],[الكود]],Data[],64,0)</f>
        <v>غير موجودة</v>
      </c>
      <c r="O193" s="17" t="b">
        <f>VLOOKUP(Table6[[#This Row],[الكود]],Data[],65,0)</f>
        <v>1</v>
      </c>
      <c r="P193" s="17" t="b">
        <f>VLOOKUP(Table6[[#This Row],[الكود]],Data[],67,0)</f>
        <v>1</v>
      </c>
      <c r="Q193" s="17"/>
      <c r="R193" s="17" t="b">
        <f>VLOOKUP(Table6[[#This Row],[الكود]],Data[],71,0)</f>
        <v>1</v>
      </c>
      <c r="S193" s="17" t="b">
        <f>VLOOKUP(Table6[[#This Row],[الكود]],Data[],73,0)</f>
        <v>1</v>
      </c>
      <c r="T193" s="41"/>
    </row>
    <row r="194" spans="1:20" ht="16.8" x14ac:dyDescent="0.25">
      <c r="A194" s="9">
        <v>2037</v>
      </c>
      <c r="B194" s="10" t="s">
        <v>272</v>
      </c>
      <c r="C194" s="10" t="str">
        <f>VLOOKUP(Table6[[#This Row],[الكود]],Data[],12,0)</f>
        <v>28901072405814</v>
      </c>
      <c r="D194" s="10" t="str">
        <f>VLOOKUP(Table6[[#This Row],[الكود]],Data[],10,0)</f>
        <v>مصرى</v>
      </c>
      <c r="E194" s="10" t="str">
        <f>VLOOKUP(Table6[[#This Row],[الكود]],Data[],25,0)</f>
        <v>مؤمن عليه</v>
      </c>
      <c r="F194" s="63">
        <f>VLOOKUP(Table6[[#This Row],[الكود]],Data[],88,0)</f>
        <v>1</v>
      </c>
      <c r="G194" s="10"/>
      <c r="H194" s="54">
        <f>_xlfn.IFNA(IF(Table6[[#This Row],[الكود]]="","",VLOOKUP(Table6[[#This Row],[الكود]],Data[],97,0)),"")</f>
        <v>7000</v>
      </c>
      <c r="I194" s="54">
        <f>_xlfn.IFNA(IF(Table6[[#This Row],[الكود]]="","",VLOOKUP(Table6[[#This Row],[الكود]],Data[],99,0)),"")</f>
        <v>5384.62</v>
      </c>
      <c r="J194" s="54">
        <f>_xlfn.IFNA(IF(Table6[[#This Row],[الكود]]="","",VLOOKUP(Table6[[#This Row],[الكود]],Data[],100,0)),"")</f>
        <v>1615.38</v>
      </c>
      <c r="K194" s="54">
        <f>IF(Table6[[#This Row],[الاجر الشامل]]=0,"",I194*11%)</f>
        <v>592.30819999999994</v>
      </c>
      <c r="L194" s="54">
        <f>IF(Table6[[#This Row],[الاجر الشامل]]=0,"",I194*18.75%)</f>
        <v>1009.61625</v>
      </c>
      <c r="M194" s="17" t="str">
        <f>VLOOKUP(Table6[[#This Row],[الكود]],Data[],63,0)</f>
        <v>معافى نهائي</v>
      </c>
      <c r="N194" s="17" t="str">
        <f>VLOOKUP(Table6[[#This Row],[الكود]],Data[],64,0)</f>
        <v>متوسط</v>
      </c>
      <c r="O194" s="17" t="b">
        <f>VLOOKUP(Table6[[#This Row],[الكود]],Data[],65,0)</f>
        <v>1</v>
      </c>
      <c r="P194" s="17" t="b">
        <f>VLOOKUP(Table6[[#This Row],[الكود]],Data[],67,0)</f>
        <v>1</v>
      </c>
      <c r="Q194" s="17"/>
      <c r="R194" s="17" t="b">
        <f>VLOOKUP(Table6[[#This Row],[الكود]],Data[],71,0)</f>
        <v>1</v>
      </c>
      <c r="S194" s="17" t="b">
        <f>VLOOKUP(Table6[[#This Row],[الكود]],Data[],73,0)</f>
        <v>1</v>
      </c>
      <c r="T194" s="41"/>
    </row>
    <row r="195" spans="1:20" ht="16.8" x14ac:dyDescent="0.25">
      <c r="A195" s="9">
        <v>3001</v>
      </c>
      <c r="B195" s="10" t="s">
        <v>273</v>
      </c>
      <c r="C195" s="10" t="str">
        <f>VLOOKUP(Table6[[#This Row],[الكود]],Data[],12,0)</f>
        <v>28703050100851</v>
      </c>
      <c r="D195" s="10" t="str">
        <f>VLOOKUP(Table6[[#This Row],[الكود]],Data[],10,0)</f>
        <v>مصرى</v>
      </c>
      <c r="E195" s="10" t="str">
        <f>VLOOKUP(Table6[[#This Row],[الكود]],Data[],25,0)</f>
        <v>مؤمن عليه</v>
      </c>
      <c r="F195" s="63">
        <f>VLOOKUP(Table6[[#This Row],[الكود]],Data[],88,0)</f>
        <v>1</v>
      </c>
      <c r="G195" s="10"/>
      <c r="H195" s="54">
        <f>_xlfn.IFNA(IF(Table6[[#This Row],[الكود]]="","",VLOOKUP(Table6[[#This Row],[الكود]],Data[],97,0)),"")</f>
        <v>8500</v>
      </c>
      <c r="I195" s="54">
        <f>_xlfn.IFNA(IF(Table6[[#This Row],[الكود]]="","",VLOOKUP(Table6[[#This Row],[الكود]],Data[],99,0)),"")</f>
        <v>6538.46</v>
      </c>
      <c r="J195" s="54">
        <f>_xlfn.IFNA(IF(Table6[[#This Row],[الكود]]="","",VLOOKUP(Table6[[#This Row],[الكود]],Data[],100,0)),"")</f>
        <v>1961.54</v>
      </c>
      <c r="K195" s="54">
        <f>IF(Table6[[#This Row],[الاجر الشامل]]=0,"",I195*11%)</f>
        <v>719.23059999999998</v>
      </c>
      <c r="L195" s="54">
        <f>IF(Table6[[#This Row],[الاجر الشامل]]=0,"",I195*18.75%)</f>
        <v>1225.9612500000001</v>
      </c>
      <c r="M195" s="17" t="str">
        <f>VLOOKUP(Table6[[#This Row],[الكود]],Data[],63,0)</f>
        <v>غير موجودة</v>
      </c>
      <c r="N195" s="17" t="str">
        <f>VLOOKUP(Table6[[#This Row],[الكود]],Data[],64,0)</f>
        <v>غير موجودة</v>
      </c>
      <c r="O195" s="17" t="b">
        <f>VLOOKUP(Table6[[#This Row],[الكود]],Data[],65,0)</f>
        <v>0</v>
      </c>
      <c r="P195" s="17" t="b">
        <f>VLOOKUP(Table6[[#This Row],[الكود]],Data[],67,0)</f>
        <v>1</v>
      </c>
      <c r="Q195" s="17"/>
      <c r="R195" s="17" t="b">
        <f>VLOOKUP(Table6[[#This Row],[الكود]],Data[],71,0)</f>
        <v>0</v>
      </c>
      <c r="S195" s="17" t="b">
        <f>VLOOKUP(Table6[[#This Row],[الكود]],Data[],73,0)</f>
        <v>0</v>
      </c>
      <c r="T195" s="41"/>
    </row>
    <row r="196" spans="1:20" ht="16.8" x14ac:dyDescent="0.25">
      <c r="A196" s="9">
        <v>3003</v>
      </c>
      <c r="B196" s="10" t="s">
        <v>276</v>
      </c>
      <c r="C196" s="10" t="str">
        <f>VLOOKUP(Table6[[#This Row],[الكود]],Data[],12,0)</f>
        <v>29308200103819</v>
      </c>
      <c r="D196" s="10" t="str">
        <f>VLOOKUP(Table6[[#This Row],[الكود]],Data[],10,0)</f>
        <v>مصرى</v>
      </c>
      <c r="E196" s="10" t="str">
        <f>VLOOKUP(Table6[[#This Row],[الكود]],Data[],25,0)</f>
        <v>مؤمن عليه</v>
      </c>
      <c r="F196" s="63">
        <f>VLOOKUP(Table6[[#This Row],[الكود]],Data[],88,0)</f>
        <v>1</v>
      </c>
      <c r="G196" s="10"/>
      <c r="H196" s="54">
        <f>_xlfn.IFNA(IF(Table6[[#This Row],[الكود]]="","",VLOOKUP(Table6[[#This Row],[الكود]],Data[],97,0)),"")</f>
        <v>8500</v>
      </c>
      <c r="I196" s="54">
        <f>_xlfn.IFNA(IF(Table6[[#This Row],[الكود]]="","",VLOOKUP(Table6[[#This Row],[الكود]],Data[],99,0)),"")</f>
        <v>6538.46</v>
      </c>
      <c r="J196" s="54">
        <f>_xlfn.IFNA(IF(Table6[[#This Row],[الكود]]="","",VLOOKUP(Table6[[#This Row],[الكود]],Data[],100,0)),"")</f>
        <v>1961.54</v>
      </c>
      <c r="K196" s="54">
        <f>IF(Table6[[#This Row],[الاجر الشامل]]=0,"",I196*11%)</f>
        <v>719.23059999999998</v>
      </c>
      <c r="L196" s="54">
        <f>IF(Table6[[#This Row],[الاجر الشامل]]=0,"",I196*18.75%)</f>
        <v>1225.9612500000001</v>
      </c>
      <c r="M196" s="17" t="str">
        <f>VLOOKUP(Table6[[#This Row],[الكود]],Data[],63,0)</f>
        <v>غير موجودة</v>
      </c>
      <c r="N196" s="17" t="str">
        <f>VLOOKUP(Table6[[#This Row],[الكود]],Data[],64,0)</f>
        <v>غير موجودة</v>
      </c>
      <c r="O196" s="17" t="b">
        <f>VLOOKUP(Table6[[#This Row],[الكود]],Data[],65,0)</f>
        <v>0</v>
      </c>
      <c r="P196" s="17" t="b">
        <f>VLOOKUP(Table6[[#This Row],[الكود]],Data[],67,0)</f>
        <v>1</v>
      </c>
      <c r="Q196" s="17"/>
      <c r="R196" s="17" t="b">
        <f>VLOOKUP(Table6[[#This Row],[الكود]],Data[],71,0)</f>
        <v>0</v>
      </c>
      <c r="S196" s="17" t="b">
        <f>VLOOKUP(Table6[[#This Row],[الكود]],Data[],73,0)</f>
        <v>0</v>
      </c>
      <c r="T196" s="41"/>
    </row>
    <row r="197" spans="1:20" ht="16.8" x14ac:dyDescent="0.25">
      <c r="A197" s="9">
        <v>3004</v>
      </c>
      <c r="B197" s="10" t="s">
        <v>278</v>
      </c>
      <c r="C197" s="10" t="str">
        <f>VLOOKUP(Table6[[#This Row],[الكود]],Data[],12,0)</f>
        <v>29201011323337</v>
      </c>
      <c r="D197" s="10" t="str">
        <f>VLOOKUP(Table6[[#This Row],[الكود]],Data[],10,0)</f>
        <v>مصرى</v>
      </c>
      <c r="E197" s="10" t="str">
        <f>VLOOKUP(Table6[[#This Row],[الكود]],Data[],25,0)</f>
        <v>مؤمن عليه</v>
      </c>
      <c r="F197" s="63">
        <f>VLOOKUP(Table6[[#This Row],[الكود]],Data[],88,0)</f>
        <v>1</v>
      </c>
      <c r="G197" s="10"/>
      <c r="H197" s="54">
        <f>_xlfn.IFNA(IF(Table6[[#This Row],[الكود]]="","",VLOOKUP(Table6[[#This Row],[الكود]],Data[],97,0)),"")</f>
        <v>8500</v>
      </c>
      <c r="I197" s="54">
        <f>_xlfn.IFNA(IF(Table6[[#This Row],[الكود]]="","",VLOOKUP(Table6[[#This Row],[الكود]],Data[],99,0)),"")</f>
        <v>6538.46</v>
      </c>
      <c r="J197" s="54">
        <f>_xlfn.IFNA(IF(Table6[[#This Row],[الكود]]="","",VLOOKUP(Table6[[#This Row],[الكود]],Data[],100,0)),"")</f>
        <v>1961.54</v>
      </c>
      <c r="K197" s="54">
        <f>IF(Table6[[#This Row],[الاجر الشامل]]=0,"",I197*11%)</f>
        <v>719.23059999999998</v>
      </c>
      <c r="L197" s="54">
        <f>IF(Table6[[#This Row],[الاجر الشامل]]=0,"",I197*18.75%)</f>
        <v>1225.9612500000001</v>
      </c>
      <c r="M197" s="17" t="str">
        <f>VLOOKUP(Table6[[#This Row],[الكود]],Data[],63,0)</f>
        <v>غير موجودة</v>
      </c>
      <c r="N197" s="17" t="str">
        <f>VLOOKUP(Table6[[#This Row],[الكود]],Data[],64,0)</f>
        <v>غير موجودة</v>
      </c>
      <c r="O197" s="17" t="b">
        <f>VLOOKUP(Table6[[#This Row],[الكود]],Data[],65,0)</f>
        <v>1</v>
      </c>
      <c r="P197" s="17" t="b">
        <f>VLOOKUP(Table6[[#This Row],[الكود]],Data[],67,0)</f>
        <v>1</v>
      </c>
      <c r="Q197" s="17"/>
      <c r="R197" s="17" t="b">
        <f>VLOOKUP(Table6[[#This Row],[الكود]],Data[],71,0)</f>
        <v>1</v>
      </c>
      <c r="S197" s="17" t="b">
        <f>VLOOKUP(Table6[[#This Row],[الكود]],Data[],73,0)</f>
        <v>0</v>
      </c>
      <c r="T197" s="41"/>
    </row>
    <row r="198" spans="1:20" ht="16.8" x14ac:dyDescent="0.25">
      <c r="A198" s="9">
        <v>3005</v>
      </c>
      <c r="B198" s="10" t="s">
        <v>279</v>
      </c>
      <c r="C198" s="10" t="str">
        <f>VLOOKUP(Table6[[#This Row],[الكود]],Data[],12,0)</f>
        <v>29210011315716</v>
      </c>
      <c r="D198" s="10" t="str">
        <f>VLOOKUP(Table6[[#This Row],[الكود]],Data[],10,0)</f>
        <v>مصرى</v>
      </c>
      <c r="E198" s="10" t="str">
        <f>VLOOKUP(Table6[[#This Row],[الكود]],Data[],25,0)</f>
        <v>مؤمن عليه</v>
      </c>
      <c r="F198" s="63">
        <f>VLOOKUP(Table6[[#This Row],[الكود]],Data[],88,0)</f>
        <v>1</v>
      </c>
      <c r="G198" s="10"/>
      <c r="H198" s="54">
        <f>_xlfn.IFNA(IF(Table6[[#This Row],[الكود]]="","",VLOOKUP(Table6[[#This Row],[الكود]],Data[],97,0)),"")</f>
        <v>7300</v>
      </c>
      <c r="I198" s="54">
        <f>_xlfn.IFNA(IF(Table6[[#This Row],[الكود]]="","",VLOOKUP(Table6[[#This Row],[الكود]],Data[],99,0)),"")</f>
        <v>5615.38</v>
      </c>
      <c r="J198" s="54">
        <f>_xlfn.IFNA(IF(Table6[[#This Row],[الكود]]="","",VLOOKUP(Table6[[#This Row],[الكود]],Data[],100,0)),"")</f>
        <v>1684.62</v>
      </c>
      <c r="K198" s="54">
        <f>IF(Table6[[#This Row],[الاجر الشامل]]=0,"",I198*11%)</f>
        <v>617.69180000000006</v>
      </c>
      <c r="L198" s="54">
        <f>IF(Table6[[#This Row],[الاجر الشامل]]=0,"",I198*18.75%)</f>
        <v>1052.88375</v>
      </c>
      <c r="M198" s="17" t="str">
        <f>VLOOKUP(Table6[[#This Row],[الكود]],Data[],63,0)</f>
        <v>غير موجودة</v>
      </c>
      <c r="N198" s="17" t="str">
        <f>VLOOKUP(Table6[[#This Row],[الكود]],Data[],64,0)</f>
        <v>غير موجودة</v>
      </c>
      <c r="O198" s="17" t="b">
        <f>VLOOKUP(Table6[[#This Row],[الكود]],Data[],65,0)</f>
        <v>0</v>
      </c>
      <c r="P198" s="17" t="b">
        <f>VLOOKUP(Table6[[#This Row],[الكود]],Data[],67,0)</f>
        <v>1</v>
      </c>
      <c r="Q198" s="17"/>
      <c r="R198" s="17" t="b">
        <f>VLOOKUP(Table6[[#This Row],[الكود]],Data[],71,0)</f>
        <v>0</v>
      </c>
      <c r="S198" s="17" t="b">
        <f>VLOOKUP(Table6[[#This Row],[الكود]],Data[],73,0)</f>
        <v>0</v>
      </c>
      <c r="T198" s="41"/>
    </row>
    <row r="199" spans="1:20" ht="16.8" x14ac:dyDescent="0.25">
      <c r="A199" s="9">
        <v>3006</v>
      </c>
      <c r="B199" s="10" t="s">
        <v>280</v>
      </c>
      <c r="C199" s="10" t="str">
        <f>VLOOKUP(Table6[[#This Row],[الكود]],Data[],12,0)</f>
        <v>26709081301937</v>
      </c>
      <c r="D199" s="10" t="str">
        <f>VLOOKUP(Table6[[#This Row],[الكود]],Data[],10,0)</f>
        <v>مصرى</v>
      </c>
      <c r="E199" s="10" t="str">
        <f>VLOOKUP(Table6[[#This Row],[الكود]],Data[],25,0)</f>
        <v>مؤمن عليه</v>
      </c>
      <c r="F199" s="63">
        <f>VLOOKUP(Table6[[#This Row],[الكود]],Data[],88,0)</f>
        <v>1</v>
      </c>
      <c r="G199" s="10"/>
      <c r="H199" s="54">
        <f>_xlfn.IFNA(IF(Table6[[#This Row],[الكود]]="","",VLOOKUP(Table6[[#This Row],[الكود]],Data[],97,0)),"")</f>
        <v>7300</v>
      </c>
      <c r="I199" s="54">
        <f>_xlfn.IFNA(IF(Table6[[#This Row],[الكود]]="","",VLOOKUP(Table6[[#This Row],[الكود]],Data[],99,0)),"")</f>
        <v>5615.38</v>
      </c>
      <c r="J199" s="54">
        <f>_xlfn.IFNA(IF(Table6[[#This Row],[الكود]]="","",VLOOKUP(Table6[[#This Row],[الكود]],Data[],100,0)),"")</f>
        <v>1684.62</v>
      </c>
      <c r="K199" s="54">
        <f>IF(Table6[[#This Row],[الاجر الشامل]]=0,"",I199*11%)</f>
        <v>617.69180000000006</v>
      </c>
      <c r="L199" s="54">
        <f>IF(Table6[[#This Row],[الاجر الشامل]]=0,"",I199*18.75%)</f>
        <v>1052.88375</v>
      </c>
      <c r="M199" s="17" t="str">
        <f>VLOOKUP(Table6[[#This Row],[الكود]],Data[],63,0)</f>
        <v>غير موجودة</v>
      </c>
      <c r="N199" s="17" t="str">
        <f>VLOOKUP(Table6[[#This Row],[الكود]],Data[],64,0)</f>
        <v>غير موجودة</v>
      </c>
      <c r="O199" s="17" t="b">
        <f>VLOOKUP(Table6[[#This Row],[الكود]],Data[],65,0)</f>
        <v>0</v>
      </c>
      <c r="P199" s="17" t="b">
        <f>VLOOKUP(Table6[[#This Row],[الكود]],Data[],67,0)</f>
        <v>1</v>
      </c>
      <c r="Q199" s="17"/>
      <c r="R199" s="17" t="b">
        <f>VLOOKUP(Table6[[#This Row],[الكود]],Data[],71,0)</f>
        <v>0</v>
      </c>
      <c r="S199" s="17" t="b">
        <f>VLOOKUP(Table6[[#This Row],[الكود]],Data[],73,0)</f>
        <v>0</v>
      </c>
      <c r="T199" s="41"/>
    </row>
    <row r="200" spans="1:20" ht="16.8" x14ac:dyDescent="0.25">
      <c r="A200" s="9">
        <v>3007</v>
      </c>
      <c r="B200" s="10" t="s">
        <v>281</v>
      </c>
      <c r="C200" s="10" t="str">
        <f>VLOOKUP(Table6[[#This Row],[الكود]],Data[],12,0)</f>
        <v>29412201302604</v>
      </c>
      <c r="D200" s="10" t="str">
        <f>VLOOKUP(Table6[[#This Row],[الكود]],Data[],10,0)</f>
        <v>مصرية</v>
      </c>
      <c r="E200" s="10" t="str">
        <f>VLOOKUP(Table6[[#This Row],[الكود]],Data[],25,0)</f>
        <v>مؤمن عليه</v>
      </c>
      <c r="F200" s="63">
        <f>VLOOKUP(Table6[[#This Row],[الكود]],Data[],88,0)</f>
        <v>1</v>
      </c>
      <c r="G200" s="10"/>
      <c r="H200" s="54">
        <f>_xlfn.IFNA(IF(Table6[[#This Row],[الكود]]="","",VLOOKUP(Table6[[#This Row],[الكود]],Data[],97,0)),"")</f>
        <v>7000</v>
      </c>
      <c r="I200" s="54">
        <f>_xlfn.IFNA(IF(Table6[[#This Row],[الكود]]="","",VLOOKUP(Table6[[#This Row],[الكود]],Data[],99,0)),"")</f>
        <v>5384.62</v>
      </c>
      <c r="J200" s="54">
        <f>_xlfn.IFNA(IF(Table6[[#This Row],[الكود]]="","",VLOOKUP(Table6[[#This Row],[الكود]],Data[],100,0)),"")</f>
        <v>1615.38</v>
      </c>
      <c r="K200" s="54">
        <f>IF(Table6[[#This Row],[الاجر الشامل]]=0,"",I200*11%)</f>
        <v>592.30819999999994</v>
      </c>
      <c r="L200" s="54">
        <f>IF(Table6[[#This Row],[الاجر الشامل]]=0,"",I200*18.75%)</f>
        <v>1009.61625</v>
      </c>
      <c r="M200" s="17" t="str">
        <f>VLOOKUP(Table6[[#This Row],[الكود]],Data[],63,0)</f>
        <v>غير موجودة</v>
      </c>
      <c r="N200" s="17" t="str">
        <f>VLOOKUP(Table6[[#This Row],[الكود]],Data[],64,0)</f>
        <v>غير موجود</v>
      </c>
      <c r="O200" s="17" t="b">
        <f>VLOOKUP(Table6[[#This Row],[الكود]],Data[],65,0)</f>
        <v>1</v>
      </c>
      <c r="P200" s="17" t="b">
        <f>VLOOKUP(Table6[[#This Row],[الكود]],Data[],67,0)</f>
        <v>1</v>
      </c>
      <c r="Q200" s="17"/>
      <c r="R200" s="17" t="b">
        <f>VLOOKUP(Table6[[#This Row],[الكود]],Data[],71,0)</f>
        <v>1</v>
      </c>
      <c r="S200" s="17" t="b">
        <f>VLOOKUP(Table6[[#This Row],[الكود]],Data[],73,0)</f>
        <v>0</v>
      </c>
      <c r="T200" s="41"/>
    </row>
    <row r="201" spans="1:20" ht="16.8" x14ac:dyDescent="0.25">
      <c r="A201" s="9">
        <v>3008</v>
      </c>
      <c r="B201" s="10" t="s">
        <v>282</v>
      </c>
      <c r="C201" s="10" t="str">
        <f>VLOOKUP(Table6[[#This Row],[الكود]],Data[],12,0)</f>
        <v>27503191302161</v>
      </c>
      <c r="D201" s="10" t="str">
        <f>VLOOKUP(Table6[[#This Row],[الكود]],Data[],10,0)</f>
        <v>مصرية</v>
      </c>
      <c r="E201" s="10" t="str">
        <f>VLOOKUP(Table6[[#This Row],[الكود]],Data[],25,0)</f>
        <v>مؤمن عليه</v>
      </c>
      <c r="F201" s="63">
        <f>VLOOKUP(Table6[[#This Row],[الكود]],Data[],88,0)</f>
        <v>1</v>
      </c>
      <c r="G201" s="10"/>
      <c r="H201" s="54">
        <f>_xlfn.IFNA(IF(Table6[[#This Row],[الكود]]="","",VLOOKUP(Table6[[#This Row],[الكود]],Data[],97,0)),"")</f>
        <v>7000</v>
      </c>
      <c r="I201" s="54">
        <f>_xlfn.IFNA(IF(Table6[[#This Row],[الكود]]="","",VLOOKUP(Table6[[#This Row],[الكود]],Data[],99,0)),"")</f>
        <v>5384.62</v>
      </c>
      <c r="J201" s="54">
        <f>_xlfn.IFNA(IF(Table6[[#This Row],[الكود]]="","",VLOOKUP(Table6[[#This Row],[الكود]],Data[],100,0)),"")</f>
        <v>1615.38</v>
      </c>
      <c r="K201" s="54">
        <f>IF(Table6[[#This Row],[الاجر الشامل]]=0,"",I201*11%)</f>
        <v>592.30819999999994</v>
      </c>
      <c r="L201" s="54">
        <f>IF(Table6[[#This Row],[الاجر الشامل]]=0,"",I201*18.75%)</f>
        <v>1009.61625</v>
      </c>
      <c r="M201" s="17" t="str">
        <f>VLOOKUP(Table6[[#This Row],[الكود]],Data[],63,0)</f>
        <v>غير موجودة</v>
      </c>
      <c r="N201" s="17" t="str">
        <f>VLOOKUP(Table6[[#This Row],[الكود]],Data[],64,0)</f>
        <v>غير موجودة</v>
      </c>
      <c r="O201" s="17" t="b">
        <f>VLOOKUP(Table6[[#This Row],[الكود]],Data[],65,0)</f>
        <v>1</v>
      </c>
      <c r="P201" s="17" t="b">
        <f>VLOOKUP(Table6[[#This Row],[الكود]],Data[],67,0)</f>
        <v>1</v>
      </c>
      <c r="Q201" s="17"/>
      <c r="R201" s="17" t="b">
        <f>VLOOKUP(Table6[[#This Row],[الكود]],Data[],71,0)</f>
        <v>1</v>
      </c>
      <c r="S201" s="17" t="b">
        <f>VLOOKUP(Table6[[#This Row],[الكود]],Data[],73,0)</f>
        <v>0</v>
      </c>
      <c r="T201" s="41"/>
    </row>
    <row r="202" spans="1:20" ht="16.8" x14ac:dyDescent="0.25">
      <c r="A202" s="9">
        <v>3009</v>
      </c>
      <c r="B202" s="10" t="s">
        <v>283</v>
      </c>
      <c r="C202" s="10" t="str">
        <f>VLOOKUP(Table6[[#This Row],[الكود]],Data[],12,0)</f>
        <v>28804231300098</v>
      </c>
      <c r="D202" s="10" t="str">
        <f>VLOOKUP(Table6[[#This Row],[الكود]],Data[],10,0)</f>
        <v>مصرى</v>
      </c>
      <c r="E202" s="10" t="str">
        <f>VLOOKUP(Table6[[#This Row],[الكود]],Data[],25,0)</f>
        <v>مؤمن عليه</v>
      </c>
      <c r="F202" s="63">
        <f>VLOOKUP(Table6[[#This Row],[الكود]],Data[],88,0)</f>
        <v>1</v>
      </c>
      <c r="G202" s="10"/>
      <c r="H202" s="54">
        <f>_xlfn.IFNA(IF(Table6[[#This Row],[الكود]]="","",VLOOKUP(Table6[[#This Row],[الكود]],Data[],97,0)),"")</f>
        <v>8500</v>
      </c>
      <c r="I202" s="54">
        <f>_xlfn.IFNA(IF(Table6[[#This Row],[الكود]]="","",VLOOKUP(Table6[[#This Row],[الكود]],Data[],99,0)),"")</f>
        <v>6538.46</v>
      </c>
      <c r="J202" s="54">
        <f>_xlfn.IFNA(IF(Table6[[#This Row],[الكود]]="","",VLOOKUP(Table6[[#This Row],[الكود]],Data[],100,0)),"")</f>
        <v>1961.54</v>
      </c>
      <c r="K202" s="54">
        <f>IF(Table6[[#This Row],[الاجر الشامل]]=0,"",I202*11%)</f>
        <v>719.23059999999998</v>
      </c>
      <c r="L202" s="54">
        <f>IF(Table6[[#This Row],[الاجر الشامل]]=0,"",I202*18.75%)</f>
        <v>1225.9612500000001</v>
      </c>
      <c r="M202" s="17" t="str">
        <f>VLOOKUP(Table6[[#This Row],[الكود]],Data[],63,0)</f>
        <v>غير موجودة</v>
      </c>
      <c r="N202" s="17" t="str">
        <f>VLOOKUP(Table6[[#This Row],[الكود]],Data[],64,0)</f>
        <v>عالى</v>
      </c>
      <c r="O202" s="17" t="b">
        <f>VLOOKUP(Table6[[#This Row],[الكود]],Data[],65,0)</f>
        <v>0</v>
      </c>
      <c r="P202" s="17" t="b">
        <f>VLOOKUP(Table6[[#This Row],[الكود]],Data[],67,0)</f>
        <v>1</v>
      </c>
      <c r="Q202" s="17"/>
      <c r="R202" s="17" t="b">
        <f>VLOOKUP(Table6[[#This Row],[الكود]],Data[],71,0)</f>
        <v>0</v>
      </c>
      <c r="S202" s="17" t="b">
        <f>VLOOKUP(Table6[[#This Row],[الكود]],Data[],73,0)</f>
        <v>1</v>
      </c>
      <c r="T202" s="41"/>
    </row>
    <row r="203" spans="1:20" ht="16.8" x14ac:dyDescent="0.25">
      <c r="A203" s="9">
        <v>3012</v>
      </c>
      <c r="B203" s="10" t="s">
        <v>286</v>
      </c>
      <c r="C203" s="10" t="str">
        <f>VLOOKUP(Table6[[#This Row],[الكود]],Data[],12,0)</f>
        <v>28712011305658</v>
      </c>
      <c r="D203" s="10" t="str">
        <f>VLOOKUP(Table6[[#This Row],[الكود]],Data[],10,0)</f>
        <v>مصرى</v>
      </c>
      <c r="E203" s="10" t="str">
        <f>VLOOKUP(Table6[[#This Row],[الكود]],Data[],25,0)</f>
        <v>مؤمن عليه</v>
      </c>
      <c r="F203" s="63">
        <f>VLOOKUP(Table6[[#This Row],[الكود]],Data[],88,0)</f>
        <v>1</v>
      </c>
      <c r="G203" s="10"/>
      <c r="H203" s="54">
        <f>_xlfn.IFNA(IF(Table6[[#This Row],[الكود]]="","",VLOOKUP(Table6[[#This Row],[الكود]],Data[],97,0)),"")</f>
        <v>8500</v>
      </c>
      <c r="I203" s="54">
        <f>_xlfn.IFNA(IF(Table6[[#This Row],[الكود]]="","",VLOOKUP(Table6[[#This Row],[الكود]],Data[],99,0)),"")</f>
        <v>6538.46</v>
      </c>
      <c r="J203" s="54">
        <f>_xlfn.IFNA(IF(Table6[[#This Row],[الكود]]="","",VLOOKUP(Table6[[#This Row],[الكود]],Data[],100,0)),"")</f>
        <v>1961.54</v>
      </c>
      <c r="K203" s="54">
        <f>IF(Table6[[#This Row],[الاجر الشامل]]=0,"",I203*11%)</f>
        <v>719.23059999999998</v>
      </c>
      <c r="L203" s="54">
        <f>IF(Table6[[#This Row],[الاجر الشامل]]=0,"",I203*18.75%)</f>
        <v>1225.9612500000001</v>
      </c>
      <c r="M203" s="17" t="str">
        <f>VLOOKUP(Table6[[#This Row],[الكود]],Data[],63,0)</f>
        <v>غير موجودة</v>
      </c>
      <c r="N203" s="17" t="str">
        <f>VLOOKUP(Table6[[#This Row],[الكود]],Data[],64,0)</f>
        <v>غير موجودة</v>
      </c>
      <c r="O203" s="17" t="b">
        <f>VLOOKUP(Table6[[#This Row],[الكود]],Data[],65,0)</f>
        <v>0</v>
      </c>
      <c r="P203" s="17" t="b">
        <f>VLOOKUP(Table6[[#This Row],[الكود]],Data[],67,0)</f>
        <v>0</v>
      </c>
      <c r="Q203" s="17"/>
      <c r="R203" s="17" t="b">
        <f>VLOOKUP(Table6[[#This Row],[الكود]],Data[],71,0)</f>
        <v>0</v>
      </c>
      <c r="S203" s="17" t="b">
        <f>VLOOKUP(Table6[[#This Row],[الكود]],Data[],73,0)</f>
        <v>0</v>
      </c>
      <c r="T203" s="41"/>
    </row>
    <row r="204" spans="1:20" ht="16.8" x14ac:dyDescent="0.25">
      <c r="A204" s="9">
        <v>3017</v>
      </c>
      <c r="B204" s="10" t="s">
        <v>289</v>
      </c>
      <c r="C204" s="10" t="str">
        <f>VLOOKUP(Table6[[#This Row],[الكود]],Data[],12,0)</f>
        <v>29408141301584</v>
      </c>
      <c r="D204" s="10" t="str">
        <f>VLOOKUP(Table6[[#This Row],[الكود]],Data[],10,0)</f>
        <v>مصرية</v>
      </c>
      <c r="E204" s="10" t="str">
        <f>VLOOKUP(Table6[[#This Row],[الكود]],Data[],25,0)</f>
        <v>مؤمن عليه</v>
      </c>
      <c r="F204" s="63">
        <f>VLOOKUP(Table6[[#This Row],[الكود]],Data[],88,0)</f>
        <v>1</v>
      </c>
      <c r="G204" s="10"/>
      <c r="H204" s="54">
        <f>_xlfn.IFNA(IF(Table6[[#This Row],[الكود]]="","",VLOOKUP(Table6[[#This Row],[الكود]],Data[],97,0)),"")</f>
        <v>7500</v>
      </c>
      <c r="I204" s="54">
        <f>_xlfn.IFNA(IF(Table6[[#This Row],[الكود]]="","",VLOOKUP(Table6[[#This Row],[الكود]],Data[],99,0)),"")</f>
        <v>5769.23</v>
      </c>
      <c r="J204" s="54">
        <f>_xlfn.IFNA(IF(Table6[[#This Row],[الكود]]="","",VLOOKUP(Table6[[#This Row],[الكود]],Data[],100,0)),"")</f>
        <v>1730.77</v>
      </c>
      <c r="K204" s="54">
        <f>IF(Table6[[#This Row],[الاجر الشامل]]=0,"",I204*11%)</f>
        <v>634.61529999999993</v>
      </c>
      <c r="L204" s="54">
        <f>IF(Table6[[#This Row],[الاجر الشامل]]=0,"",I204*18.75%)</f>
        <v>1081.7306249999999</v>
      </c>
      <c r="M204" s="17" t="str">
        <f>VLOOKUP(Table6[[#This Row],[الكود]],Data[],63,0)</f>
        <v>غير موجودة</v>
      </c>
      <c r="N204" s="17" t="str">
        <f>VLOOKUP(Table6[[#This Row],[الكود]],Data[],64,0)</f>
        <v>موجودة</v>
      </c>
      <c r="O204" s="17" t="b">
        <f>VLOOKUP(Table6[[#This Row],[الكود]],Data[],65,0)</f>
        <v>1</v>
      </c>
      <c r="P204" s="17" t="b">
        <f>VLOOKUP(Table6[[#This Row],[الكود]],Data[],67,0)</f>
        <v>1</v>
      </c>
      <c r="Q204" s="17"/>
      <c r="R204" s="17" t="b">
        <f>VLOOKUP(Table6[[#This Row],[الكود]],Data[],71,0)</f>
        <v>1</v>
      </c>
      <c r="S204" s="17" t="b">
        <f>VLOOKUP(Table6[[#This Row],[الكود]],Data[],73,0)</f>
        <v>1</v>
      </c>
      <c r="T204" s="41"/>
    </row>
    <row r="205" spans="1:20" ht="16.8" x14ac:dyDescent="0.25">
      <c r="A205" s="9">
        <v>3020</v>
      </c>
      <c r="B205" s="10" t="s">
        <v>291</v>
      </c>
      <c r="C205" s="10" t="str">
        <f>VLOOKUP(Table6[[#This Row],[الكود]],Data[],12,0)</f>
        <v>29811271300597</v>
      </c>
      <c r="D205" s="10" t="str">
        <f>VLOOKUP(Table6[[#This Row],[الكود]],Data[],10,0)</f>
        <v>مصرى</v>
      </c>
      <c r="E205" s="10" t="str">
        <f>VLOOKUP(Table6[[#This Row],[الكود]],Data[],25,0)</f>
        <v>مؤمن عليه</v>
      </c>
      <c r="F205" s="63">
        <f>VLOOKUP(Table6[[#This Row],[الكود]],Data[],88,0)</f>
        <v>1</v>
      </c>
      <c r="G205" s="10"/>
      <c r="H205" s="54">
        <f>_xlfn.IFNA(IF(Table6[[#This Row],[الكود]]="","",VLOOKUP(Table6[[#This Row],[الكود]],Data[],97,0)),"")</f>
        <v>8500</v>
      </c>
      <c r="I205" s="54">
        <f>_xlfn.IFNA(IF(Table6[[#This Row],[الكود]]="","",VLOOKUP(Table6[[#This Row],[الكود]],Data[],99,0)),"")</f>
        <v>6538.46</v>
      </c>
      <c r="J205" s="54">
        <f>_xlfn.IFNA(IF(Table6[[#This Row],[الكود]]="","",VLOOKUP(Table6[[#This Row],[الكود]],Data[],100,0)),"")</f>
        <v>1961.54</v>
      </c>
      <c r="K205" s="54">
        <f>IF(Table6[[#This Row],[الاجر الشامل]]=0,"",I205*11%)</f>
        <v>719.23059999999998</v>
      </c>
      <c r="L205" s="54">
        <f>IF(Table6[[#This Row],[الاجر الشامل]]=0,"",I205*18.75%)</f>
        <v>1225.9612500000001</v>
      </c>
      <c r="M205" s="17" t="str">
        <f>VLOOKUP(Table6[[#This Row],[الكود]],Data[],63,0)</f>
        <v>معافى نهائي</v>
      </c>
      <c r="N205" s="17" t="str">
        <f>VLOOKUP(Table6[[#This Row],[الكود]],Data[],64,0)</f>
        <v>عالى</v>
      </c>
      <c r="O205" s="17" t="b">
        <f>VLOOKUP(Table6[[#This Row],[الكود]],Data[],65,0)</f>
        <v>1</v>
      </c>
      <c r="P205" s="17" t="b">
        <f>VLOOKUP(Table6[[#This Row],[الكود]],Data[],67,0)</f>
        <v>1</v>
      </c>
      <c r="Q205" s="17"/>
      <c r="R205" s="17" t="b">
        <f>VLOOKUP(Table6[[#This Row],[الكود]],Data[],71,0)</f>
        <v>1</v>
      </c>
      <c r="S205" s="17" t="b">
        <f>VLOOKUP(Table6[[#This Row],[الكود]],Data[],73,0)</f>
        <v>1</v>
      </c>
      <c r="T205" s="41"/>
    </row>
    <row r="206" spans="1:20" ht="16.8" x14ac:dyDescent="0.25">
      <c r="A206" s="9">
        <v>3021</v>
      </c>
      <c r="B206" s="10" t="s">
        <v>292</v>
      </c>
      <c r="C206" s="10" t="str">
        <f>VLOOKUP(Table6[[#This Row],[الكود]],Data[],12,0)</f>
        <v>29608271300392</v>
      </c>
      <c r="D206" s="10" t="str">
        <f>VLOOKUP(Table6[[#This Row],[الكود]],Data[],10,0)</f>
        <v>مصرى</v>
      </c>
      <c r="E206" s="10" t="str">
        <f>VLOOKUP(Table6[[#This Row],[الكود]],Data[],25,0)</f>
        <v>مؤمن عليه</v>
      </c>
      <c r="F206" s="63">
        <f>VLOOKUP(Table6[[#This Row],[الكود]],Data[],88,0)</f>
        <v>1</v>
      </c>
      <c r="G206" s="10"/>
      <c r="H206" s="54">
        <f>_xlfn.IFNA(IF(Table6[[#This Row],[الكود]]="","",VLOOKUP(Table6[[#This Row],[الكود]],Data[],97,0)),"")</f>
        <v>8500</v>
      </c>
      <c r="I206" s="54">
        <f>_xlfn.IFNA(IF(Table6[[#This Row],[الكود]]="","",VLOOKUP(Table6[[#This Row],[الكود]],Data[],99,0)),"")</f>
        <v>6538.46</v>
      </c>
      <c r="J206" s="54">
        <f>_xlfn.IFNA(IF(Table6[[#This Row],[الكود]]="","",VLOOKUP(Table6[[#This Row],[الكود]],Data[],100,0)),"")</f>
        <v>1961.54</v>
      </c>
      <c r="K206" s="54">
        <f>IF(Table6[[#This Row],[الاجر الشامل]]=0,"",I206*11%)</f>
        <v>719.23059999999998</v>
      </c>
      <c r="L206" s="54">
        <f>IF(Table6[[#This Row],[الاجر الشامل]]=0,"",I206*18.75%)</f>
        <v>1225.9612500000001</v>
      </c>
      <c r="M206" s="17" t="str">
        <f>VLOOKUP(Table6[[#This Row],[الكود]],Data[],63,0)</f>
        <v>ادى الخدمة</v>
      </c>
      <c r="N206" s="17" t="str">
        <f>VLOOKUP(Table6[[#This Row],[الكود]],Data[],64,0)</f>
        <v>عالى</v>
      </c>
      <c r="O206" s="17" t="b">
        <f>VLOOKUP(Table6[[#This Row],[الكود]],Data[],65,0)</f>
        <v>1</v>
      </c>
      <c r="P206" s="17" t="b">
        <f>VLOOKUP(Table6[[#This Row],[الكود]],Data[],67,0)</f>
        <v>1</v>
      </c>
      <c r="Q206" s="17"/>
      <c r="R206" s="17" t="b">
        <f>VLOOKUP(Table6[[#This Row],[الكود]],Data[],71,0)</f>
        <v>1</v>
      </c>
      <c r="S206" s="17" t="b">
        <f>VLOOKUP(Table6[[#This Row],[الكود]],Data[],73,0)</f>
        <v>1</v>
      </c>
      <c r="T206" s="41"/>
    </row>
    <row r="207" spans="1:20" ht="16.8" x14ac:dyDescent="0.25">
      <c r="A207" s="9">
        <v>3022</v>
      </c>
      <c r="B207" s="10" t="s">
        <v>295</v>
      </c>
      <c r="C207" s="10" t="str">
        <f>VLOOKUP(Table6[[#This Row],[الكود]],Data[],12,0)</f>
        <v>29602131301111</v>
      </c>
      <c r="D207" s="10" t="str">
        <f>VLOOKUP(Table6[[#This Row],[الكود]],Data[],10,0)</f>
        <v>مصرى</v>
      </c>
      <c r="E207" s="10" t="str">
        <f>VLOOKUP(Table6[[#This Row],[الكود]],Data[],25,0)</f>
        <v>مؤمن عليه</v>
      </c>
      <c r="F207" s="63">
        <f>VLOOKUP(Table6[[#This Row],[الكود]],Data[],88,0)</f>
        <v>1</v>
      </c>
      <c r="G207" s="10"/>
      <c r="H207" s="54">
        <f>_xlfn.IFNA(IF(Table6[[#This Row],[الكود]]="","",VLOOKUP(Table6[[#This Row],[الكود]],Data[],97,0)),"")</f>
        <v>8500</v>
      </c>
      <c r="I207" s="54">
        <f>_xlfn.IFNA(IF(Table6[[#This Row],[الكود]]="","",VLOOKUP(Table6[[#This Row],[الكود]],Data[],99,0)),"")</f>
        <v>6538.46</v>
      </c>
      <c r="J207" s="54">
        <f>_xlfn.IFNA(IF(Table6[[#This Row],[الكود]]="","",VLOOKUP(Table6[[#This Row],[الكود]],Data[],100,0)),"")</f>
        <v>1961.54</v>
      </c>
      <c r="K207" s="54">
        <f>IF(Table6[[#This Row],[الاجر الشامل]]=0,"",I207*11%)</f>
        <v>719.23059999999998</v>
      </c>
      <c r="L207" s="54">
        <f>IF(Table6[[#This Row],[الاجر الشامل]]=0,"",I207*18.75%)</f>
        <v>1225.9612500000001</v>
      </c>
      <c r="M207" s="17" t="str">
        <f>VLOOKUP(Table6[[#This Row],[الكود]],Data[],63,0)</f>
        <v>ادى الخدمة</v>
      </c>
      <c r="N207" s="17" t="str">
        <f>VLOOKUP(Table6[[#This Row],[الكود]],Data[],64,0)</f>
        <v>عالى</v>
      </c>
      <c r="O207" s="17" t="b">
        <f>VLOOKUP(Table6[[#This Row],[الكود]],Data[],65,0)</f>
        <v>1</v>
      </c>
      <c r="P207" s="17" t="b">
        <f>VLOOKUP(Table6[[#This Row],[الكود]],Data[],67,0)</f>
        <v>1</v>
      </c>
      <c r="Q207" s="17"/>
      <c r="R207" s="17" t="b">
        <f>VLOOKUP(Table6[[#This Row],[الكود]],Data[],71,0)</f>
        <v>1</v>
      </c>
      <c r="S207" s="17" t="b">
        <f>VLOOKUP(Table6[[#This Row],[الكود]],Data[],73,0)</f>
        <v>1</v>
      </c>
      <c r="T207" s="41"/>
    </row>
    <row r="208" spans="1:20" ht="17.399999999999999" thickBot="1" x14ac:dyDescent="0.3">
      <c r="A208" s="14" t="s">
        <v>299</v>
      </c>
      <c r="B208" s="13"/>
      <c r="C208" s="13"/>
      <c r="D208" s="13"/>
      <c r="E208" s="13"/>
      <c r="F208" s="64"/>
      <c r="G208" s="13"/>
      <c r="H208" s="55"/>
      <c r="I208" s="55">
        <f>SUBTOTAL(109,Table6[الاجر الاساسي])</f>
        <v>1128999.9399999992</v>
      </c>
      <c r="J208" s="55"/>
      <c r="K208" s="55">
        <f>SUBTOTAL(109,Table6[ما يتحمله العامل])</f>
        <v>124189.9933999999</v>
      </c>
      <c r="L208" s="13">
        <f>SUBTOTAL(109,Table6[[ما تتحمله الشركة ]])</f>
        <v>211687.48874999987</v>
      </c>
      <c r="M208" s="42"/>
      <c r="N208" s="42"/>
      <c r="O208" s="42"/>
      <c r="P208" s="42"/>
      <c r="Q208" s="42"/>
      <c r="R208" s="42"/>
      <c r="S208" s="42"/>
      <c r="T208" s="60">
        <f>SUBTOTAL(103,Table6[شهادة قياس مستوى المهارة])</f>
        <v>0</v>
      </c>
    </row>
    <row r="209" spans="10:14" ht="19.8" thickTop="1" thickBot="1" x14ac:dyDescent="0.55000000000000004">
      <c r="J209" s="67" t="s">
        <v>1936</v>
      </c>
      <c r="K209" s="68"/>
      <c r="M209" s="67" t="s">
        <v>1937</v>
      </c>
      <c r="N209" s="68"/>
    </row>
    <row r="210" spans="10:14" ht="51.6" thickTop="1" thickBot="1" x14ac:dyDescent="0.3">
      <c r="J210" s="61" t="s">
        <v>1939</v>
      </c>
      <c r="K210" s="53">
        <f>SUM(Table6[[#Totals],[ما يتحمله العامل]],Table6[[#Totals],[ما تتحمله الشركة ]])</f>
        <v>335877.48214999976</v>
      </c>
      <c r="M210" s="61" t="s">
        <v>2336</v>
      </c>
      <c r="N210" s="53">
        <f>Table6[[#Totals],[ما تتحمله الشركة ]]</f>
        <v>211687.48874999987</v>
      </c>
    </row>
    <row r="211" spans="10:14" ht="18" thickTop="1" thickBot="1" x14ac:dyDescent="0.3">
      <c r="J211" s="59"/>
      <c r="K211" s="51"/>
      <c r="M211" s="51"/>
      <c r="N211" s="51"/>
    </row>
    <row r="212" spans="10:14" ht="68.400000000000006" thickTop="1" thickBot="1" x14ac:dyDescent="0.3">
      <c r="J212" s="61" t="s">
        <v>1940</v>
      </c>
      <c r="K212" s="53">
        <v>211017</v>
      </c>
      <c r="M212" s="61" t="s">
        <v>1940</v>
      </c>
      <c r="N212" s="53">
        <v>211017</v>
      </c>
    </row>
    <row r="213" spans="10:14" ht="18" thickTop="1" thickBot="1" x14ac:dyDescent="0.3">
      <c r="J213" s="59"/>
      <c r="K213" s="51"/>
      <c r="M213" s="51"/>
      <c r="N213" s="51"/>
    </row>
    <row r="214" spans="10:14" ht="18" thickTop="1" thickBot="1" x14ac:dyDescent="0.3">
      <c r="J214" s="58" t="s">
        <v>1935</v>
      </c>
      <c r="K214" s="53">
        <f>K210-K212</f>
        <v>124860.48214999976</v>
      </c>
      <c r="M214" s="52" t="s">
        <v>1935</v>
      </c>
      <c r="N214" s="53">
        <f>N210-N212</f>
        <v>670.48874999987311</v>
      </c>
    </row>
    <row r="215" spans="10:14" ht="14.4" thickTop="1" x14ac:dyDescent="0.25"/>
  </sheetData>
  <mergeCells count="2">
    <mergeCell ref="J209:K209"/>
    <mergeCell ref="M209:N209"/>
  </mergeCells>
  <conditionalFormatting sqref="E1:E1048576">
    <cfRule type="containsText" dxfId="2" priority="3" stopIfTrue="1" operator="containsText" text="غير مؤمن">
      <formula>NOT(ISERROR(SEARCH("غير مؤمن",E1)))</formula>
    </cfRule>
  </conditionalFormatting>
  <conditionalFormatting sqref="M1:N1048576">
    <cfRule type="containsText" dxfId="1" priority="2" stopIfTrue="1" operator="containsText" text="غير موجودة">
      <formula>NOT(ISERROR(SEARCH("غير موجودة",M1)))</formula>
    </cfRule>
  </conditionalFormatting>
  <conditionalFormatting sqref="O1:P1048576 R1:S1048576">
    <cfRule type="containsText" dxfId="0" priority="1" stopIfTrue="1" operator="containsText" text="False">
      <formula>NOT(ISERROR(SEARCH("False",O1)))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8077-D868-4510-97F6-CEBD31E7FA25}">
  <sheetPr codeName="Sheet4"/>
  <dimension ref="A1:H119"/>
  <sheetViews>
    <sheetView rightToLeft="1" workbookViewId="0">
      <selection activeCell="C14" sqref="A14:C16"/>
    </sheetView>
  </sheetViews>
  <sheetFormatPr defaultRowHeight="13.8" x14ac:dyDescent="0.25"/>
  <cols>
    <col min="1" max="1" width="9" bestFit="1" customWidth="1"/>
    <col min="2" max="2" width="22.8984375" customWidth="1"/>
    <col min="3" max="3" width="21" customWidth="1"/>
    <col min="4" max="4" width="29.3984375" customWidth="1"/>
    <col min="5" max="5" width="18.09765625" customWidth="1"/>
    <col min="6" max="6" width="17.3984375" customWidth="1"/>
    <col min="7" max="7" width="21.296875" customWidth="1"/>
    <col min="8" max="8" width="25.296875" customWidth="1"/>
  </cols>
  <sheetData>
    <row r="1" spans="1:8" ht="16.8" x14ac:dyDescent="0.25">
      <c r="A1" s="6" t="s">
        <v>0</v>
      </c>
      <c r="B1" s="7" t="s">
        <v>300</v>
      </c>
      <c r="C1" s="7" t="s">
        <v>301</v>
      </c>
      <c r="D1" s="7" t="s">
        <v>302</v>
      </c>
      <c r="E1" s="7" t="s">
        <v>303</v>
      </c>
      <c r="F1" s="7" t="s">
        <v>304</v>
      </c>
      <c r="G1" s="7" t="s">
        <v>305</v>
      </c>
      <c r="H1" s="8" t="s">
        <v>306</v>
      </c>
    </row>
    <row r="2" spans="1:8" ht="16.8" x14ac:dyDescent="0.25">
      <c r="A2" s="9"/>
      <c r="B2" s="10"/>
      <c r="C2" s="10"/>
      <c r="D2" s="10"/>
      <c r="E2" s="10"/>
      <c r="F2" s="10" t="str">
        <f>IF(Table2[[#This Row],[الكود]]="","",VLOOKUP(Table2[[#This Row],[الكود]],Data[],2,0))</f>
        <v/>
      </c>
      <c r="G2" s="10" t="str">
        <f>IF(Table2[[#This Row],[مبلغ التأمين]]="","",Table2[[#This Row],[مبلغ التأمين]]*11%)</f>
        <v/>
      </c>
      <c r="H2" s="11" t="str">
        <f>IF(Table2[[#This Row],[مبلغ التأمين]]="","",Table2[[#This Row],[مبلغ التأمين]]*18.75%)</f>
        <v/>
      </c>
    </row>
    <row r="3" spans="1:8" ht="16.8" x14ac:dyDescent="0.25">
      <c r="A3" s="9"/>
      <c r="B3" s="10"/>
      <c r="C3" s="10"/>
      <c r="D3" s="10"/>
      <c r="E3" s="10"/>
      <c r="F3" s="10" t="str">
        <f>IF(Table2[[#This Row],[الكود]]="","",VLOOKUP(Table2[[#This Row],[الكود]],Data[],2,0))</f>
        <v/>
      </c>
      <c r="G3" s="10" t="str">
        <f>IF(Table2[[#This Row],[مبلغ التأمين]]="","",Table2[[#This Row],[مبلغ التأمين]]*11%)</f>
        <v/>
      </c>
      <c r="H3" s="11" t="str">
        <f>IF(Table2[[#This Row],[مبلغ التأمين]]="","",Table2[[#This Row],[مبلغ التأمين]]*18.75%)</f>
        <v/>
      </c>
    </row>
    <row r="4" spans="1:8" ht="16.8" x14ac:dyDescent="0.25">
      <c r="A4" s="9"/>
      <c r="B4" s="10"/>
      <c r="C4" s="10"/>
      <c r="D4" s="10"/>
      <c r="E4" s="10"/>
      <c r="F4" s="10" t="str">
        <f>IF(Table2[[#This Row],[الكود]]="","",VLOOKUP(Table2[[#This Row],[الكود]],Data[],2,0))</f>
        <v/>
      </c>
      <c r="G4" s="10" t="str">
        <f>IF(Table2[[#This Row],[مبلغ التأمين]]="","",Table2[[#This Row],[مبلغ التأمين]]*11%)</f>
        <v/>
      </c>
      <c r="H4" s="11" t="str">
        <f>IF(Table2[[#This Row],[مبلغ التأمين]]="","",Table2[[#This Row],[مبلغ التأمين]]*18.75%)</f>
        <v/>
      </c>
    </row>
    <row r="5" spans="1:8" ht="16.8" x14ac:dyDescent="0.25">
      <c r="A5" s="9"/>
      <c r="B5" s="10"/>
      <c r="C5" s="10"/>
      <c r="D5" s="10"/>
      <c r="E5" s="10"/>
      <c r="F5" s="10" t="str">
        <f>IF(Table2[[#This Row],[الكود]]="","",VLOOKUP(Table2[[#This Row],[الكود]],Data[],2,0))</f>
        <v/>
      </c>
      <c r="G5" s="10" t="str">
        <f>IF(Table2[[#This Row],[مبلغ التأمين]]="","",Table2[[#This Row],[مبلغ التأمين]]*11%)</f>
        <v/>
      </c>
      <c r="H5" s="11" t="str">
        <f>IF(Table2[[#This Row],[مبلغ التأمين]]="","",Table2[[#This Row],[مبلغ التأمين]]*18.75%)</f>
        <v/>
      </c>
    </row>
    <row r="6" spans="1:8" ht="16.8" x14ac:dyDescent="0.25">
      <c r="A6" s="9"/>
      <c r="B6" s="10"/>
      <c r="C6" s="10"/>
      <c r="D6" s="10"/>
      <c r="E6" s="10"/>
      <c r="F6" s="10" t="str">
        <f>IF(Table2[[#This Row],[الكود]]="","",VLOOKUP(Table2[[#This Row],[الكود]],Data[],2,0))</f>
        <v/>
      </c>
      <c r="G6" s="10" t="str">
        <f>IF(Table2[[#This Row],[مبلغ التأمين]]="","",Table2[[#This Row],[مبلغ التأمين]]*11%)</f>
        <v/>
      </c>
      <c r="H6" s="11" t="str">
        <f>IF(Table2[[#This Row],[مبلغ التأمين]]="","",Table2[[#This Row],[مبلغ التأمين]]*18.75%)</f>
        <v/>
      </c>
    </row>
    <row r="7" spans="1:8" ht="16.8" x14ac:dyDescent="0.25">
      <c r="A7" s="9"/>
      <c r="B7" s="10"/>
      <c r="C7" s="10"/>
      <c r="D7" s="10"/>
      <c r="E7" s="10"/>
      <c r="F7" s="10" t="str">
        <f>IF(Table2[[#This Row],[الكود]]="","",VLOOKUP(Table2[[#This Row],[الكود]],Data[],2,0))</f>
        <v/>
      </c>
      <c r="G7" s="10" t="str">
        <f>IF(Table2[[#This Row],[مبلغ التأمين]]="","",Table2[[#This Row],[مبلغ التأمين]]*11%)</f>
        <v/>
      </c>
      <c r="H7" s="11" t="str">
        <f>IF(Table2[[#This Row],[مبلغ التأمين]]="","",Table2[[#This Row],[مبلغ التأمين]]*18.75%)</f>
        <v/>
      </c>
    </row>
    <row r="8" spans="1:8" ht="16.8" x14ac:dyDescent="0.25">
      <c r="A8" s="9"/>
      <c r="B8" s="10"/>
      <c r="C8" s="10"/>
      <c r="D8" s="10"/>
      <c r="E8" s="10"/>
      <c r="F8" s="10" t="str">
        <f>IF(Table2[[#This Row],[الكود]]="","",VLOOKUP(Table2[[#This Row],[الكود]],Data[],2,0))</f>
        <v/>
      </c>
      <c r="G8" s="10" t="str">
        <f>IF(Table2[[#This Row],[مبلغ التأمين]]="","",Table2[[#This Row],[مبلغ التأمين]]*11%)</f>
        <v/>
      </c>
      <c r="H8" s="11" t="str">
        <f>IF(Table2[[#This Row],[مبلغ التأمين]]="","",Table2[[#This Row],[مبلغ التأمين]]*18.75%)</f>
        <v/>
      </c>
    </row>
    <row r="9" spans="1:8" ht="16.8" x14ac:dyDescent="0.25">
      <c r="A9" s="9"/>
      <c r="B9" s="10"/>
      <c r="C9" s="10"/>
      <c r="D9" s="10"/>
      <c r="E9" s="10"/>
      <c r="F9" s="10" t="str">
        <f>IF(Table2[[#This Row],[الكود]]="","",VLOOKUP(Table2[[#This Row],[الكود]],Data[],2,0))</f>
        <v/>
      </c>
      <c r="G9" s="10" t="str">
        <f>IF(Table2[[#This Row],[مبلغ التأمين]]="","",Table2[[#This Row],[مبلغ التأمين]]*11%)</f>
        <v/>
      </c>
      <c r="H9" s="11" t="str">
        <f>IF(Table2[[#This Row],[مبلغ التأمين]]="","",Table2[[#This Row],[مبلغ التأمين]]*18.75%)</f>
        <v/>
      </c>
    </row>
    <row r="10" spans="1:8" ht="16.8" x14ac:dyDescent="0.25">
      <c r="A10" s="9"/>
      <c r="B10" s="10"/>
      <c r="C10" s="10"/>
      <c r="D10" s="10"/>
      <c r="E10" s="10"/>
      <c r="F10" s="10" t="str">
        <f>IF(Table2[[#This Row],[الكود]]="","",VLOOKUP(Table2[[#This Row],[الكود]],Data[],2,0))</f>
        <v/>
      </c>
      <c r="G10" s="10" t="str">
        <f>IF(Table2[[#This Row],[مبلغ التأمين]]="","",Table2[[#This Row],[مبلغ التأمين]]*11%)</f>
        <v/>
      </c>
      <c r="H10" s="11" t="str">
        <f>IF(Table2[[#This Row],[مبلغ التأمين]]="","",Table2[[#This Row],[مبلغ التأمين]]*18.75%)</f>
        <v/>
      </c>
    </row>
    <row r="11" spans="1:8" ht="16.8" x14ac:dyDescent="0.25">
      <c r="A11" s="9"/>
      <c r="B11" s="10"/>
      <c r="C11" s="10"/>
      <c r="D11" s="10"/>
      <c r="E11" s="10"/>
      <c r="F11" s="10" t="str">
        <f>IF(Table2[[#This Row],[الكود]]="","",VLOOKUP(Table2[[#This Row],[الكود]],Data[],2,0))</f>
        <v/>
      </c>
      <c r="G11" s="10" t="str">
        <f>IF(Table2[[#This Row],[مبلغ التأمين]]="","",Table2[[#This Row],[مبلغ التأمين]]*11%)</f>
        <v/>
      </c>
      <c r="H11" s="11" t="str">
        <f>IF(Table2[[#This Row],[مبلغ التأمين]]="","",Table2[[#This Row],[مبلغ التأمين]]*18.75%)</f>
        <v/>
      </c>
    </row>
    <row r="12" spans="1:8" ht="16.8" x14ac:dyDescent="0.25">
      <c r="A12" s="9"/>
      <c r="B12" s="10"/>
      <c r="C12" s="10"/>
      <c r="D12" s="10"/>
      <c r="E12" s="10"/>
      <c r="F12" s="10" t="str">
        <f>IF(Table2[[#This Row],[الكود]]="","",VLOOKUP(Table2[[#This Row],[الكود]],Data[],2,0))</f>
        <v/>
      </c>
      <c r="G12" s="10" t="str">
        <f>IF(Table2[[#This Row],[مبلغ التأمين]]="","",Table2[[#This Row],[مبلغ التأمين]]*11%)</f>
        <v/>
      </c>
      <c r="H12" s="11" t="str">
        <f>IF(Table2[[#This Row],[مبلغ التأمين]]="","",Table2[[#This Row],[مبلغ التأمين]]*18.75%)</f>
        <v/>
      </c>
    </row>
    <row r="13" spans="1:8" ht="16.8" x14ac:dyDescent="0.25">
      <c r="A13" s="9"/>
      <c r="B13" s="10"/>
      <c r="C13" s="10"/>
      <c r="D13" s="10"/>
      <c r="E13" s="10"/>
      <c r="F13" s="10" t="str">
        <f>IF(Table2[[#This Row],[الكود]]="","",VLOOKUP(Table2[[#This Row],[الكود]],Data[],2,0))</f>
        <v/>
      </c>
      <c r="G13" s="10" t="str">
        <f>IF(Table2[[#This Row],[مبلغ التأمين]]="","",Table2[[#This Row],[مبلغ التأمين]]*11%)</f>
        <v/>
      </c>
      <c r="H13" s="11" t="str">
        <f>IF(Table2[[#This Row],[مبلغ التأمين]]="","",Table2[[#This Row],[مبلغ التأمين]]*18.75%)</f>
        <v/>
      </c>
    </row>
    <row r="14" spans="1:8" ht="16.8" x14ac:dyDescent="0.25">
      <c r="A14" s="9"/>
      <c r="B14" s="10"/>
      <c r="C14" s="10"/>
      <c r="D14" s="10"/>
      <c r="E14" s="10"/>
      <c r="F14" s="10" t="str">
        <f>IF(Table2[[#This Row],[الكود]]="","",VLOOKUP(Table2[[#This Row],[الكود]],Data[],2,0))</f>
        <v/>
      </c>
      <c r="G14" s="10" t="str">
        <f>IF(Table2[[#This Row],[مبلغ التأمين]]="","",Table2[[#This Row],[مبلغ التأمين]]*11%)</f>
        <v/>
      </c>
      <c r="H14" s="11" t="str">
        <f>IF(Table2[[#This Row],[مبلغ التأمين]]="","",Table2[[#This Row],[مبلغ التأمين]]*18.75%)</f>
        <v/>
      </c>
    </row>
    <row r="15" spans="1:8" ht="16.8" x14ac:dyDescent="0.25">
      <c r="A15" s="9"/>
      <c r="B15" s="10"/>
      <c r="C15" s="10"/>
      <c r="D15" s="10"/>
      <c r="E15" s="10"/>
      <c r="F15" s="10" t="str">
        <f>IF(Table2[[#This Row],[الكود]]="","",VLOOKUP(Table2[[#This Row],[الكود]],Data[],2,0))</f>
        <v/>
      </c>
      <c r="G15" s="10" t="str">
        <f>IF(Table2[[#This Row],[مبلغ التأمين]]="","",Table2[[#This Row],[مبلغ التأمين]]*11%)</f>
        <v/>
      </c>
      <c r="H15" s="11" t="str">
        <f>IF(Table2[[#This Row],[مبلغ التأمين]]="","",Table2[[#This Row],[مبلغ التأمين]]*18.75%)</f>
        <v/>
      </c>
    </row>
    <row r="16" spans="1:8" ht="16.8" x14ac:dyDescent="0.25">
      <c r="A16" s="9"/>
      <c r="B16" s="10"/>
      <c r="C16" s="10"/>
      <c r="D16" s="10"/>
      <c r="E16" s="10"/>
      <c r="F16" s="10" t="str">
        <f>IF(Table2[[#This Row],[الكود]]="","",VLOOKUP(Table2[[#This Row],[الكود]],Data[],2,0))</f>
        <v/>
      </c>
      <c r="G16" s="10" t="str">
        <f>IF(Table2[[#This Row],[مبلغ التأمين]]="","",Table2[[#This Row],[مبلغ التأمين]]*11%)</f>
        <v/>
      </c>
      <c r="H16" s="11" t="str">
        <f>IF(Table2[[#This Row],[مبلغ التأمين]]="","",Table2[[#This Row],[مبلغ التأمين]]*18.75%)</f>
        <v/>
      </c>
    </row>
    <row r="17" spans="1:8" ht="16.8" x14ac:dyDescent="0.25">
      <c r="A17" s="9"/>
      <c r="B17" s="10"/>
      <c r="C17" s="10"/>
      <c r="D17" s="10"/>
      <c r="E17" s="10"/>
      <c r="F17" s="10" t="str">
        <f>IF(Table2[[#This Row],[الكود]]="","",VLOOKUP(Table2[[#This Row],[الكود]],Data[],2,0))</f>
        <v/>
      </c>
      <c r="G17" s="10" t="str">
        <f>IF(Table2[[#This Row],[مبلغ التأمين]]="","",Table2[[#This Row],[مبلغ التأمين]]*11%)</f>
        <v/>
      </c>
      <c r="H17" s="11" t="str">
        <f>IF(Table2[[#This Row],[مبلغ التأمين]]="","",Table2[[#This Row],[مبلغ التأمين]]*18.75%)</f>
        <v/>
      </c>
    </row>
    <row r="18" spans="1:8" ht="16.8" x14ac:dyDescent="0.25">
      <c r="A18" s="9"/>
      <c r="B18" s="10"/>
      <c r="C18" s="10"/>
      <c r="D18" s="10"/>
      <c r="E18" s="10"/>
      <c r="F18" s="10" t="str">
        <f>IF(Table2[[#This Row],[الكود]]="","",VLOOKUP(Table2[[#This Row],[الكود]],Data[],2,0))</f>
        <v/>
      </c>
      <c r="G18" s="10" t="str">
        <f>IF(Table2[[#This Row],[مبلغ التأمين]]="","",Table2[[#This Row],[مبلغ التأمين]]*11%)</f>
        <v/>
      </c>
      <c r="H18" s="11" t="str">
        <f>IF(Table2[[#This Row],[مبلغ التأمين]]="","",Table2[[#This Row],[مبلغ التأمين]]*18.75%)</f>
        <v/>
      </c>
    </row>
    <row r="19" spans="1:8" ht="16.8" x14ac:dyDescent="0.25">
      <c r="A19" s="9"/>
      <c r="B19" s="10"/>
      <c r="C19" s="10"/>
      <c r="D19" s="10"/>
      <c r="E19" s="10"/>
      <c r="F19" s="10" t="str">
        <f>IF(Table2[[#This Row],[الكود]]="","",VLOOKUP(Table2[[#This Row],[الكود]],Data[],2,0))</f>
        <v/>
      </c>
      <c r="G19" s="10" t="str">
        <f>IF(Table2[[#This Row],[مبلغ التأمين]]="","",Table2[[#This Row],[مبلغ التأمين]]*11%)</f>
        <v/>
      </c>
      <c r="H19" s="11" t="str">
        <f>IF(Table2[[#This Row],[مبلغ التأمين]]="","",Table2[[#This Row],[مبلغ التأمين]]*18.75%)</f>
        <v/>
      </c>
    </row>
    <row r="20" spans="1:8" ht="16.8" x14ac:dyDescent="0.25">
      <c r="A20" s="9"/>
      <c r="B20" s="10"/>
      <c r="C20" s="10"/>
      <c r="D20" s="10"/>
      <c r="E20" s="10"/>
      <c r="F20" s="10" t="str">
        <f>IF(Table2[[#This Row],[الكود]]="","",VLOOKUP(Table2[[#This Row],[الكود]],Data[],2,0))</f>
        <v/>
      </c>
      <c r="G20" s="10" t="str">
        <f>IF(Table2[[#This Row],[مبلغ التأمين]]="","",Table2[[#This Row],[مبلغ التأمين]]*11%)</f>
        <v/>
      </c>
      <c r="H20" s="11" t="str">
        <f>IF(Table2[[#This Row],[مبلغ التأمين]]="","",Table2[[#This Row],[مبلغ التأمين]]*18.75%)</f>
        <v/>
      </c>
    </row>
    <row r="21" spans="1:8" ht="16.8" x14ac:dyDescent="0.25">
      <c r="A21" s="9"/>
      <c r="B21" s="10"/>
      <c r="C21" s="10"/>
      <c r="D21" s="10"/>
      <c r="E21" s="10"/>
      <c r="F21" s="10" t="str">
        <f>IF(Table2[[#This Row],[الكود]]="","",VLOOKUP(Table2[[#This Row],[الكود]],Data[],2,0))</f>
        <v/>
      </c>
      <c r="G21" s="10" t="str">
        <f>IF(Table2[[#This Row],[مبلغ التأمين]]="","",Table2[[#This Row],[مبلغ التأمين]]*11%)</f>
        <v/>
      </c>
      <c r="H21" s="11" t="str">
        <f>IF(Table2[[#This Row],[مبلغ التأمين]]="","",Table2[[#This Row],[مبلغ التأمين]]*18.75%)</f>
        <v/>
      </c>
    </row>
    <row r="22" spans="1:8" ht="16.8" x14ac:dyDescent="0.25">
      <c r="A22" s="9"/>
      <c r="B22" s="10"/>
      <c r="C22" s="10"/>
      <c r="D22" s="10"/>
      <c r="E22" s="10"/>
      <c r="F22" s="10" t="str">
        <f>IF(Table2[[#This Row],[الكود]]="","",VLOOKUP(Table2[[#This Row],[الكود]],Data[],2,0))</f>
        <v/>
      </c>
      <c r="G22" s="10" t="str">
        <f>IF(Table2[[#This Row],[مبلغ التأمين]]="","",Table2[[#This Row],[مبلغ التأمين]]*11%)</f>
        <v/>
      </c>
      <c r="H22" s="11" t="str">
        <f>IF(Table2[[#This Row],[مبلغ التأمين]]="","",Table2[[#This Row],[مبلغ التأمين]]*18.75%)</f>
        <v/>
      </c>
    </row>
    <row r="23" spans="1:8" ht="16.8" x14ac:dyDescent="0.25">
      <c r="A23" s="9"/>
      <c r="B23" s="10"/>
      <c r="C23" s="10"/>
      <c r="D23" s="10"/>
      <c r="E23" s="10"/>
      <c r="F23" s="10" t="str">
        <f>IF(Table2[[#This Row],[الكود]]="","",VLOOKUP(Table2[[#This Row],[الكود]],Data[],2,0))</f>
        <v/>
      </c>
      <c r="G23" s="10" t="str">
        <f>IF(Table2[[#This Row],[مبلغ التأمين]]="","",Table2[[#This Row],[مبلغ التأمين]]*11%)</f>
        <v/>
      </c>
      <c r="H23" s="11" t="str">
        <f>IF(Table2[[#This Row],[مبلغ التأمين]]="","",Table2[[#This Row],[مبلغ التأمين]]*18.75%)</f>
        <v/>
      </c>
    </row>
    <row r="24" spans="1:8" ht="16.8" x14ac:dyDescent="0.25">
      <c r="A24" s="9"/>
      <c r="B24" s="10"/>
      <c r="C24" s="10"/>
      <c r="D24" s="10"/>
      <c r="E24" s="10"/>
      <c r="F24" s="10" t="str">
        <f>IF(Table2[[#This Row],[الكود]]="","",VLOOKUP(Table2[[#This Row],[الكود]],Data[],2,0))</f>
        <v/>
      </c>
      <c r="G24" s="10" t="str">
        <f>IF(Table2[[#This Row],[مبلغ التأمين]]="","",Table2[[#This Row],[مبلغ التأمين]]*11%)</f>
        <v/>
      </c>
      <c r="H24" s="11" t="str">
        <f>IF(Table2[[#This Row],[مبلغ التأمين]]="","",Table2[[#This Row],[مبلغ التأمين]]*18.75%)</f>
        <v/>
      </c>
    </row>
    <row r="25" spans="1:8" ht="16.8" x14ac:dyDescent="0.25">
      <c r="A25" s="9"/>
      <c r="B25" s="10"/>
      <c r="C25" s="10"/>
      <c r="D25" s="10"/>
      <c r="E25" s="10"/>
      <c r="F25" s="10" t="str">
        <f>IF(Table2[[#This Row],[الكود]]="","",VLOOKUP(Table2[[#This Row],[الكود]],Data[],2,0))</f>
        <v/>
      </c>
      <c r="G25" s="10" t="str">
        <f>IF(Table2[[#This Row],[مبلغ التأمين]]="","",Table2[[#This Row],[مبلغ التأمين]]*11%)</f>
        <v/>
      </c>
      <c r="H25" s="11" t="str">
        <f>IF(Table2[[#This Row],[مبلغ التأمين]]="","",Table2[[#This Row],[مبلغ التأمين]]*18.75%)</f>
        <v/>
      </c>
    </row>
    <row r="26" spans="1:8" ht="16.8" x14ac:dyDescent="0.25">
      <c r="A26" s="9"/>
      <c r="B26" s="10"/>
      <c r="C26" s="10"/>
      <c r="D26" s="10"/>
      <c r="E26" s="10"/>
      <c r="F26" s="10" t="str">
        <f>IF(Table2[[#This Row],[الكود]]="","",VLOOKUP(Table2[[#This Row],[الكود]],Data[],2,0))</f>
        <v/>
      </c>
      <c r="G26" s="10" t="str">
        <f>IF(Table2[[#This Row],[مبلغ التأمين]]="","",Table2[[#This Row],[مبلغ التأمين]]*11%)</f>
        <v/>
      </c>
      <c r="H26" s="11" t="str">
        <f>IF(Table2[[#This Row],[مبلغ التأمين]]="","",Table2[[#This Row],[مبلغ التأمين]]*18.75%)</f>
        <v/>
      </c>
    </row>
    <row r="27" spans="1:8" ht="16.8" x14ac:dyDescent="0.25">
      <c r="A27" s="9"/>
      <c r="B27" s="10"/>
      <c r="C27" s="10"/>
      <c r="D27" s="10"/>
      <c r="E27" s="10"/>
      <c r="F27" s="10" t="str">
        <f>IF(Table2[[#This Row],[الكود]]="","",VLOOKUP(Table2[[#This Row],[الكود]],Data[],2,0))</f>
        <v/>
      </c>
      <c r="G27" s="10" t="str">
        <f>IF(Table2[[#This Row],[مبلغ التأمين]]="","",Table2[[#This Row],[مبلغ التأمين]]*11%)</f>
        <v/>
      </c>
      <c r="H27" s="11" t="str">
        <f>IF(Table2[[#This Row],[مبلغ التأمين]]="","",Table2[[#This Row],[مبلغ التأمين]]*18.75%)</f>
        <v/>
      </c>
    </row>
    <row r="28" spans="1:8" ht="16.8" x14ac:dyDescent="0.25">
      <c r="A28" s="9"/>
      <c r="B28" s="10"/>
      <c r="C28" s="10"/>
      <c r="D28" s="10"/>
      <c r="E28" s="10"/>
      <c r="F28" s="10" t="str">
        <f>IF(Table2[[#This Row],[الكود]]="","",VLOOKUP(Table2[[#This Row],[الكود]],Data[],2,0))</f>
        <v/>
      </c>
      <c r="G28" s="10" t="str">
        <f>IF(Table2[[#This Row],[مبلغ التأمين]]="","",Table2[[#This Row],[مبلغ التأمين]]*11%)</f>
        <v/>
      </c>
      <c r="H28" s="11" t="str">
        <f>IF(Table2[[#This Row],[مبلغ التأمين]]="","",Table2[[#This Row],[مبلغ التأمين]]*18.75%)</f>
        <v/>
      </c>
    </row>
    <row r="29" spans="1:8" ht="16.8" x14ac:dyDescent="0.25">
      <c r="A29" s="9"/>
      <c r="B29" s="10"/>
      <c r="C29" s="10"/>
      <c r="D29" s="10"/>
      <c r="E29" s="10"/>
      <c r="F29" s="10" t="str">
        <f>IF(Table2[[#This Row],[الكود]]="","",VLOOKUP(Table2[[#This Row],[الكود]],Data[],2,0))</f>
        <v/>
      </c>
      <c r="G29" s="10" t="str">
        <f>IF(Table2[[#This Row],[مبلغ التأمين]]="","",Table2[[#This Row],[مبلغ التأمين]]*11%)</f>
        <v/>
      </c>
      <c r="H29" s="11" t="str">
        <f>IF(Table2[[#This Row],[مبلغ التأمين]]="","",Table2[[#This Row],[مبلغ التأمين]]*18.75%)</f>
        <v/>
      </c>
    </row>
    <row r="30" spans="1:8" ht="16.8" x14ac:dyDescent="0.25">
      <c r="A30" s="9"/>
      <c r="B30" s="10"/>
      <c r="C30" s="10"/>
      <c r="D30" s="10"/>
      <c r="E30" s="10"/>
      <c r="F30" s="10" t="str">
        <f>IF(Table2[[#This Row],[الكود]]="","",VLOOKUP(Table2[[#This Row],[الكود]],Data[],2,0))</f>
        <v/>
      </c>
      <c r="G30" s="10" t="str">
        <f>IF(Table2[[#This Row],[مبلغ التأمين]]="","",Table2[[#This Row],[مبلغ التأمين]]*11%)</f>
        <v/>
      </c>
      <c r="H30" s="11" t="str">
        <f>IF(Table2[[#This Row],[مبلغ التأمين]]="","",Table2[[#This Row],[مبلغ التأمين]]*18.75%)</f>
        <v/>
      </c>
    </row>
    <row r="31" spans="1:8" ht="16.8" x14ac:dyDescent="0.25">
      <c r="A31" s="9"/>
      <c r="B31" s="10"/>
      <c r="C31" s="10"/>
      <c r="D31" s="10"/>
      <c r="E31" s="10"/>
      <c r="F31" s="10" t="str">
        <f>IF(Table2[[#This Row],[الكود]]="","",VLOOKUP(Table2[[#This Row],[الكود]],Data[],2,0))</f>
        <v/>
      </c>
      <c r="G31" s="10" t="str">
        <f>IF(Table2[[#This Row],[مبلغ التأمين]]="","",Table2[[#This Row],[مبلغ التأمين]]*11%)</f>
        <v/>
      </c>
      <c r="H31" s="11" t="str">
        <f>IF(Table2[[#This Row],[مبلغ التأمين]]="","",Table2[[#This Row],[مبلغ التأمين]]*18.75%)</f>
        <v/>
      </c>
    </row>
    <row r="32" spans="1:8" ht="16.8" x14ac:dyDescent="0.25">
      <c r="A32" s="9"/>
      <c r="B32" s="10"/>
      <c r="C32" s="10"/>
      <c r="D32" s="10"/>
      <c r="E32" s="10"/>
      <c r="F32" s="10" t="str">
        <f>IF(Table2[[#This Row],[الكود]]="","",VLOOKUP(Table2[[#This Row],[الكود]],Data[],2,0))</f>
        <v/>
      </c>
      <c r="G32" s="10" t="str">
        <f>IF(Table2[[#This Row],[مبلغ التأمين]]="","",Table2[[#This Row],[مبلغ التأمين]]*11%)</f>
        <v/>
      </c>
      <c r="H32" s="11" t="str">
        <f>IF(Table2[[#This Row],[مبلغ التأمين]]="","",Table2[[#This Row],[مبلغ التأمين]]*18.75%)</f>
        <v/>
      </c>
    </row>
    <row r="33" spans="1:8" ht="16.8" x14ac:dyDescent="0.25">
      <c r="A33" s="9"/>
      <c r="B33" s="10"/>
      <c r="C33" s="10"/>
      <c r="D33" s="10"/>
      <c r="E33" s="10"/>
      <c r="F33" s="10" t="str">
        <f>IF(Table2[[#This Row],[الكود]]="","",VLOOKUP(Table2[[#This Row],[الكود]],Data[],2,0))</f>
        <v/>
      </c>
      <c r="G33" s="10" t="str">
        <f>IF(Table2[[#This Row],[مبلغ التأمين]]="","",Table2[[#This Row],[مبلغ التأمين]]*11%)</f>
        <v/>
      </c>
      <c r="H33" s="11" t="str">
        <f>IF(Table2[[#This Row],[مبلغ التأمين]]="","",Table2[[#This Row],[مبلغ التأمين]]*18.75%)</f>
        <v/>
      </c>
    </row>
    <row r="34" spans="1:8" ht="16.8" x14ac:dyDescent="0.25">
      <c r="A34" s="9"/>
      <c r="B34" s="10"/>
      <c r="C34" s="10"/>
      <c r="D34" s="10"/>
      <c r="E34" s="10"/>
      <c r="F34" s="10" t="str">
        <f>IF(Table2[[#This Row],[الكود]]="","",VLOOKUP(Table2[[#This Row],[الكود]],Data[],2,0))</f>
        <v/>
      </c>
      <c r="G34" s="10" t="str">
        <f>IF(Table2[[#This Row],[مبلغ التأمين]]="","",Table2[[#This Row],[مبلغ التأمين]]*11%)</f>
        <v/>
      </c>
      <c r="H34" s="11" t="str">
        <f>IF(Table2[[#This Row],[مبلغ التأمين]]="","",Table2[[#This Row],[مبلغ التأمين]]*18.75%)</f>
        <v/>
      </c>
    </row>
    <row r="35" spans="1:8" ht="16.8" x14ac:dyDescent="0.25">
      <c r="A35" s="9"/>
      <c r="B35" s="10"/>
      <c r="C35" s="10"/>
      <c r="D35" s="10"/>
      <c r="E35" s="10"/>
      <c r="F35" s="10" t="str">
        <f>IF(Table2[[#This Row],[الكود]]="","",VLOOKUP(Table2[[#This Row],[الكود]],Data[],2,0))</f>
        <v/>
      </c>
      <c r="G35" s="10" t="str">
        <f>IF(Table2[[#This Row],[مبلغ التأمين]]="","",Table2[[#This Row],[مبلغ التأمين]]*11%)</f>
        <v/>
      </c>
      <c r="H35" s="11" t="str">
        <f>IF(Table2[[#This Row],[مبلغ التأمين]]="","",Table2[[#This Row],[مبلغ التأمين]]*18.75%)</f>
        <v/>
      </c>
    </row>
    <row r="36" spans="1:8" ht="16.8" x14ac:dyDescent="0.25">
      <c r="A36" s="9"/>
      <c r="B36" s="10"/>
      <c r="C36" s="10"/>
      <c r="D36" s="10"/>
      <c r="E36" s="10"/>
      <c r="F36" s="10" t="str">
        <f>IF(Table2[[#This Row],[الكود]]="","",VLOOKUP(Table2[[#This Row],[الكود]],Data[],2,0))</f>
        <v/>
      </c>
      <c r="G36" s="10" t="str">
        <f>IF(Table2[[#This Row],[مبلغ التأمين]]="","",Table2[[#This Row],[مبلغ التأمين]]*11%)</f>
        <v/>
      </c>
      <c r="H36" s="11" t="str">
        <f>IF(Table2[[#This Row],[مبلغ التأمين]]="","",Table2[[#This Row],[مبلغ التأمين]]*18.75%)</f>
        <v/>
      </c>
    </row>
    <row r="37" spans="1:8" ht="16.8" x14ac:dyDescent="0.25">
      <c r="A37" s="9"/>
      <c r="B37" s="10"/>
      <c r="C37" s="10"/>
      <c r="D37" s="10"/>
      <c r="E37" s="10"/>
      <c r="F37" s="10" t="str">
        <f>IF(Table2[[#This Row],[الكود]]="","",VLOOKUP(Table2[[#This Row],[الكود]],Data[],2,0))</f>
        <v/>
      </c>
      <c r="G37" s="10" t="str">
        <f>IF(Table2[[#This Row],[مبلغ التأمين]]="","",Table2[[#This Row],[مبلغ التأمين]]*11%)</f>
        <v/>
      </c>
      <c r="H37" s="11" t="str">
        <f>IF(Table2[[#This Row],[مبلغ التأمين]]="","",Table2[[#This Row],[مبلغ التأمين]]*18.75%)</f>
        <v/>
      </c>
    </row>
    <row r="38" spans="1:8" ht="16.8" x14ac:dyDescent="0.25">
      <c r="A38" s="9"/>
      <c r="B38" s="10"/>
      <c r="C38" s="10"/>
      <c r="D38" s="10"/>
      <c r="E38" s="10"/>
      <c r="F38" s="10" t="str">
        <f>IF(Table2[[#This Row],[الكود]]="","",VLOOKUP(Table2[[#This Row],[الكود]],Data[],2,0))</f>
        <v/>
      </c>
      <c r="G38" s="10" t="str">
        <f>IF(Table2[[#This Row],[مبلغ التأمين]]="","",Table2[[#This Row],[مبلغ التأمين]]*11%)</f>
        <v/>
      </c>
      <c r="H38" s="11" t="str">
        <f>IF(Table2[[#This Row],[مبلغ التأمين]]="","",Table2[[#This Row],[مبلغ التأمين]]*18.75%)</f>
        <v/>
      </c>
    </row>
    <row r="39" spans="1:8" ht="16.8" x14ac:dyDescent="0.25">
      <c r="A39" s="9"/>
      <c r="B39" s="10"/>
      <c r="C39" s="10"/>
      <c r="D39" s="10"/>
      <c r="E39" s="10"/>
      <c r="F39" s="10" t="str">
        <f>IF(Table2[[#This Row],[الكود]]="","",VLOOKUP(Table2[[#This Row],[الكود]],Data[],2,0))</f>
        <v/>
      </c>
      <c r="G39" s="10" t="str">
        <f>IF(Table2[[#This Row],[مبلغ التأمين]]="","",Table2[[#This Row],[مبلغ التأمين]]*11%)</f>
        <v/>
      </c>
      <c r="H39" s="11" t="str">
        <f>IF(Table2[[#This Row],[مبلغ التأمين]]="","",Table2[[#This Row],[مبلغ التأمين]]*18.75%)</f>
        <v/>
      </c>
    </row>
    <row r="40" spans="1:8" ht="16.8" x14ac:dyDescent="0.25">
      <c r="A40" s="9"/>
      <c r="B40" s="10"/>
      <c r="C40" s="10"/>
      <c r="D40" s="10"/>
      <c r="E40" s="10"/>
      <c r="F40" s="10" t="str">
        <f>IF(Table2[[#This Row],[الكود]]="","",VLOOKUP(Table2[[#This Row],[الكود]],Data[],2,0))</f>
        <v/>
      </c>
      <c r="G40" s="10" t="str">
        <f>IF(Table2[[#This Row],[مبلغ التأمين]]="","",Table2[[#This Row],[مبلغ التأمين]]*11%)</f>
        <v/>
      </c>
      <c r="H40" s="11" t="str">
        <f>IF(Table2[[#This Row],[مبلغ التأمين]]="","",Table2[[#This Row],[مبلغ التأمين]]*18.75%)</f>
        <v/>
      </c>
    </row>
    <row r="41" spans="1:8" ht="16.8" x14ac:dyDescent="0.25">
      <c r="A41" s="9"/>
      <c r="B41" s="10"/>
      <c r="C41" s="10"/>
      <c r="D41" s="10"/>
      <c r="E41" s="10"/>
      <c r="F41" s="10" t="str">
        <f>IF(Table2[[#This Row],[الكود]]="","",VLOOKUP(Table2[[#This Row],[الكود]],Data[],2,0))</f>
        <v/>
      </c>
      <c r="G41" s="10" t="str">
        <f>IF(Table2[[#This Row],[مبلغ التأمين]]="","",Table2[[#This Row],[مبلغ التأمين]]*11%)</f>
        <v/>
      </c>
      <c r="H41" s="11" t="str">
        <f>IF(Table2[[#This Row],[مبلغ التأمين]]="","",Table2[[#This Row],[مبلغ التأمين]]*18.75%)</f>
        <v/>
      </c>
    </row>
    <row r="42" spans="1:8" ht="16.8" x14ac:dyDescent="0.25">
      <c r="A42" s="9"/>
      <c r="B42" s="10"/>
      <c r="C42" s="10"/>
      <c r="D42" s="10"/>
      <c r="E42" s="10"/>
      <c r="F42" s="10" t="str">
        <f>IF(Table2[[#This Row],[الكود]]="","",VLOOKUP(Table2[[#This Row],[الكود]],Data[],2,0))</f>
        <v/>
      </c>
      <c r="G42" s="10" t="str">
        <f>IF(Table2[[#This Row],[مبلغ التأمين]]="","",Table2[[#This Row],[مبلغ التأمين]]*11%)</f>
        <v/>
      </c>
      <c r="H42" s="11" t="str">
        <f>IF(Table2[[#This Row],[مبلغ التأمين]]="","",Table2[[#This Row],[مبلغ التأمين]]*18.75%)</f>
        <v/>
      </c>
    </row>
    <row r="43" spans="1:8" ht="16.8" x14ac:dyDescent="0.25">
      <c r="A43" s="9"/>
      <c r="B43" s="10"/>
      <c r="C43" s="10"/>
      <c r="D43" s="10"/>
      <c r="E43" s="10"/>
      <c r="F43" s="10" t="str">
        <f>IF(Table2[[#This Row],[الكود]]="","",VLOOKUP(Table2[[#This Row],[الكود]],Data[],2,0))</f>
        <v/>
      </c>
      <c r="G43" s="10" t="str">
        <f>IF(Table2[[#This Row],[مبلغ التأمين]]="","",Table2[[#This Row],[مبلغ التأمين]]*11%)</f>
        <v/>
      </c>
      <c r="H43" s="11" t="str">
        <f>IF(Table2[[#This Row],[مبلغ التأمين]]="","",Table2[[#This Row],[مبلغ التأمين]]*18.75%)</f>
        <v/>
      </c>
    </row>
    <row r="44" spans="1:8" ht="16.8" x14ac:dyDescent="0.25">
      <c r="A44" s="9"/>
      <c r="B44" s="10"/>
      <c r="C44" s="10"/>
      <c r="D44" s="10"/>
      <c r="E44" s="10"/>
      <c r="F44" s="10" t="str">
        <f>IF(Table2[[#This Row],[الكود]]="","",VLOOKUP(Table2[[#This Row],[الكود]],Data[],2,0))</f>
        <v/>
      </c>
      <c r="G44" s="10" t="str">
        <f>IF(Table2[[#This Row],[مبلغ التأمين]]="","",Table2[[#This Row],[مبلغ التأمين]]*11%)</f>
        <v/>
      </c>
      <c r="H44" s="11" t="str">
        <f>IF(Table2[[#This Row],[مبلغ التأمين]]="","",Table2[[#This Row],[مبلغ التأمين]]*18.75%)</f>
        <v/>
      </c>
    </row>
    <row r="45" spans="1:8" ht="16.8" x14ac:dyDescent="0.25">
      <c r="A45" s="9"/>
      <c r="B45" s="10"/>
      <c r="C45" s="10"/>
      <c r="D45" s="10"/>
      <c r="E45" s="10"/>
      <c r="F45" s="10" t="str">
        <f>IF(Table2[[#This Row],[الكود]]="","",VLOOKUP(Table2[[#This Row],[الكود]],Data[],2,0))</f>
        <v/>
      </c>
      <c r="G45" s="10" t="str">
        <f>IF(Table2[[#This Row],[مبلغ التأمين]]="","",Table2[[#This Row],[مبلغ التأمين]]*11%)</f>
        <v/>
      </c>
      <c r="H45" s="11" t="str">
        <f>IF(Table2[[#This Row],[مبلغ التأمين]]="","",Table2[[#This Row],[مبلغ التأمين]]*18.75%)</f>
        <v/>
      </c>
    </row>
    <row r="46" spans="1:8" ht="16.8" x14ac:dyDescent="0.25">
      <c r="A46" s="9"/>
      <c r="B46" s="10"/>
      <c r="C46" s="10"/>
      <c r="D46" s="10"/>
      <c r="E46" s="10"/>
      <c r="F46" s="10" t="str">
        <f>IF(Table2[[#This Row],[الكود]]="","",VLOOKUP(Table2[[#This Row],[الكود]],Data[],2,0))</f>
        <v/>
      </c>
      <c r="G46" s="10" t="str">
        <f>IF(Table2[[#This Row],[مبلغ التأمين]]="","",Table2[[#This Row],[مبلغ التأمين]]*11%)</f>
        <v/>
      </c>
      <c r="H46" s="11" t="str">
        <f>IF(Table2[[#This Row],[مبلغ التأمين]]="","",Table2[[#This Row],[مبلغ التأمين]]*18.75%)</f>
        <v/>
      </c>
    </row>
    <row r="47" spans="1:8" ht="16.8" x14ac:dyDescent="0.25">
      <c r="A47" s="9"/>
      <c r="B47" s="10"/>
      <c r="C47" s="10"/>
      <c r="D47" s="10"/>
      <c r="E47" s="10"/>
      <c r="F47" s="10" t="str">
        <f>IF(Table2[[#This Row],[الكود]]="","",VLOOKUP(Table2[[#This Row],[الكود]],Data[],2,0))</f>
        <v/>
      </c>
      <c r="G47" s="10" t="str">
        <f>IF(Table2[[#This Row],[مبلغ التأمين]]="","",Table2[[#This Row],[مبلغ التأمين]]*11%)</f>
        <v/>
      </c>
      <c r="H47" s="11" t="str">
        <f>IF(Table2[[#This Row],[مبلغ التأمين]]="","",Table2[[#This Row],[مبلغ التأمين]]*18.75%)</f>
        <v/>
      </c>
    </row>
    <row r="48" spans="1:8" ht="16.8" x14ac:dyDescent="0.25">
      <c r="A48" s="9"/>
      <c r="B48" s="10"/>
      <c r="C48" s="10"/>
      <c r="D48" s="10"/>
      <c r="E48" s="10"/>
      <c r="F48" s="10" t="str">
        <f>IF(Table2[[#This Row],[الكود]]="","",VLOOKUP(Table2[[#This Row],[الكود]],Data[],2,0))</f>
        <v/>
      </c>
      <c r="G48" s="10" t="str">
        <f>IF(Table2[[#This Row],[مبلغ التأمين]]="","",Table2[[#This Row],[مبلغ التأمين]]*11%)</f>
        <v/>
      </c>
      <c r="H48" s="11" t="str">
        <f>IF(Table2[[#This Row],[مبلغ التأمين]]="","",Table2[[#This Row],[مبلغ التأمين]]*18.75%)</f>
        <v/>
      </c>
    </row>
    <row r="49" spans="1:8" ht="16.8" x14ac:dyDescent="0.25">
      <c r="A49" s="9"/>
      <c r="B49" s="10"/>
      <c r="C49" s="10"/>
      <c r="D49" s="10"/>
      <c r="E49" s="10"/>
      <c r="F49" s="10" t="str">
        <f>IF(Table2[[#This Row],[الكود]]="","",VLOOKUP(Table2[[#This Row],[الكود]],Data[],2,0))</f>
        <v/>
      </c>
      <c r="G49" s="10" t="str">
        <f>IF(Table2[[#This Row],[مبلغ التأمين]]="","",Table2[[#This Row],[مبلغ التأمين]]*11%)</f>
        <v/>
      </c>
      <c r="H49" s="11" t="str">
        <f>IF(Table2[[#This Row],[مبلغ التأمين]]="","",Table2[[#This Row],[مبلغ التأمين]]*18.75%)</f>
        <v/>
      </c>
    </row>
    <row r="50" spans="1:8" ht="16.8" x14ac:dyDescent="0.25">
      <c r="A50" s="9"/>
      <c r="B50" s="10"/>
      <c r="C50" s="10"/>
      <c r="D50" s="10"/>
      <c r="E50" s="10"/>
      <c r="F50" s="10" t="str">
        <f>IF(Table2[[#This Row],[الكود]]="","",VLOOKUP(Table2[[#This Row],[الكود]],Data[],2,0))</f>
        <v/>
      </c>
      <c r="G50" s="10" t="str">
        <f>IF(Table2[[#This Row],[مبلغ التأمين]]="","",Table2[[#This Row],[مبلغ التأمين]]*11%)</f>
        <v/>
      </c>
      <c r="H50" s="11" t="str">
        <f>IF(Table2[[#This Row],[مبلغ التأمين]]="","",Table2[[#This Row],[مبلغ التأمين]]*18.75%)</f>
        <v/>
      </c>
    </row>
    <row r="51" spans="1:8" ht="16.8" x14ac:dyDescent="0.25">
      <c r="A51" s="9"/>
      <c r="B51" s="10"/>
      <c r="C51" s="10"/>
      <c r="D51" s="10"/>
      <c r="E51" s="10"/>
      <c r="F51" s="10" t="str">
        <f>IF(Table2[[#This Row],[الكود]]="","",VLOOKUP(Table2[[#This Row],[الكود]],Data[],2,0))</f>
        <v/>
      </c>
      <c r="G51" s="10" t="str">
        <f>IF(Table2[[#This Row],[مبلغ التأمين]]="","",Table2[[#This Row],[مبلغ التأمين]]*11%)</f>
        <v/>
      </c>
      <c r="H51" s="11" t="str">
        <f>IF(Table2[[#This Row],[مبلغ التأمين]]="","",Table2[[#This Row],[مبلغ التأمين]]*18.75%)</f>
        <v/>
      </c>
    </row>
    <row r="52" spans="1:8" ht="16.8" x14ac:dyDescent="0.25">
      <c r="A52" s="9"/>
      <c r="B52" s="10"/>
      <c r="C52" s="10"/>
      <c r="D52" s="10"/>
      <c r="E52" s="10"/>
      <c r="F52" s="10" t="str">
        <f>IF(Table2[[#This Row],[الكود]]="","",VLOOKUP(Table2[[#This Row],[الكود]],Data[],2,0))</f>
        <v/>
      </c>
      <c r="G52" s="10" t="str">
        <f>IF(Table2[[#This Row],[مبلغ التأمين]]="","",Table2[[#This Row],[مبلغ التأمين]]*11%)</f>
        <v/>
      </c>
      <c r="H52" s="11" t="str">
        <f>IF(Table2[[#This Row],[مبلغ التأمين]]="","",Table2[[#This Row],[مبلغ التأمين]]*18.75%)</f>
        <v/>
      </c>
    </row>
    <row r="53" spans="1:8" ht="16.8" x14ac:dyDescent="0.25">
      <c r="A53" s="9"/>
      <c r="B53" s="10"/>
      <c r="C53" s="10"/>
      <c r="D53" s="10"/>
      <c r="E53" s="10"/>
      <c r="F53" s="10" t="str">
        <f>IF(Table2[[#This Row],[الكود]]="","",VLOOKUP(Table2[[#This Row],[الكود]],Data[],2,0))</f>
        <v/>
      </c>
      <c r="G53" s="10" t="str">
        <f>IF(Table2[[#This Row],[مبلغ التأمين]]="","",Table2[[#This Row],[مبلغ التأمين]]*11%)</f>
        <v/>
      </c>
      <c r="H53" s="11" t="str">
        <f>IF(Table2[[#This Row],[مبلغ التأمين]]="","",Table2[[#This Row],[مبلغ التأمين]]*18.75%)</f>
        <v/>
      </c>
    </row>
    <row r="54" spans="1:8" ht="16.8" x14ac:dyDescent="0.25">
      <c r="A54" s="9"/>
      <c r="B54" s="10"/>
      <c r="C54" s="10"/>
      <c r="D54" s="10"/>
      <c r="E54" s="10"/>
      <c r="F54" s="10" t="str">
        <f>IF(Table2[[#This Row],[الكود]]="","",VLOOKUP(Table2[[#This Row],[الكود]],Data[],2,0))</f>
        <v/>
      </c>
      <c r="G54" s="10" t="str">
        <f>IF(Table2[[#This Row],[مبلغ التأمين]]="","",Table2[[#This Row],[مبلغ التأمين]]*11%)</f>
        <v/>
      </c>
      <c r="H54" s="11" t="str">
        <f>IF(Table2[[#This Row],[مبلغ التأمين]]="","",Table2[[#This Row],[مبلغ التأمين]]*18.75%)</f>
        <v/>
      </c>
    </row>
    <row r="55" spans="1:8" ht="16.8" x14ac:dyDescent="0.25">
      <c r="A55" s="9"/>
      <c r="B55" s="10"/>
      <c r="C55" s="10"/>
      <c r="D55" s="10"/>
      <c r="E55" s="10"/>
      <c r="F55" s="10" t="str">
        <f>IF(Table2[[#This Row],[الكود]]="","",VLOOKUP(Table2[[#This Row],[الكود]],Data[],2,0))</f>
        <v/>
      </c>
      <c r="G55" s="10" t="str">
        <f>IF(Table2[[#This Row],[مبلغ التأمين]]="","",Table2[[#This Row],[مبلغ التأمين]]*11%)</f>
        <v/>
      </c>
      <c r="H55" s="11" t="str">
        <f>IF(Table2[[#This Row],[مبلغ التأمين]]="","",Table2[[#This Row],[مبلغ التأمين]]*18.75%)</f>
        <v/>
      </c>
    </row>
    <row r="56" spans="1:8" ht="16.8" x14ac:dyDescent="0.25">
      <c r="A56" s="9"/>
      <c r="B56" s="10"/>
      <c r="C56" s="10"/>
      <c r="D56" s="10"/>
      <c r="E56" s="10"/>
      <c r="F56" s="10" t="str">
        <f>IF(Table2[[#This Row],[الكود]]="","",VLOOKUP(Table2[[#This Row],[الكود]],Data[],2,0))</f>
        <v/>
      </c>
      <c r="G56" s="10" t="str">
        <f>IF(Table2[[#This Row],[مبلغ التأمين]]="","",Table2[[#This Row],[مبلغ التأمين]]*11%)</f>
        <v/>
      </c>
      <c r="H56" s="11" t="str">
        <f>IF(Table2[[#This Row],[مبلغ التأمين]]="","",Table2[[#This Row],[مبلغ التأمين]]*18.75%)</f>
        <v/>
      </c>
    </row>
    <row r="57" spans="1:8" ht="16.8" x14ac:dyDescent="0.25">
      <c r="A57" s="9"/>
      <c r="B57" s="10"/>
      <c r="C57" s="10"/>
      <c r="D57" s="10"/>
      <c r="E57" s="10"/>
      <c r="F57" s="10" t="str">
        <f>IF(Table2[[#This Row],[الكود]]="","",VLOOKUP(Table2[[#This Row],[الكود]],Data[],2,0))</f>
        <v/>
      </c>
      <c r="G57" s="10" t="str">
        <f>IF(Table2[[#This Row],[مبلغ التأمين]]="","",Table2[[#This Row],[مبلغ التأمين]]*11%)</f>
        <v/>
      </c>
      <c r="H57" s="11" t="str">
        <f>IF(Table2[[#This Row],[مبلغ التأمين]]="","",Table2[[#This Row],[مبلغ التأمين]]*18.75%)</f>
        <v/>
      </c>
    </row>
    <row r="58" spans="1:8" ht="16.8" x14ac:dyDescent="0.25">
      <c r="A58" s="9"/>
      <c r="B58" s="10"/>
      <c r="C58" s="10"/>
      <c r="D58" s="10"/>
      <c r="E58" s="10"/>
      <c r="F58" s="10" t="str">
        <f>IF(Table2[[#This Row],[الكود]]="","",VLOOKUP(Table2[[#This Row],[الكود]],Data[],2,0))</f>
        <v/>
      </c>
      <c r="G58" s="10" t="str">
        <f>IF(Table2[[#This Row],[مبلغ التأمين]]="","",Table2[[#This Row],[مبلغ التأمين]]*11%)</f>
        <v/>
      </c>
      <c r="H58" s="11" t="str">
        <f>IF(Table2[[#This Row],[مبلغ التأمين]]="","",Table2[[#This Row],[مبلغ التأمين]]*18.75%)</f>
        <v/>
      </c>
    </row>
    <row r="59" spans="1:8" ht="16.8" x14ac:dyDescent="0.25">
      <c r="A59" s="9"/>
      <c r="B59" s="10"/>
      <c r="C59" s="10"/>
      <c r="D59" s="10"/>
      <c r="E59" s="10"/>
      <c r="F59" s="10" t="str">
        <f>IF(Table2[[#This Row],[الكود]]="","",VLOOKUP(Table2[[#This Row],[الكود]],Data[],2,0))</f>
        <v/>
      </c>
      <c r="G59" s="10" t="str">
        <f>IF(Table2[[#This Row],[مبلغ التأمين]]="","",Table2[[#This Row],[مبلغ التأمين]]*11%)</f>
        <v/>
      </c>
      <c r="H59" s="11" t="str">
        <f>IF(Table2[[#This Row],[مبلغ التأمين]]="","",Table2[[#This Row],[مبلغ التأمين]]*18.75%)</f>
        <v/>
      </c>
    </row>
    <row r="60" spans="1:8" ht="16.8" x14ac:dyDescent="0.25">
      <c r="A60" s="9"/>
      <c r="B60" s="10"/>
      <c r="C60" s="10"/>
      <c r="D60" s="10"/>
      <c r="E60" s="10"/>
      <c r="F60" s="10" t="str">
        <f>IF(Table2[[#This Row],[الكود]]="","",VLOOKUP(Table2[[#This Row],[الكود]],Data[],2,0))</f>
        <v/>
      </c>
      <c r="G60" s="10" t="str">
        <f>IF(Table2[[#This Row],[مبلغ التأمين]]="","",Table2[[#This Row],[مبلغ التأمين]]*11%)</f>
        <v/>
      </c>
      <c r="H60" s="11" t="str">
        <f>IF(Table2[[#This Row],[مبلغ التأمين]]="","",Table2[[#This Row],[مبلغ التأمين]]*18.75%)</f>
        <v/>
      </c>
    </row>
    <row r="61" spans="1:8" ht="16.8" x14ac:dyDescent="0.25">
      <c r="A61" s="9"/>
      <c r="B61" s="10"/>
      <c r="C61" s="10"/>
      <c r="D61" s="10"/>
      <c r="E61" s="10"/>
      <c r="F61" s="10" t="str">
        <f>IF(Table2[[#This Row],[الكود]]="","",VLOOKUP(Table2[[#This Row],[الكود]],Data[],2,0))</f>
        <v/>
      </c>
      <c r="G61" s="10" t="str">
        <f>IF(Table2[[#This Row],[مبلغ التأمين]]="","",Table2[[#This Row],[مبلغ التأمين]]*11%)</f>
        <v/>
      </c>
      <c r="H61" s="11" t="str">
        <f>IF(Table2[[#This Row],[مبلغ التأمين]]="","",Table2[[#This Row],[مبلغ التأمين]]*18.75%)</f>
        <v/>
      </c>
    </row>
    <row r="62" spans="1:8" ht="16.8" x14ac:dyDescent="0.25">
      <c r="A62" s="9"/>
      <c r="B62" s="10"/>
      <c r="C62" s="10"/>
      <c r="D62" s="10"/>
      <c r="E62" s="10"/>
      <c r="F62" s="10" t="str">
        <f>IF(Table2[[#This Row],[الكود]]="","",VLOOKUP(Table2[[#This Row],[الكود]],Data[],2,0))</f>
        <v/>
      </c>
      <c r="G62" s="10" t="str">
        <f>IF(Table2[[#This Row],[مبلغ التأمين]]="","",Table2[[#This Row],[مبلغ التأمين]]*11%)</f>
        <v/>
      </c>
      <c r="H62" s="11" t="str">
        <f>IF(Table2[[#This Row],[مبلغ التأمين]]="","",Table2[[#This Row],[مبلغ التأمين]]*18.75%)</f>
        <v/>
      </c>
    </row>
    <row r="63" spans="1:8" ht="16.8" x14ac:dyDescent="0.25">
      <c r="A63" s="9"/>
      <c r="B63" s="10"/>
      <c r="C63" s="10"/>
      <c r="D63" s="10"/>
      <c r="E63" s="10"/>
      <c r="F63" s="10" t="str">
        <f>IF(Table2[[#This Row],[الكود]]="","",VLOOKUP(Table2[[#This Row],[الكود]],Data[],2,0))</f>
        <v/>
      </c>
      <c r="G63" s="10" t="str">
        <f>IF(Table2[[#This Row],[مبلغ التأمين]]="","",Table2[[#This Row],[مبلغ التأمين]]*11%)</f>
        <v/>
      </c>
      <c r="H63" s="11" t="str">
        <f>IF(Table2[[#This Row],[مبلغ التأمين]]="","",Table2[[#This Row],[مبلغ التأمين]]*18.75%)</f>
        <v/>
      </c>
    </row>
    <row r="64" spans="1:8" ht="16.8" x14ac:dyDescent="0.25">
      <c r="A64" s="9"/>
      <c r="B64" s="10"/>
      <c r="C64" s="10"/>
      <c r="D64" s="10"/>
      <c r="E64" s="10"/>
      <c r="F64" s="10" t="str">
        <f>IF(Table2[[#This Row],[الكود]]="","",VLOOKUP(Table2[[#This Row],[الكود]],Data[],2,0))</f>
        <v/>
      </c>
      <c r="G64" s="10" t="str">
        <f>IF(Table2[[#This Row],[مبلغ التأمين]]="","",Table2[[#This Row],[مبلغ التأمين]]*11%)</f>
        <v/>
      </c>
      <c r="H64" s="11" t="str">
        <f>IF(Table2[[#This Row],[مبلغ التأمين]]="","",Table2[[#This Row],[مبلغ التأمين]]*18.75%)</f>
        <v/>
      </c>
    </row>
    <row r="65" spans="1:8" ht="16.8" x14ac:dyDescent="0.25">
      <c r="A65" s="9"/>
      <c r="B65" s="10"/>
      <c r="C65" s="10"/>
      <c r="D65" s="10"/>
      <c r="E65" s="10"/>
      <c r="F65" s="10" t="str">
        <f>IF(Table2[[#This Row],[الكود]]="","",VLOOKUP(Table2[[#This Row],[الكود]],Data[],2,0))</f>
        <v/>
      </c>
      <c r="G65" s="10" t="str">
        <f>IF(Table2[[#This Row],[مبلغ التأمين]]="","",Table2[[#This Row],[مبلغ التأمين]]*11%)</f>
        <v/>
      </c>
      <c r="H65" s="11" t="str">
        <f>IF(Table2[[#This Row],[مبلغ التأمين]]="","",Table2[[#This Row],[مبلغ التأمين]]*18.75%)</f>
        <v/>
      </c>
    </row>
    <row r="66" spans="1:8" ht="16.8" x14ac:dyDescent="0.25">
      <c r="A66" s="9"/>
      <c r="B66" s="10"/>
      <c r="C66" s="10"/>
      <c r="D66" s="10"/>
      <c r="E66" s="10"/>
      <c r="F66" s="10" t="str">
        <f>IF(Table2[[#This Row],[الكود]]="","",VLOOKUP(Table2[[#This Row],[الكود]],Data[],2,0))</f>
        <v/>
      </c>
      <c r="G66" s="10" t="str">
        <f>IF(Table2[[#This Row],[مبلغ التأمين]]="","",Table2[[#This Row],[مبلغ التأمين]]*11%)</f>
        <v/>
      </c>
      <c r="H66" s="11" t="str">
        <f>IF(Table2[[#This Row],[مبلغ التأمين]]="","",Table2[[#This Row],[مبلغ التأمين]]*18.75%)</f>
        <v/>
      </c>
    </row>
    <row r="67" spans="1:8" ht="16.8" x14ac:dyDescent="0.25">
      <c r="A67" s="9"/>
      <c r="B67" s="10"/>
      <c r="C67" s="10"/>
      <c r="D67" s="10"/>
      <c r="E67" s="10"/>
      <c r="F67" s="10" t="str">
        <f>IF(Table2[[#This Row],[الكود]]="","",VLOOKUP(Table2[[#This Row],[الكود]],Data[],2,0))</f>
        <v/>
      </c>
      <c r="G67" s="10" t="str">
        <f>IF(Table2[[#This Row],[مبلغ التأمين]]="","",Table2[[#This Row],[مبلغ التأمين]]*11%)</f>
        <v/>
      </c>
      <c r="H67" s="11" t="str">
        <f>IF(Table2[[#This Row],[مبلغ التأمين]]="","",Table2[[#This Row],[مبلغ التأمين]]*18.75%)</f>
        <v/>
      </c>
    </row>
    <row r="68" spans="1:8" ht="16.8" x14ac:dyDescent="0.25">
      <c r="A68" s="9"/>
      <c r="B68" s="10"/>
      <c r="C68" s="10"/>
      <c r="D68" s="10"/>
      <c r="E68" s="10"/>
      <c r="F68" s="10" t="str">
        <f>IF(Table2[[#This Row],[الكود]]="","",VLOOKUP(Table2[[#This Row],[الكود]],Data[],2,0))</f>
        <v/>
      </c>
      <c r="G68" s="10" t="str">
        <f>IF(Table2[[#This Row],[مبلغ التأمين]]="","",Table2[[#This Row],[مبلغ التأمين]]*11%)</f>
        <v/>
      </c>
      <c r="H68" s="11" t="str">
        <f>IF(Table2[[#This Row],[مبلغ التأمين]]="","",Table2[[#This Row],[مبلغ التأمين]]*18.75%)</f>
        <v/>
      </c>
    </row>
    <row r="69" spans="1:8" ht="16.8" x14ac:dyDescent="0.25">
      <c r="A69" s="9"/>
      <c r="B69" s="10"/>
      <c r="C69" s="10"/>
      <c r="D69" s="10"/>
      <c r="E69" s="10"/>
      <c r="F69" s="10" t="str">
        <f>IF(Table2[[#This Row],[الكود]]="","",VLOOKUP(Table2[[#This Row],[الكود]],Data[],2,0))</f>
        <v/>
      </c>
      <c r="G69" s="10" t="str">
        <f>IF(Table2[[#This Row],[مبلغ التأمين]]="","",Table2[[#This Row],[مبلغ التأمين]]*11%)</f>
        <v/>
      </c>
      <c r="H69" s="11" t="str">
        <f>IF(Table2[[#This Row],[مبلغ التأمين]]="","",Table2[[#This Row],[مبلغ التأمين]]*18.75%)</f>
        <v/>
      </c>
    </row>
    <row r="70" spans="1:8" ht="16.8" x14ac:dyDescent="0.25">
      <c r="A70" s="9"/>
      <c r="B70" s="10"/>
      <c r="C70" s="10"/>
      <c r="D70" s="10"/>
      <c r="E70" s="10"/>
      <c r="F70" s="10" t="str">
        <f>IF(Table2[[#This Row],[الكود]]="","",VLOOKUP(Table2[[#This Row],[الكود]],Data[],2,0))</f>
        <v/>
      </c>
      <c r="G70" s="10" t="str">
        <f>IF(Table2[[#This Row],[مبلغ التأمين]]="","",Table2[[#This Row],[مبلغ التأمين]]*11%)</f>
        <v/>
      </c>
      <c r="H70" s="11" t="str">
        <f>IF(Table2[[#This Row],[مبلغ التأمين]]="","",Table2[[#This Row],[مبلغ التأمين]]*18.75%)</f>
        <v/>
      </c>
    </row>
    <row r="71" spans="1:8" ht="16.8" x14ac:dyDescent="0.25">
      <c r="A71" s="9"/>
      <c r="B71" s="10"/>
      <c r="C71" s="10"/>
      <c r="D71" s="10"/>
      <c r="E71" s="10"/>
      <c r="F71" s="10" t="str">
        <f>IF(Table2[[#This Row],[الكود]]="","",VLOOKUP(Table2[[#This Row],[الكود]],Data[],2,0))</f>
        <v/>
      </c>
      <c r="G71" s="10" t="str">
        <f>IF(Table2[[#This Row],[مبلغ التأمين]]="","",Table2[[#This Row],[مبلغ التأمين]]*11%)</f>
        <v/>
      </c>
      <c r="H71" s="11" t="str">
        <f>IF(Table2[[#This Row],[مبلغ التأمين]]="","",Table2[[#This Row],[مبلغ التأمين]]*18.75%)</f>
        <v/>
      </c>
    </row>
    <row r="72" spans="1:8" ht="16.8" x14ac:dyDescent="0.25">
      <c r="A72" s="9"/>
      <c r="B72" s="10"/>
      <c r="C72" s="10"/>
      <c r="D72" s="10"/>
      <c r="E72" s="10"/>
      <c r="F72" s="10" t="str">
        <f>IF(Table2[[#This Row],[الكود]]="","",VLOOKUP(Table2[[#This Row],[الكود]],Data[],2,0))</f>
        <v/>
      </c>
      <c r="G72" s="10" t="str">
        <f>IF(Table2[[#This Row],[مبلغ التأمين]]="","",Table2[[#This Row],[مبلغ التأمين]]*11%)</f>
        <v/>
      </c>
      <c r="H72" s="11" t="str">
        <f>IF(Table2[[#This Row],[مبلغ التأمين]]="","",Table2[[#This Row],[مبلغ التأمين]]*18.75%)</f>
        <v/>
      </c>
    </row>
    <row r="73" spans="1:8" ht="16.8" x14ac:dyDescent="0.25">
      <c r="A73" s="9"/>
      <c r="B73" s="10"/>
      <c r="C73" s="10"/>
      <c r="D73" s="10"/>
      <c r="E73" s="10"/>
      <c r="F73" s="10" t="str">
        <f>IF(Table2[[#This Row],[الكود]]="","",VLOOKUP(Table2[[#This Row],[الكود]],Data[],2,0))</f>
        <v/>
      </c>
      <c r="G73" s="10" t="str">
        <f>IF(Table2[[#This Row],[مبلغ التأمين]]="","",Table2[[#This Row],[مبلغ التأمين]]*11%)</f>
        <v/>
      </c>
      <c r="H73" s="11" t="str">
        <f>IF(Table2[[#This Row],[مبلغ التأمين]]="","",Table2[[#This Row],[مبلغ التأمين]]*18.75%)</f>
        <v/>
      </c>
    </row>
    <row r="74" spans="1:8" ht="16.8" x14ac:dyDescent="0.25">
      <c r="A74" s="9"/>
      <c r="B74" s="10"/>
      <c r="C74" s="10"/>
      <c r="D74" s="10"/>
      <c r="E74" s="10"/>
      <c r="F74" s="10" t="str">
        <f>IF(Table2[[#This Row],[الكود]]="","",VLOOKUP(Table2[[#This Row],[الكود]],Data[],2,0))</f>
        <v/>
      </c>
      <c r="G74" s="10" t="str">
        <f>IF(Table2[[#This Row],[مبلغ التأمين]]="","",Table2[[#This Row],[مبلغ التأمين]]*11%)</f>
        <v/>
      </c>
      <c r="H74" s="11" t="str">
        <f>IF(Table2[[#This Row],[مبلغ التأمين]]="","",Table2[[#This Row],[مبلغ التأمين]]*18.75%)</f>
        <v/>
      </c>
    </row>
    <row r="75" spans="1:8" ht="16.8" x14ac:dyDescent="0.25">
      <c r="A75" s="9"/>
      <c r="B75" s="10"/>
      <c r="C75" s="10"/>
      <c r="D75" s="10"/>
      <c r="E75" s="10"/>
      <c r="F75" s="10" t="str">
        <f>IF(Table2[[#This Row],[الكود]]="","",VLOOKUP(Table2[[#This Row],[الكود]],Data[],2,0))</f>
        <v/>
      </c>
      <c r="G75" s="10" t="str">
        <f>IF(Table2[[#This Row],[مبلغ التأمين]]="","",Table2[[#This Row],[مبلغ التأمين]]*11%)</f>
        <v/>
      </c>
      <c r="H75" s="11" t="str">
        <f>IF(Table2[[#This Row],[مبلغ التأمين]]="","",Table2[[#This Row],[مبلغ التأمين]]*18.75%)</f>
        <v/>
      </c>
    </row>
    <row r="76" spans="1:8" ht="16.8" x14ac:dyDescent="0.25">
      <c r="A76" s="9"/>
      <c r="B76" s="10"/>
      <c r="C76" s="10"/>
      <c r="D76" s="10"/>
      <c r="E76" s="10"/>
      <c r="F76" s="10" t="str">
        <f>IF(Table2[[#This Row],[الكود]]="","",VLOOKUP(Table2[[#This Row],[الكود]],Data[],2,0))</f>
        <v/>
      </c>
      <c r="G76" s="10" t="str">
        <f>IF(Table2[[#This Row],[مبلغ التأمين]]="","",Table2[[#This Row],[مبلغ التأمين]]*11%)</f>
        <v/>
      </c>
      <c r="H76" s="11" t="str">
        <f>IF(Table2[[#This Row],[مبلغ التأمين]]="","",Table2[[#This Row],[مبلغ التأمين]]*18.75%)</f>
        <v/>
      </c>
    </row>
    <row r="77" spans="1:8" ht="16.8" x14ac:dyDescent="0.25">
      <c r="A77" s="9"/>
      <c r="B77" s="10"/>
      <c r="C77" s="10"/>
      <c r="D77" s="10"/>
      <c r="E77" s="10"/>
      <c r="F77" s="10" t="str">
        <f>IF(Table2[[#This Row],[الكود]]="","",VLOOKUP(Table2[[#This Row],[الكود]],Data[],2,0))</f>
        <v/>
      </c>
      <c r="G77" s="10" t="str">
        <f>IF(Table2[[#This Row],[مبلغ التأمين]]="","",Table2[[#This Row],[مبلغ التأمين]]*11%)</f>
        <v/>
      </c>
      <c r="H77" s="11" t="str">
        <f>IF(Table2[[#This Row],[مبلغ التأمين]]="","",Table2[[#This Row],[مبلغ التأمين]]*18.75%)</f>
        <v/>
      </c>
    </row>
    <row r="78" spans="1:8" ht="16.8" x14ac:dyDescent="0.25">
      <c r="A78" s="9"/>
      <c r="B78" s="10"/>
      <c r="C78" s="10"/>
      <c r="D78" s="10"/>
      <c r="E78" s="10"/>
      <c r="F78" s="10" t="str">
        <f>IF(Table2[[#This Row],[الكود]]="","",VLOOKUP(Table2[[#This Row],[الكود]],Data[],2,0))</f>
        <v/>
      </c>
      <c r="G78" s="10" t="str">
        <f>IF(Table2[[#This Row],[مبلغ التأمين]]="","",Table2[[#This Row],[مبلغ التأمين]]*11%)</f>
        <v/>
      </c>
      <c r="H78" s="11" t="str">
        <f>IF(Table2[[#This Row],[مبلغ التأمين]]="","",Table2[[#This Row],[مبلغ التأمين]]*18.75%)</f>
        <v/>
      </c>
    </row>
    <row r="79" spans="1:8" ht="16.8" x14ac:dyDescent="0.25">
      <c r="A79" s="9"/>
      <c r="B79" s="10"/>
      <c r="C79" s="10"/>
      <c r="D79" s="10"/>
      <c r="E79" s="10"/>
      <c r="F79" s="10" t="str">
        <f>IF(Table2[[#This Row],[الكود]]="","",VLOOKUP(Table2[[#This Row],[الكود]],Data[],2,0))</f>
        <v/>
      </c>
      <c r="G79" s="10" t="str">
        <f>IF(Table2[[#This Row],[مبلغ التأمين]]="","",Table2[[#This Row],[مبلغ التأمين]]*11%)</f>
        <v/>
      </c>
      <c r="H79" s="11" t="str">
        <f>IF(Table2[[#This Row],[مبلغ التأمين]]="","",Table2[[#This Row],[مبلغ التأمين]]*18.75%)</f>
        <v/>
      </c>
    </row>
    <row r="80" spans="1:8" ht="16.8" x14ac:dyDescent="0.25">
      <c r="A80" s="9"/>
      <c r="B80" s="10"/>
      <c r="C80" s="10"/>
      <c r="D80" s="10"/>
      <c r="E80" s="10"/>
      <c r="F80" s="10" t="str">
        <f>IF(Table2[[#This Row],[الكود]]="","",VLOOKUP(Table2[[#This Row],[الكود]],Data[],2,0))</f>
        <v/>
      </c>
      <c r="G80" s="10" t="str">
        <f>IF(Table2[[#This Row],[مبلغ التأمين]]="","",Table2[[#This Row],[مبلغ التأمين]]*11%)</f>
        <v/>
      </c>
      <c r="H80" s="11" t="str">
        <f>IF(Table2[[#This Row],[مبلغ التأمين]]="","",Table2[[#This Row],[مبلغ التأمين]]*18.75%)</f>
        <v/>
      </c>
    </row>
    <row r="81" spans="1:8" ht="16.8" x14ac:dyDescent="0.25">
      <c r="A81" s="9"/>
      <c r="B81" s="10"/>
      <c r="C81" s="10"/>
      <c r="D81" s="10"/>
      <c r="E81" s="10"/>
      <c r="F81" s="10" t="str">
        <f>IF(Table2[[#This Row],[الكود]]="","",VLOOKUP(Table2[[#This Row],[الكود]],Data[],2,0))</f>
        <v/>
      </c>
      <c r="G81" s="10" t="str">
        <f>IF(Table2[[#This Row],[مبلغ التأمين]]="","",Table2[[#This Row],[مبلغ التأمين]]*11%)</f>
        <v/>
      </c>
      <c r="H81" s="11" t="str">
        <f>IF(Table2[[#This Row],[مبلغ التأمين]]="","",Table2[[#This Row],[مبلغ التأمين]]*18.75%)</f>
        <v/>
      </c>
    </row>
    <row r="82" spans="1:8" ht="16.8" x14ac:dyDescent="0.25">
      <c r="A82" s="9"/>
      <c r="B82" s="10"/>
      <c r="C82" s="10"/>
      <c r="D82" s="10"/>
      <c r="E82" s="10"/>
      <c r="F82" s="10" t="str">
        <f>IF(Table2[[#This Row],[الكود]]="","",VLOOKUP(Table2[[#This Row],[الكود]],Data[],2,0))</f>
        <v/>
      </c>
      <c r="G82" s="10" t="str">
        <f>IF(Table2[[#This Row],[مبلغ التأمين]]="","",Table2[[#This Row],[مبلغ التأمين]]*11%)</f>
        <v/>
      </c>
      <c r="H82" s="11" t="str">
        <f>IF(Table2[[#This Row],[مبلغ التأمين]]="","",Table2[[#This Row],[مبلغ التأمين]]*18.75%)</f>
        <v/>
      </c>
    </row>
    <row r="83" spans="1:8" ht="16.8" x14ac:dyDescent="0.25">
      <c r="A83" s="9"/>
      <c r="B83" s="10"/>
      <c r="C83" s="10"/>
      <c r="D83" s="10"/>
      <c r="E83" s="10"/>
      <c r="F83" s="10" t="str">
        <f>IF(Table2[[#This Row],[الكود]]="","",VLOOKUP(Table2[[#This Row],[الكود]],Data[],2,0))</f>
        <v/>
      </c>
      <c r="G83" s="10" t="str">
        <f>IF(Table2[[#This Row],[مبلغ التأمين]]="","",Table2[[#This Row],[مبلغ التأمين]]*11%)</f>
        <v/>
      </c>
      <c r="H83" s="11" t="str">
        <f>IF(Table2[[#This Row],[مبلغ التأمين]]="","",Table2[[#This Row],[مبلغ التأمين]]*18.75%)</f>
        <v/>
      </c>
    </row>
    <row r="84" spans="1:8" ht="16.8" x14ac:dyDescent="0.25">
      <c r="A84" s="9"/>
      <c r="B84" s="10"/>
      <c r="C84" s="10"/>
      <c r="D84" s="10"/>
      <c r="E84" s="10"/>
      <c r="F84" s="10" t="str">
        <f>IF(Table2[[#This Row],[الكود]]="","",VLOOKUP(Table2[[#This Row],[الكود]],Data[],2,0))</f>
        <v/>
      </c>
      <c r="G84" s="10" t="str">
        <f>IF(Table2[[#This Row],[مبلغ التأمين]]="","",Table2[[#This Row],[مبلغ التأمين]]*11%)</f>
        <v/>
      </c>
      <c r="H84" s="11" t="str">
        <f>IF(Table2[[#This Row],[مبلغ التأمين]]="","",Table2[[#This Row],[مبلغ التأمين]]*18.75%)</f>
        <v/>
      </c>
    </row>
    <row r="85" spans="1:8" ht="16.8" x14ac:dyDescent="0.25">
      <c r="A85" s="9"/>
      <c r="B85" s="10"/>
      <c r="C85" s="10"/>
      <c r="D85" s="10"/>
      <c r="E85" s="10"/>
      <c r="F85" s="10" t="str">
        <f>IF(Table2[[#This Row],[الكود]]="","",VLOOKUP(Table2[[#This Row],[الكود]],Data[],2,0))</f>
        <v/>
      </c>
      <c r="G85" s="10" t="str">
        <f>IF(Table2[[#This Row],[مبلغ التأمين]]="","",Table2[[#This Row],[مبلغ التأمين]]*11%)</f>
        <v/>
      </c>
      <c r="H85" s="11" t="str">
        <f>IF(Table2[[#This Row],[مبلغ التأمين]]="","",Table2[[#This Row],[مبلغ التأمين]]*18.75%)</f>
        <v/>
      </c>
    </row>
    <row r="86" spans="1:8" ht="16.8" x14ac:dyDescent="0.25">
      <c r="A86" s="9"/>
      <c r="B86" s="10"/>
      <c r="C86" s="10"/>
      <c r="D86" s="10"/>
      <c r="E86" s="10"/>
      <c r="F86" s="10" t="str">
        <f>IF(Table2[[#This Row],[الكود]]="","",VLOOKUP(Table2[[#This Row],[الكود]],Data[],2,0))</f>
        <v/>
      </c>
      <c r="G86" s="10" t="str">
        <f>IF(Table2[[#This Row],[مبلغ التأمين]]="","",Table2[[#This Row],[مبلغ التأمين]]*11%)</f>
        <v/>
      </c>
      <c r="H86" s="11" t="str">
        <f>IF(Table2[[#This Row],[مبلغ التأمين]]="","",Table2[[#This Row],[مبلغ التأمين]]*18.75%)</f>
        <v/>
      </c>
    </row>
    <row r="87" spans="1:8" ht="16.8" x14ac:dyDescent="0.25">
      <c r="A87" s="9"/>
      <c r="B87" s="10"/>
      <c r="C87" s="10"/>
      <c r="D87" s="10"/>
      <c r="E87" s="10"/>
      <c r="F87" s="10" t="str">
        <f>IF(Table2[[#This Row],[الكود]]="","",VLOOKUP(Table2[[#This Row],[الكود]],Data[],2,0))</f>
        <v/>
      </c>
      <c r="G87" s="10" t="str">
        <f>IF(Table2[[#This Row],[مبلغ التأمين]]="","",Table2[[#This Row],[مبلغ التأمين]]*11%)</f>
        <v/>
      </c>
      <c r="H87" s="11" t="str">
        <f>IF(Table2[[#This Row],[مبلغ التأمين]]="","",Table2[[#This Row],[مبلغ التأمين]]*18.75%)</f>
        <v/>
      </c>
    </row>
    <row r="88" spans="1:8" ht="16.8" x14ac:dyDescent="0.25">
      <c r="A88" s="9"/>
      <c r="B88" s="10"/>
      <c r="C88" s="10"/>
      <c r="D88" s="10"/>
      <c r="E88" s="10"/>
      <c r="F88" s="10" t="str">
        <f>IF(Table2[[#This Row],[الكود]]="","",VLOOKUP(Table2[[#This Row],[الكود]],Data[],2,0))</f>
        <v/>
      </c>
      <c r="G88" s="10" t="str">
        <f>IF(Table2[[#This Row],[مبلغ التأمين]]="","",Table2[[#This Row],[مبلغ التأمين]]*11%)</f>
        <v/>
      </c>
      <c r="H88" s="11" t="str">
        <f>IF(Table2[[#This Row],[مبلغ التأمين]]="","",Table2[[#This Row],[مبلغ التأمين]]*18.75%)</f>
        <v/>
      </c>
    </row>
    <row r="89" spans="1:8" ht="16.8" x14ac:dyDescent="0.25">
      <c r="A89" s="9"/>
      <c r="B89" s="10"/>
      <c r="C89" s="10"/>
      <c r="D89" s="10"/>
      <c r="E89" s="10"/>
      <c r="F89" s="10" t="str">
        <f>IF(Table2[[#This Row],[الكود]]="","",VLOOKUP(Table2[[#This Row],[الكود]],Data[],2,0))</f>
        <v/>
      </c>
      <c r="G89" s="10" t="str">
        <f>IF(Table2[[#This Row],[مبلغ التأمين]]="","",Table2[[#This Row],[مبلغ التأمين]]*11%)</f>
        <v/>
      </c>
      <c r="H89" s="11" t="str">
        <f>IF(Table2[[#This Row],[مبلغ التأمين]]="","",Table2[[#This Row],[مبلغ التأمين]]*18.75%)</f>
        <v/>
      </c>
    </row>
    <row r="90" spans="1:8" ht="16.8" x14ac:dyDescent="0.25">
      <c r="A90" s="9"/>
      <c r="B90" s="10"/>
      <c r="C90" s="10"/>
      <c r="D90" s="10"/>
      <c r="E90" s="10"/>
      <c r="F90" s="10" t="str">
        <f>IF(Table2[[#This Row],[الكود]]="","",VLOOKUP(Table2[[#This Row],[الكود]],Data[],2,0))</f>
        <v/>
      </c>
      <c r="G90" s="10" t="str">
        <f>IF(Table2[[#This Row],[مبلغ التأمين]]="","",Table2[[#This Row],[مبلغ التأمين]]*11%)</f>
        <v/>
      </c>
      <c r="H90" s="11" t="str">
        <f>IF(Table2[[#This Row],[مبلغ التأمين]]="","",Table2[[#This Row],[مبلغ التأمين]]*18.75%)</f>
        <v/>
      </c>
    </row>
    <row r="91" spans="1:8" ht="16.8" x14ac:dyDescent="0.25">
      <c r="A91" s="9"/>
      <c r="B91" s="10"/>
      <c r="C91" s="10"/>
      <c r="D91" s="10"/>
      <c r="E91" s="10"/>
      <c r="F91" s="10" t="str">
        <f>IF(Table2[[#This Row],[الكود]]="","",VLOOKUP(Table2[[#This Row],[الكود]],Data[],2,0))</f>
        <v/>
      </c>
      <c r="G91" s="10" t="str">
        <f>IF(Table2[[#This Row],[مبلغ التأمين]]="","",Table2[[#This Row],[مبلغ التأمين]]*11%)</f>
        <v/>
      </c>
      <c r="H91" s="11" t="str">
        <f>IF(Table2[[#This Row],[مبلغ التأمين]]="","",Table2[[#This Row],[مبلغ التأمين]]*18.75%)</f>
        <v/>
      </c>
    </row>
    <row r="92" spans="1:8" ht="16.8" x14ac:dyDescent="0.25">
      <c r="A92" s="9"/>
      <c r="B92" s="10"/>
      <c r="C92" s="10"/>
      <c r="D92" s="10"/>
      <c r="E92" s="10"/>
      <c r="F92" s="10" t="str">
        <f>IF(Table2[[#This Row],[الكود]]="","",VLOOKUP(Table2[[#This Row],[الكود]],Data[],2,0))</f>
        <v/>
      </c>
      <c r="G92" s="10" t="str">
        <f>IF(Table2[[#This Row],[مبلغ التأمين]]="","",Table2[[#This Row],[مبلغ التأمين]]*11%)</f>
        <v/>
      </c>
      <c r="H92" s="11" t="str">
        <f>IF(Table2[[#This Row],[مبلغ التأمين]]="","",Table2[[#This Row],[مبلغ التأمين]]*18.75%)</f>
        <v/>
      </c>
    </row>
    <row r="93" spans="1:8" ht="16.8" x14ac:dyDescent="0.25">
      <c r="A93" s="9"/>
      <c r="B93" s="10"/>
      <c r="C93" s="10"/>
      <c r="D93" s="10"/>
      <c r="E93" s="10"/>
      <c r="F93" s="10" t="str">
        <f>IF(Table2[[#This Row],[الكود]]="","",VLOOKUP(Table2[[#This Row],[الكود]],Data[],2,0))</f>
        <v/>
      </c>
      <c r="G93" s="10" t="str">
        <f>IF(Table2[[#This Row],[مبلغ التأمين]]="","",Table2[[#This Row],[مبلغ التأمين]]*11%)</f>
        <v/>
      </c>
      <c r="H93" s="11" t="str">
        <f>IF(Table2[[#This Row],[مبلغ التأمين]]="","",Table2[[#This Row],[مبلغ التأمين]]*18.75%)</f>
        <v/>
      </c>
    </row>
    <row r="94" spans="1:8" ht="16.8" x14ac:dyDescent="0.25">
      <c r="A94" s="9"/>
      <c r="B94" s="10"/>
      <c r="C94" s="10"/>
      <c r="D94" s="10"/>
      <c r="E94" s="10"/>
      <c r="F94" s="10" t="str">
        <f>IF(Table2[[#This Row],[الكود]]="","",VLOOKUP(Table2[[#This Row],[الكود]],Data[],2,0))</f>
        <v/>
      </c>
      <c r="G94" s="10" t="str">
        <f>IF(Table2[[#This Row],[مبلغ التأمين]]="","",Table2[[#This Row],[مبلغ التأمين]]*11%)</f>
        <v/>
      </c>
      <c r="H94" s="11" t="str">
        <f>IF(Table2[[#This Row],[مبلغ التأمين]]="","",Table2[[#This Row],[مبلغ التأمين]]*18.75%)</f>
        <v/>
      </c>
    </row>
    <row r="95" spans="1:8" ht="16.8" x14ac:dyDescent="0.25">
      <c r="A95" s="9"/>
      <c r="B95" s="10"/>
      <c r="C95" s="10"/>
      <c r="D95" s="10"/>
      <c r="E95" s="10"/>
      <c r="F95" s="10" t="str">
        <f>IF(Table2[[#This Row],[الكود]]="","",VLOOKUP(Table2[[#This Row],[الكود]],Data[],2,0))</f>
        <v/>
      </c>
      <c r="G95" s="10" t="str">
        <f>IF(Table2[[#This Row],[مبلغ التأمين]]="","",Table2[[#This Row],[مبلغ التأمين]]*11%)</f>
        <v/>
      </c>
      <c r="H95" s="11" t="str">
        <f>IF(Table2[[#This Row],[مبلغ التأمين]]="","",Table2[[#This Row],[مبلغ التأمين]]*18.75%)</f>
        <v/>
      </c>
    </row>
    <row r="96" spans="1:8" ht="16.8" x14ac:dyDescent="0.25">
      <c r="A96" s="9"/>
      <c r="B96" s="10"/>
      <c r="C96" s="10"/>
      <c r="D96" s="10"/>
      <c r="E96" s="10"/>
      <c r="F96" s="10" t="str">
        <f>IF(Table2[[#This Row],[الكود]]="","",VLOOKUP(Table2[[#This Row],[الكود]],Data[],2,0))</f>
        <v/>
      </c>
      <c r="G96" s="10" t="str">
        <f>IF(Table2[[#This Row],[مبلغ التأمين]]="","",Table2[[#This Row],[مبلغ التأمين]]*11%)</f>
        <v/>
      </c>
      <c r="H96" s="11" t="str">
        <f>IF(Table2[[#This Row],[مبلغ التأمين]]="","",Table2[[#This Row],[مبلغ التأمين]]*18.75%)</f>
        <v/>
      </c>
    </row>
    <row r="97" spans="1:8" ht="16.8" x14ac:dyDescent="0.25">
      <c r="A97" s="9"/>
      <c r="B97" s="10"/>
      <c r="C97" s="10"/>
      <c r="D97" s="10"/>
      <c r="E97" s="10"/>
      <c r="F97" s="10" t="str">
        <f>IF(Table2[[#This Row],[الكود]]="","",VLOOKUP(Table2[[#This Row],[الكود]],Data[],2,0))</f>
        <v/>
      </c>
      <c r="G97" s="10" t="str">
        <f>IF(Table2[[#This Row],[مبلغ التأمين]]="","",Table2[[#This Row],[مبلغ التأمين]]*11%)</f>
        <v/>
      </c>
      <c r="H97" s="11" t="str">
        <f>IF(Table2[[#This Row],[مبلغ التأمين]]="","",Table2[[#This Row],[مبلغ التأمين]]*18.75%)</f>
        <v/>
      </c>
    </row>
    <row r="98" spans="1:8" ht="16.8" x14ac:dyDescent="0.25">
      <c r="A98" s="9"/>
      <c r="B98" s="10"/>
      <c r="C98" s="10"/>
      <c r="D98" s="10"/>
      <c r="E98" s="10"/>
      <c r="F98" s="10" t="str">
        <f>IF(Table2[[#This Row],[الكود]]="","",VLOOKUP(Table2[[#This Row],[الكود]],Data[],2,0))</f>
        <v/>
      </c>
      <c r="G98" s="10" t="str">
        <f>IF(Table2[[#This Row],[مبلغ التأمين]]="","",Table2[[#This Row],[مبلغ التأمين]]*11%)</f>
        <v/>
      </c>
      <c r="H98" s="11" t="str">
        <f>IF(Table2[[#This Row],[مبلغ التأمين]]="","",Table2[[#This Row],[مبلغ التأمين]]*18.75%)</f>
        <v/>
      </c>
    </row>
    <row r="99" spans="1:8" ht="16.8" x14ac:dyDescent="0.25">
      <c r="A99" s="9"/>
      <c r="B99" s="10"/>
      <c r="C99" s="10"/>
      <c r="D99" s="10"/>
      <c r="E99" s="10"/>
      <c r="F99" s="10" t="str">
        <f>IF(Table2[[#This Row],[الكود]]="","",VLOOKUP(Table2[[#This Row],[الكود]],Data[],2,0))</f>
        <v/>
      </c>
      <c r="G99" s="10" t="str">
        <f>IF(Table2[[#This Row],[مبلغ التأمين]]="","",Table2[[#This Row],[مبلغ التأمين]]*11%)</f>
        <v/>
      </c>
      <c r="H99" s="11" t="str">
        <f>IF(Table2[[#This Row],[مبلغ التأمين]]="","",Table2[[#This Row],[مبلغ التأمين]]*18.75%)</f>
        <v/>
      </c>
    </row>
    <row r="100" spans="1:8" ht="16.8" x14ac:dyDescent="0.25">
      <c r="A100" s="9"/>
      <c r="B100" s="10"/>
      <c r="C100" s="10"/>
      <c r="D100" s="10"/>
      <c r="E100" s="10"/>
      <c r="F100" s="10" t="str">
        <f>IF(Table2[[#This Row],[الكود]]="","",VLOOKUP(Table2[[#This Row],[الكود]],Data[],2,0))</f>
        <v/>
      </c>
      <c r="G100" s="10" t="str">
        <f>IF(Table2[[#This Row],[مبلغ التأمين]]="","",Table2[[#This Row],[مبلغ التأمين]]*11%)</f>
        <v/>
      </c>
      <c r="H100" s="11" t="str">
        <f>IF(Table2[[#This Row],[مبلغ التأمين]]="","",Table2[[#This Row],[مبلغ التأمين]]*18.75%)</f>
        <v/>
      </c>
    </row>
    <row r="101" spans="1:8" ht="16.8" x14ac:dyDescent="0.25">
      <c r="A101" s="9"/>
      <c r="B101" s="10"/>
      <c r="C101" s="10"/>
      <c r="D101" s="10"/>
      <c r="E101" s="10"/>
      <c r="F101" s="10" t="str">
        <f>IF(Table2[[#This Row],[الكود]]="","",VLOOKUP(Table2[[#This Row],[الكود]],Data[],2,0))</f>
        <v/>
      </c>
      <c r="G101" s="10" t="str">
        <f>IF(Table2[[#This Row],[مبلغ التأمين]]="","",Table2[[#This Row],[مبلغ التأمين]]*11%)</f>
        <v/>
      </c>
      <c r="H101" s="11" t="str">
        <f>IF(Table2[[#This Row],[مبلغ التأمين]]="","",Table2[[#This Row],[مبلغ التأمين]]*18.75%)</f>
        <v/>
      </c>
    </row>
    <row r="102" spans="1:8" ht="16.8" x14ac:dyDescent="0.25">
      <c r="A102" s="9"/>
      <c r="B102" s="10"/>
      <c r="C102" s="10"/>
      <c r="D102" s="10"/>
      <c r="E102" s="10"/>
      <c r="F102" s="10" t="str">
        <f>IF(Table2[[#This Row],[الكود]]="","",VLOOKUP(Table2[[#This Row],[الكود]],Data[],2,0))</f>
        <v/>
      </c>
      <c r="G102" s="10" t="str">
        <f>IF(Table2[[#This Row],[مبلغ التأمين]]="","",Table2[[#This Row],[مبلغ التأمين]]*11%)</f>
        <v/>
      </c>
      <c r="H102" s="11" t="str">
        <f>IF(Table2[[#This Row],[مبلغ التأمين]]="","",Table2[[#This Row],[مبلغ التأمين]]*18.75%)</f>
        <v/>
      </c>
    </row>
    <row r="103" spans="1:8" ht="16.8" x14ac:dyDescent="0.25">
      <c r="A103" s="9"/>
      <c r="B103" s="10"/>
      <c r="C103" s="10"/>
      <c r="D103" s="10"/>
      <c r="E103" s="10"/>
      <c r="F103" s="10" t="str">
        <f>IF(Table2[[#This Row],[الكود]]="","",VLOOKUP(Table2[[#This Row],[الكود]],Data[],2,0))</f>
        <v/>
      </c>
      <c r="G103" s="10" t="str">
        <f>IF(Table2[[#This Row],[مبلغ التأمين]]="","",Table2[[#This Row],[مبلغ التأمين]]*11%)</f>
        <v/>
      </c>
      <c r="H103" s="11" t="str">
        <f>IF(Table2[[#This Row],[مبلغ التأمين]]="","",Table2[[#This Row],[مبلغ التأمين]]*18.75%)</f>
        <v/>
      </c>
    </row>
    <row r="104" spans="1:8" ht="16.8" x14ac:dyDescent="0.25">
      <c r="A104" s="9"/>
      <c r="B104" s="10"/>
      <c r="C104" s="10"/>
      <c r="D104" s="10"/>
      <c r="E104" s="10"/>
      <c r="F104" s="10" t="str">
        <f>IF(Table2[[#This Row],[الكود]]="","",VLOOKUP(Table2[[#This Row],[الكود]],Data[],2,0))</f>
        <v/>
      </c>
      <c r="G104" s="10" t="str">
        <f>IF(Table2[[#This Row],[مبلغ التأمين]]="","",Table2[[#This Row],[مبلغ التأمين]]*11%)</f>
        <v/>
      </c>
      <c r="H104" s="11" t="str">
        <f>IF(Table2[[#This Row],[مبلغ التأمين]]="","",Table2[[#This Row],[مبلغ التأمين]]*18.75%)</f>
        <v/>
      </c>
    </row>
    <row r="105" spans="1:8" ht="16.8" x14ac:dyDescent="0.25">
      <c r="A105" s="9"/>
      <c r="B105" s="10"/>
      <c r="C105" s="10"/>
      <c r="D105" s="10"/>
      <c r="E105" s="10"/>
      <c r="F105" s="10" t="str">
        <f>IF(Table2[[#This Row],[الكود]]="","",VLOOKUP(Table2[[#This Row],[الكود]],Data[],2,0))</f>
        <v/>
      </c>
      <c r="G105" s="10" t="str">
        <f>IF(Table2[[#This Row],[مبلغ التأمين]]="","",Table2[[#This Row],[مبلغ التأمين]]*11%)</f>
        <v/>
      </c>
      <c r="H105" s="11" t="str">
        <f>IF(Table2[[#This Row],[مبلغ التأمين]]="","",Table2[[#This Row],[مبلغ التأمين]]*18.75%)</f>
        <v/>
      </c>
    </row>
    <row r="106" spans="1:8" ht="16.8" x14ac:dyDescent="0.25">
      <c r="A106" s="9"/>
      <c r="B106" s="10"/>
      <c r="C106" s="10"/>
      <c r="D106" s="10"/>
      <c r="E106" s="10"/>
      <c r="F106" s="10" t="str">
        <f>IF(Table2[[#This Row],[الكود]]="","",VLOOKUP(Table2[[#This Row],[الكود]],Data[],2,0))</f>
        <v/>
      </c>
      <c r="G106" s="10" t="str">
        <f>IF(Table2[[#This Row],[مبلغ التأمين]]="","",Table2[[#This Row],[مبلغ التأمين]]*11%)</f>
        <v/>
      </c>
      <c r="H106" s="11" t="str">
        <f>IF(Table2[[#This Row],[مبلغ التأمين]]="","",Table2[[#This Row],[مبلغ التأمين]]*18.75%)</f>
        <v/>
      </c>
    </row>
    <row r="107" spans="1:8" ht="16.8" x14ac:dyDescent="0.25">
      <c r="A107" s="9"/>
      <c r="B107" s="10"/>
      <c r="C107" s="10"/>
      <c r="D107" s="10"/>
      <c r="E107" s="10"/>
      <c r="F107" s="10" t="str">
        <f>IF(Table2[[#This Row],[الكود]]="","",VLOOKUP(Table2[[#This Row],[الكود]],Data[],2,0))</f>
        <v/>
      </c>
      <c r="G107" s="10" t="str">
        <f>IF(Table2[[#This Row],[مبلغ التأمين]]="","",Table2[[#This Row],[مبلغ التأمين]]*11%)</f>
        <v/>
      </c>
      <c r="H107" s="11" t="str">
        <f>IF(Table2[[#This Row],[مبلغ التأمين]]="","",Table2[[#This Row],[مبلغ التأمين]]*18.75%)</f>
        <v/>
      </c>
    </row>
    <row r="108" spans="1:8" ht="16.8" x14ac:dyDescent="0.25">
      <c r="A108" s="9"/>
      <c r="B108" s="10"/>
      <c r="C108" s="10"/>
      <c r="D108" s="10"/>
      <c r="E108" s="10"/>
      <c r="F108" s="10" t="str">
        <f>IF(Table2[[#This Row],[الكود]]="","",VLOOKUP(Table2[[#This Row],[الكود]],Data[],2,0))</f>
        <v/>
      </c>
      <c r="G108" s="10" t="str">
        <f>IF(Table2[[#This Row],[مبلغ التأمين]]="","",Table2[[#This Row],[مبلغ التأمين]]*11%)</f>
        <v/>
      </c>
      <c r="H108" s="11" t="str">
        <f>IF(Table2[[#This Row],[مبلغ التأمين]]="","",Table2[[#This Row],[مبلغ التأمين]]*18.75%)</f>
        <v/>
      </c>
    </row>
    <row r="109" spans="1:8" ht="16.8" x14ac:dyDescent="0.25">
      <c r="A109" s="9"/>
      <c r="B109" s="10"/>
      <c r="C109" s="10"/>
      <c r="D109" s="10"/>
      <c r="E109" s="10"/>
      <c r="F109" s="10" t="str">
        <f>IF(Table2[[#This Row],[الكود]]="","",VLOOKUP(Table2[[#This Row],[الكود]],Data[],2,0))</f>
        <v/>
      </c>
      <c r="G109" s="10" t="str">
        <f>IF(Table2[[#This Row],[مبلغ التأمين]]="","",Table2[[#This Row],[مبلغ التأمين]]*11%)</f>
        <v/>
      </c>
      <c r="H109" s="11" t="str">
        <f>IF(Table2[[#This Row],[مبلغ التأمين]]="","",Table2[[#This Row],[مبلغ التأمين]]*18.75%)</f>
        <v/>
      </c>
    </row>
    <row r="110" spans="1:8" ht="16.8" x14ac:dyDescent="0.25">
      <c r="A110" s="9"/>
      <c r="B110" s="10"/>
      <c r="C110" s="10"/>
      <c r="D110" s="10"/>
      <c r="E110" s="10"/>
      <c r="F110" s="10" t="str">
        <f>IF(Table2[[#This Row],[الكود]]="","",VLOOKUP(Table2[[#This Row],[الكود]],Data[],2,0))</f>
        <v/>
      </c>
      <c r="G110" s="10" t="str">
        <f>IF(Table2[[#This Row],[مبلغ التأمين]]="","",Table2[[#This Row],[مبلغ التأمين]]*11%)</f>
        <v/>
      </c>
      <c r="H110" s="11" t="str">
        <f>IF(Table2[[#This Row],[مبلغ التأمين]]="","",Table2[[#This Row],[مبلغ التأمين]]*18.75%)</f>
        <v/>
      </c>
    </row>
    <row r="111" spans="1:8" ht="16.8" x14ac:dyDescent="0.25">
      <c r="A111" s="9"/>
      <c r="B111" s="10"/>
      <c r="C111" s="10"/>
      <c r="D111" s="10"/>
      <c r="E111" s="10"/>
      <c r="F111" s="10" t="str">
        <f>IF(Table2[[#This Row],[الكود]]="","",VLOOKUP(Table2[[#This Row],[الكود]],Data[],2,0))</f>
        <v/>
      </c>
      <c r="G111" s="10" t="str">
        <f>IF(Table2[[#This Row],[مبلغ التأمين]]="","",Table2[[#This Row],[مبلغ التأمين]]*11%)</f>
        <v/>
      </c>
      <c r="H111" s="11" t="str">
        <f>IF(Table2[[#This Row],[مبلغ التأمين]]="","",Table2[[#This Row],[مبلغ التأمين]]*18.75%)</f>
        <v/>
      </c>
    </row>
    <row r="112" spans="1:8" ht="16.8" x14ac:dyDescent="0.25">
      <c r="A112" s="9"/>
      <c r="B112" s="10"/>
      <c r="C112" s="10"/>
      <c r="D112" s="10"/>
      <c r="E112" s="10"/>
      <c r="F112" s="10" t="str">
        <f>IF(Table2[[#This Row],[الكود]]="","",VLOOKUP(Table2[[#This Row],[الكود]],Data[],2,0))</f>
        <v/>
      </c>
      <c r="G112" s="10" t="str">
        <f>IF(Table2[[#This Row],[مبلغ التأمين]]="","",Table2[[#This Row],[مبلغ التأمين]]*11%)</f>
        <v/>
      </c>
      <c r="H112" s="11" t="str">
        <f>IF(Table2[[#This Row],[مبلغ التأمين]]="","",Table2[[#This Row],[مبلغ التأمين]]*18.75%)</f>
        <v/>
      </c>
    </row>
    <row r="113" spans="1:8" ht="16.8" x14ac:dyDescent="0.25">
      <c r="A113" s="9"/>
      <c r="B113" s="10"/>
      <c r="C113" s="10"/>
      <c r="D113" s="10"/>
      <c r="E113" s="10"/>
      <c r="F113" s="10" t="str">
        <f>IF(Table2[[#This Row],[الكود]]="","",VLOOKUP(Table2[[#This Row],[الكود]],Data[],2,0))</f>
        <v/>
      </c>
      <c r="G113" s="10" t="str">
        <f>IF(Table2[[#This Row],[مبلغ التأمين]]="","",Table2[[#This Row],[مبلغ التأمين]]*11%)</f>
        <v/>
      </c>
      <c r="H113" s="11" t="str">
        <f>IF(Table2[[#This Row],[مبلغ التأمين]]="","",Table2[[#This Row],[مبلغ التأمين]]*18.75%)</f>
        <v/>
      </c>
    </row>
    <row r="114" spans="1:8" ht="16.8" x14ac:dyDescent="0.25">
      <c r="A114" s="9"/>
      <c r="B114" s="10"/>
      <c r="C114" s="10"/>
      <c r="D114" s="10"/>
      <c r="E114" s="10"/>
      <c r="F114" s="10" t="str">
        <f>IF(Table2[[#This Row],[الكود]]="","",VLOOKUP(Table2[[#This Row],[الكود]],Data[],2,0))</f>
        <v/>
      </c>
      <c r="G114" s="10" t="str">
        <f>IF(Table2[[#This Row],[مبلغ التأمين]]="","",Table2[[#This Row],[مبلغ التأمين]]*11%)</f>
        <v/>
      </c>
      <c r="H114" s="11" t="str">
        <f>IF(Table2[[#This Row],[مبلغ التأمين]]="","",Table2[[#This Row],[مبلغ التأمين]]*18.75%)</f>
        <v/>
      </c>
    </row>
    <row r="115" spans="1:8" ht="16.8" x14ac:dyDescent="0.25">
      <c r="A115" s="9"/>
      <c r="B115" s="10"/>
      <c r="C115" s="10"/>
      <c r="D115" s="10"/>
      <c r="E115" s="10"/>
      <c r="F115" s="10" t="str">
        <f>IF(Table2[[#This Row],[الكود]]="","",VLOOKUP(Table2[[#This Row],[الكود]],Data[],2,0))</f>
        <v/>
      </c>
      <c r="G115" s="10" t="str">
        <f>IF(Table2[[#This Row],[مبلغ التأمين]]="","",Table2[[#This Row],[مبلغ التأمين]]*11%)</f>
        <v/>
      </c>
      <c r="H115" s="11" t="str">
        <f>IF(Table2[[#This Row],[مبلغ التأمين]]="","",Table2[[#This Row],[مبلغ التأمين]]*18.75%)</f>
        <v/>
      </c>
    </row>
    <row r="116" spans="1:8" ht="16.8" x14ac:dyDescent="0.25">
      <c r="A116" s="9"/>
      <c r="B116" s="10"/>
      <c r="C116" s="10"/>
      <c r="D116" s="10"/>
      <c r="E116" s="10"/>
      <c r="F116" s="10" t="str">
        <f>IF(Table2[[#This Row],[الكود]]="","",VLOOKUP(Table2[[#This Row],[الكود]],Data[],2,0))</f>
        <v/>
      </c>
      <c r="G116" s="10" t="str">
        <f>IF(Table2[[#This Row],[مبلغ التأمين]]="","",Table2[[#This Row],[مبلغ التأمين]]*11%)</f>
        <v/>
      </c>
      <c r="H116" s="11" t="str">
        <f>IF(Table2[[#This Row],[مبلغ التأمين]]="","",Table2[[#This Row],[مبلغ التأمين]]*18.75%)</f>
        <v/>
      </c>
    </row>
    <row r="117" spans="1:8" ht="16.8" x14ac:dyDescent="0.25">
      <c r="A117" s="9"/>
      <c r="B117" s="10"/>
      <c r="C117" s="10"/>
      <c r="D117" s="10"/>
      <c r="E117" s="10"/>
      <c r="F117" s="10" t="str">
        <f>IF(Table2[[#This Row],[الكود]]="","",VLOOKUP(Table2[[#This Row],[الكود]],Data[],2,0))</f>
        <v/>
      </c>
      <c r="G117" s="10" t="str">
        <f>IF(Table2[[#This Row],[مبلغ التأمين]]="","",Table2[[#This Row],[مبلغ التأمين]]*11%)</f>
        <v/>
      </c>
      <c r="H117" s="11" t="str">
        <f>IF(Table2[[#This Row],[مبلغ التأمين]]="","",Table2[[#This Row],[مبلغ التأمين]]*18.75%)</f>
        <v/>
      </c>
    </row>
    <row r="118" spans="1:8" ht="16.8" x14ac:dyDescent="0.25">
      <c r="A118" s="9"/>
      <c r="B118" s="10"/>
      <c r="C118" s="10"/>
      <c r="D118" s="10"/>
      <c r="E118" s="10"/>
      <c r="F118" s="10" t="str">
        <f>IF(Table2[[#This Row],[الكود]]="","",VLOOKUP(Table2[[#This Row],[الكود]],Data[],2,0))</f>
        <v/>
      </c>
      <c r="G118" s="10" t="str">
        <f>IF(Table2[[#This Row],[مبلغ التأمين]]="","",Table2[[#This Row],[مبلغ التأمين]]*11%)</f>
        <v/>
      </c>
      <c r="H118" s="11" t="str">
        <f>IF(Table2[[#This Row],[مبلغ التأمين]]="","",Table2[[#This Row],[مبلغ التأمين]]*18.75%)</f>
        <v/>
      </c>
    </row>
    <row r="119" spans="1:8" ht="16.8" x14ac:dyDescent="0.25">
      <c r="A119" s="12"/>
      <c r="B119" s="13"/>
      <c r="C119" s="13"/>
      <c r="D119" s="13"/>
      <c r="E119" s="13"/>
      <c r="F119" s="13" t="str">
        <f>IF(Table2[[#This Row],[الكود]]="","",VLOOKUP(Table2[[#This Row],[الكود]],Data[],2,0))</f>
        <v/>
      </c>
      <c r="G119" s="13" t="str">
        <f>IF(Table2[[#This Row],[مبلغ التأمين]]="","",Table2[[#This Row],[مبلغ التأمين]]*11%)</f>
        <v/>
      </c>
      <c r="H119" s="14" t="str">
        <f>IF(Table2[[#This Row],[مبلغ التأمين]]="","",Table2[[#This Row],[مبلغ التأمين]]*18.75%)</f>
        <v/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EDC605-A259-4714-B04D-C1D65F1133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Data</vt:lpstr>
      <vt:lpstr>خطوات العمل</vt:lpstr>
      <vt:lpstr>تقرير الحاج عبد القادر</vt:lpstr>
      <vt:lpstr>المؤمن عليهم فى الدولية</vt:lpstr>
      <vt:lpstr>من سيتم التامين عليه أورينت</vt:lpstr>
      <vt:lpstr>تم التأمين عليه فى أورينت</vt:lpstr>
      <vt:lpstr>'خطوات العمل'!Print_Area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Administrator@ELDAWLIYA_SYSTEM.COM</dc:creator>
  <cp:lastModifiedBy>Administrator@ELDAWLIYA_SYSTEM.COM</cp:lastModifiedBy>
  <dcterms:created xsi:type="dcterms:W3CDTF">2025-10-19T11:59:37Z</dcterms:created>
  <dcterms:modified xsi:type="dcterms:W3CDTF">2025-11-03T14:43:21Z</dcterms:modified>
</cp:coreProperties>
</file>